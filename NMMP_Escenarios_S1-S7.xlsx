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Stage 1" sheetId="2" state="visible" r:id="rId4"/>
    <sheet name="Stage 2" sheetId="3" state="visible" r:id="rId5"/>
    <sheet name="Stage 3" sheetId="4" state="visible" r:id="rId6"/>
    <sheet name="Stage 4" sheetId="5" state="visible" r:id="rId7"/>
    <sheet name="Stage 5" sheetId="6" state="visible" r:id="rId8"/>
    <sheet name="Stage 6" sheetId="7" state="visible" r:id="rId9"/>
    <sheet name="Stage 7" sheetId="8" state="visible" r:id="rId10"/>
    <sheet name="Resumen S1-S3" sheetId="9" state="visible" r:id="rId11"/>
    <sheet name="Resumen S4-S5" sheetId="10" state="visible" r:id="rId12"/>
    <sheet name="Resumen S6-S7" sheetId="11" state="visible" r:id="rId13"/>
    <sheet name="Resumen total" sheetId="12" state="visible" r:id="rId14"/>
    <sheet name="Escenarios" sheetId="13" state="visible" r:id="rId15"/>
    <sheet name="Dato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8" authorId="0">
      <text>
        <r>
          <rPr>
            <sz val="10"/>
            <rFont val="Arial"/>
            <family val="2"/>
          </rPr>
          <t xml:space="preserve">Herramienta ANSTO.html, Precio y contingencias: IDOM 1.882.791 + Plan Safe 575.619 + INVAP 78.836 AUD.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8" authorId="0">
      <text>
        <r>
          <rPr>
            <sz val="10"/>
            <rFont val="Arial"/>
            <family val="2"/>
          </rPr>
          <t xml:space="preserve">Herramienta ANSTO.html, Precio y contingencias: IDOM 2.979.196 + Plan Safe 745.297 AUD, sin escalación.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8" authorId="0">
      <text>
        <r>
          <rPr>
            <sz val="10"/>
            <rFont val="Arial"/>
            <family val="2"/>
          </rPr>
          <t xml:space="preserve">Herramienta ANSTO.html, Precio y contingencias: IDOM 996.231 + Plan Safe 272.754 AUD, sin escalación. Coincide con el «Provisional sum S6–S7» del Gantt.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8" authorId="0">
      <text>
        <r>
          <rPr>
            <sz val="10"/>
            <rFont val="Arial"/>
            <family val="2"/>
          </rPr>
          <t xml:space="preserve">Herramienta ANSTO.html, cabecera: «Precio de la oferta 7.530.724 AUD».</t>
        </r>
      </text>
    </comment>
  </commentList>
</comments>
</file>

<file path=xl/sharedStrings.xml><?xml version="1.0" encoding="utf-8"?>
<sst xmlns="http://schemas.openxmlformats.org/spreadsheetml/2006/main" count="2001" uniqueCount="275">
  <si>
    <t xml:space="preserve">Inputs · parámetros modificables de la oferta NMMP</t>
  </si>
  <si>
    <t xml:space="preserve">Celdas amarillas con texto azul = editables. Gris = valor fijo de la oferta original (referencia). Negro = cálculo. Todo el libro se actualiza al cambiar cualquier input.</t>
  </si>
  <si>
    <t xml:space="preserve">1 · Loops de revisión</t>
  </si>
  <si>
    <t xml:space="preserve">Loops de revisión incluidos en la oferta</t>
  </si>
  <si>
    <t xml:space="preserve">Hipótesis de la oferta original: 3 loops de revisión por entregable. Fijo, es la referencia.</t>
  </si>
  <si>
    <t xml:space="preserve">Loops de revisión considerados</t>
  </si>
  <si>
    <t xml:space="preserve">Cambia el número de loops (por ejemplo 2 o 4).</t>
  </si>
  <si>
    <t xml:space="preserve">Variación de precio por loop (+/−)</t>
  </si>
  <si>
    <t xml:space="preserve">Cuánto sube el precio por cada loop por encima de 3 y cuánto baja por cada loop por debajo. Valor orientativo: ajústalo.</t>
  </si>
  <si>
    <t xml:space="preserve">Factor de precio por loops</t>
  </si>
  <si>
    <t xml:space="preserve">Multiplica horas y precio de cada entregable, para todas las empresas, en los stages del alcance elegido.</t>
  </si>
  <si>
    <t xml:space="preserve">Stages a los que se aplica</t>
  </si>
  <si>
    <t xml:space="preserve">Todas las etapas</t>
  </si>
  <si>
    <t xml:space="preserve">Todas las etapas · Solo diseño (S1–S5) · Solo lump sum (S1–S3).</t>
  </si>
  <si>
    <t xml:space="preserve">2 · Retrabajo del Stage 2</t>
  </si>
  <si>
    <t xml:space="preserve">Retrabajo incluido en la oferta (Stage 2)</t>
  </si>
  <si>
    <t xml:space="preserve">Fijo: la oferta ya incluye un 35 % de retrabajo como recargo sobre las tareas de IDOM del Stage 2.</t>
  </si>
  <si>
    <t xml:space="preserve">Retrabajo considerado (Stage 2)</t>
  </si>
  <si>
    <t xml:space="preserve">Pon otro % para subir o bajar esa reserva. 0 % = descontar todo el retrabajo.</t>
  </si>
  <si>
    <t xml:space="preserve">Efecto sobre el precio de IDOM en el Stage 2</t>
  </si>
  <si>
    <t xml:space="preserve">Precio de IDOM en S2 × (1 + considerado) / (1 + incluido).</t>
  </si>
  <si>
    <t xml:space="preserve">3 · INVAP</t>
  </si>
  <si>
    <t xml:space="preserve">¿Incluir a INVAP?</t>
  </si>
  <si>
    <t xml:space="preserve">Sí</t>
  </si>
  <si>
    <t xml:space="preserve">No = se quita el entregable de INVAP (Pre · Conceptual Design Verification, Stage 1) de todos los escenarios.</t>
  </si>
  <si>
    <t xml:space="preserve">4 · Reducción de precio del Stage 1</t>
  </si>
  <si>
    <t xml:space="preserve">Reducción de precio del Stage 1</t>
  </si>
  <si>
    <t xml:space="preserve">Indicador: rebaja porcentual del precio del Stage 1 en todos los escenarios.</t>
  </si>
  <si>
    <t xml:space="preserve">Quién absorbe la reducción</t>
  </si>
  <si>
    <t xml:space="preserve">IDOM</t>
  </si>
  <si>
    <t xml:space="preserve">IDOM = sale entera de IDOM · Proporcional = cada empresa según su parte del Stage 1.</t>
  </si>
  <si>
    <t xml:space="preserve">5 · Reparto con subcontratistas</t>
  </si>
  <si>
    <t xml:space="preserve">Participación de Plan Safe en los entregables compartidos</t>
  </si>
  <si>
    <t xml:space="preserve">Valor de la herramienta. Solo afecta a los entregables «IDOM lidera + inputs especialista».</t>
  </si>
  <si>
    <t xml:space="preserve">Participación de Synertec en los entregables compartidos</t>
  </si>
  <si>
    <t xml:space="preserve">Synertec no tiene horas en el alcance nuclear (cubre la ingeniería GMP). 0 % por defecto.</t>
  </si>
  <si>
    <t xml:space="preserve">Factor de precio de las tareas de Plan Safe en el escenario 4</t>
  </si>
  <si>
    <t xml:space="preserve">Petición: tareas de Plan Safe a mitad de precio en el escenario 4.</t>
  </si>
  <si>
    <t xml:space="preserve">Orden de aplicación: 1) escenario e INVAP por entregable · 2) loops de revisión por stage · 3) retrabajo sobre IDOM en S2 · 4) reducción del Stage 1.</t>
  </si>
  <si>
    <t xml:space="preserve">La «oferta original (referencia)» de los resúmenes no cambia con estos inputs: es la oferta tal cual, para medir la reducción de cada caso.</t>
  </si>
  <si>
    <t xml:space="preserve">Stage 1 · Project Familiarisation &amp; Initiation — lump sum (fijo y firme) — desglose por entregable y empresa (AUD)</t>
  </si>
  <si>
    <t xml:space="preserve">Importe = horas × tarifa de venta (pestaña Datos). Reparto por empresa según el tipo de cada entregable (pestaña Escenarios). Aparecen todos los entregables; los que no tienen horas en este stage salen con guion.</t>
  </si>
  <si>
    <t xml:space="preserve">Fondo naranja = entregable que cambia en algún escenario · fondo blanco = igual en todos los escenarios.</t>
  </si>
  <si>
    <t xml:space="preserve">Se cambian en la pestaña Inputs (porcentaje y quién la absorbe).</t>
  </si>
  <si>
    <t xml:space="preserve">Factor de precio por loops de revisión en este stage</t>
  </si>
  <si>
    <t xml:space="preserve">Loops, variación por loop y alcance se cambian en la pestaña Inputs.</t>
  </si>
  <si>
    <t xml:space="preserve">Oferta original</t>
  </si>
  <si>
    <t xml:space="preserve">Reparto</t>
  </si>
  <si>
    <t xml:space="preserve">Código</t>
  </si>
  <si>
    <t xml:space="preserve">Entregable</t>
  </si>
  <si>
    <t xml:space="preserve">Tipo</t>
  </si>
  <si>
    <t xml:space="preserve">¿Cambia?</t>
  </si>
  <si>
    <t xml:space="preserve">Horas base</t>
  </si>
  <si>
    <t xml:space="preserve">Importe base</t>
  </si>
  <si>
    <t xml:space="preserve">% IDOM</t>
  </si>
  <si>
    <t xml:space="preserve">% Plan Safe</t>
  </si>
  <si>
    <t xml:space="preserve">% Synertec</t>
  </si>
  <si>
    <t xml:space="preserve">% INVAP</t>
  </si>
  <si>
    <t xml:space="preserve">Horas</t>
  </si>
  <si>
    <t xml:space="preserve">Plan Safe</t>
  </si>
  <si>
    <t xml:space="preserve">Synertec</t>
  </si>
  <si>
    <t xml:space="preserve">INVAP</t>
  </si>
  <si>
    <t xml:space="preserve">Total</t>
  </si>
  <si>
    <t xml:space="preserve">E94</t>
  </si>
  <si>
    <t xml:space="preserve">Radiological Zoning Layout drawing(s)</t>
  </si>
  <si>
    <t xml:space="preserve">S1</t>
  </si>
  <si>
    <t xml:space="preserve">Safety Assurance Plan / Safety Integration Plan</t>
  </si>
  <si>
    <t xml:space="preserve">S9</t>
  </si>
  <si>
    <t xml:space="preserve">Deterministic Safety Assessment(s) (DSA) / Inherent Risk Assessment(s)</t>
  </si>
  <si>
    <t xml:space="preserve">S10</t>
  </si>
  <si>
    <t xml:space="preserve">Probablisitic Safety Assessment / Quantitative Risk Assessment (s) (QRA)</t>
  </si>
  <si>
    <t xml:space="preserve">S17</t>
  </si>
  <si>
    <t xml:space="preserve">ALARP (Optioneering) Study</t>
  </si>
  <si>
    <t xml:space="preserve">S18</t>
  </si>
  <si>
    <t xml:space="preserve">ALARP Summary Report (ALARP/SFARP Statement Report)</t>
  </si>
  <si>
    <t xml:space="preserve">S20</t>
  </si>
  <si>
    <t xml:space="preserve">Safety in Design (SiD) Report</t>
  </si>
  <si>
    <t xml:space="preserve">S21</t>
  </si>
  <si>
    <t xml:space="preserve">Radiological Shielding Basis of Design</t>
  </si>
  <si>
    <t xml:space="preserve">S22</t>
  </si>
  <si>
    <t xml:space="preserve">Radiological Shielding Assessment</t>
  </si>
  <si>
    <t xml:space="preserve">S23</t>
  </si>
  <si>
    <t xml:space="preserve">Radiological Contamination Control Strategy</t>
  </si>
  <si>
    <t xml:space="preserve">S24</t>
  </si>
  <si>
    <t xml:space="preserve">Radiological Classification of Areas (RCA)</t>
  </si>
  <si>
    <t xml:space="preserve">S25</t>
  </si>
  <si>
    <t xml:space="preserve">Radiation Dose Assessment /Normal) Operations Dose Assessment</t>
  </si>
  <si>
    <t xml:space="preserve">S26</t>
  </si>
  <si>
    <t xml:space="preserve">Structures Systems and Components (SSC) Categorisation Report</t>
  </si>
  <si>
    <t xml:space="preserve">S27</t>
  </si>
  <si>
    <t xml:space="preserve">Structures Systems and Components (SSC) Register</t>
  </si>
  <si>
    <t xml:space="preserve">S28</t>
  </si>
  <si>
    <t xml:space="preserve">Engineering Schedule &amp; Verification and Validation Report (Safety Controls)</t>
  </si>
  <si>
    <t xml:space="preserve">S29</t>
  </si>
  <si>
    <t xml:space="preserve">Design Substantiation Report</t>
  </si>
  <si>
    <t xml:space="preserve">S31</t>
  </si>
  <si>
    <t xml:space="preserve">Independent Verification Reports (design, constructions and commissioning phases)</t>
  </si>
  <si>
    <t xml:space="preserve">S33</t>
  </si>
  <si>
    <t xml:space="preserve">Radiological Shielding Verification Report / (Shielding integrity test report)</t>
  </si>
  <si>
    <t xml:space="preserve">S37</t>
  </si>
  <si>
    <t xml:space="preserve">Radiological Environmental Monitoring Plan</t>
  </si>
  <si>
    <t xml:space="preserve">S38</t>
  </si>
  <si>
    <t xml:space="preserve">Radiological Stack Monitoring Protocol</t>
  </si>
  <si>
    <t xml:space="preserve">Pre</t>
  </si>
  <si>
    <t xml:space="preserve">Conceptual Design Verification</t>
  </si>
  <si>
    <t xml:space="preserve">S2</t>
  </si>
  <si>
    <t xml:space="preserve">Human Factors Assurance Plan / Human Factors Integration Plan (HFIP)</t>
  </si>
  <si>
    <t xml:space="preserve">S3</t>
  </si>
  <si>
    <t xml:space="preserve">Human Factors Hazards Identification and Control Plan (HFHICP)</t>
  </si>
  <si>
    <t xml:space="preserve">S8</t>
  </si>
  <si>
    <t xml:space="preserve">Human Factor Task Assessments</t>
  </si>
  <si>
    <t xml:space="preserve">S30</t>
  </si>
  <si>
    <t xml:space="preserve">Human Factors Substantiation/Assurance Report</t>
  </si>
  <si>
    <t xml:space="preserve">Subtotal Stage 1 (entregables)</t>
  </si>
  <si>
    <t xml:space="preserve">TOTAL STAGE 1</t>
  </si>
  <si>
    <t xml:space="preserve">Referencia: oferta original por empresa (sin escenarios ni ajustes)</t>
  </si>
  <si>
    <t xml:space="preserve">Stage 2 · Concept Design — lump sum (fijo y firme) — desglose por entregable y empresa (AUD)</t>
  </si>
  <si>
    <t xml:space="preserve">Retrabajo considerado / incluido en la oferta</t>
  </si>
  <si>
    <t xml:space="preserve">Se cambia en la pestaña Inputs. Si son iguales no hay ajuste; 0 % descuenta todo el retrabajo de IDOM.</t>
  </si>
  <si>
    <t xml:space="preserve">Subtotal Stage 2 (entregables)</t>
  </si>
  <si>
    <t xml:space="preserve">TOTAL STAGE 2</t>
  </si>
  <si>
    <t xml:space="preserve">Stage 3 · Preliminary Design — lump sum (fijo y firme) — desglose por entregable y empresa (AUD)</t>
  </si>
  <si>
    <t xml:space="preserve">Subtotal Stage 3 (entregables)</t>
  </si>
  <si>
    <t xml:space="preserve">Ajustes (ninguno en este stage)</t>
  </si>
  <si>
    <t xml:space="preserve">TOTAL STAGE 3</t>
  </si>
  <si>
    <t xml:space="preserve">Stage 4 · Detailed Design — provisional sum — desglose por entregable y empresa (AUD)</t>
  </si>
  <si>
    <t xml:space="preserve">Subtotal Stage 4 (entregables)</t>
  </si>
  <si>
    <t xml:space="preserve">TOTAL STAGE 4</t>
  </si>
  <si>
    <t xml:space="preserve">Stage 5 · Issued For Construction (IFC) — provisional sum — desglose por entregable y empresa (AUD)</t>
  </si>
  <si>
    <t xml:space="preserve">Subtotal Stage 5 (entregables)</t>
  </si>
  <si>
    <t xml:space="preserve">TOTAL STAGE 5</t>
  </si>
  <si>
    <t xml:space="preserve">Stage 6 · Construction Support — provisional sum — desglose por entregable y empresa (AUD)</t>
  </si>
  <si>
    <t xml:space="preserve">Subtotal Stage 6 (entregables)</t>
  </si>
  <si>
    <t xml:space="preserve">TOTAL STAGE 6</t>
  </si>
  <si>
    <t xml:space="preserve">Stage 7 · Commissioning, Qualification &amp; Validation — provisional sum — desglose por entregable y empresa (AUD)</t>
  </si>
  <si>
    <t xml:space="preserve">Subtotal Stage 7 (entregables)</t>
  </si>
  <si>
    <t xml:space="preserve">TOTAL STAGE 7</t>
  </si>
  <si>
    <t xml:space="preserve">Resumen S1–S3 · Lump sum (fijo y firme) por empresa y escenario</t>
  </si>
  <si>
    <t xml:space="preserve">NMMP · PSC002818 · alcance nuclear y radiológico de IDOM. La referencia es la oferta original (horas × tarifa) sin escenarios ni ajustes. Importes en AUD.</t>
  </si>
  <si>
    <t xml:space="preserve">Inputs activos (se cambian en la pestaña Inputs)</t>
  </si>
  <si>
    <t xml:space="preserve">Loops de revisión</t>
  </si>
  <si>
    <t xml:space="preserve">Retrabajo Stage 2 (considerado / incluido)</t>
  </si>
  <si>
    <t xml:space="preserve">Participación de Plan Safe / Synertec en compartidos</t>
  </si>
  <si>
    <t xml:space="preserve">1 · Importe por empresa y escenario</t>
  </si>
  <si>
    <t xml:space="preserve">Escenario</t>
  </si>
  <si>
    <t xml:space="preserve">Δ vs original</t>
  </si>
  <si>
    <t xml:space="preserve">% reducción</t>
  </si>
  <si>
    <t xml:space="preserve">Oferta original (referencia)</t>
  </si>
  <si>
    <t xml:space="preserve">-</t>
  </si>
  <si>
    <t xml:space="preserve">Control: total de la herramienta (bloque «S1–S3 · fijo y firme»)</t>
  </si>
  <si>
    <t xml:space="preserve">2 · Reducción por empresa respecto a la oferta original</t>
  </si>
  <si>
    <t xml:space="preserve">Porcentaje de lo que cada empresa deja de facturar frente a su parte de la oferta original. Negativo = factura más.</t>
  </si>
  <si>
    <t xml:space="preserve">3 · Peso de cada empresa</t>
  </si>
  <si>
    <t xml:space="preserve">4 · Precio por stage y escenario</t>
  </si>
  <si>
    <t xml:space="preserve">Stage 1</t>
  </si>
  <si>
    <t xml:space="preserve">Stage 2</t>
  </si>
  <si>
    <t xml:space="preserve">Stage 3</t>
  </si>
  <si>
    <t xml:space="preserve">5 · Indicador del Stage 1 y retrabajo del Stage 2</t>
  </si>
  <si>
    <t xml:space="preserve">S1 antes de reducir</t>
  </si>
  <si>
    <t xml:space="preserve">Reducción S1</t>
  </si>
  <si>
    <t xml:space="preserve">S1 final</t>
  </si>
  <si>
    <t xml:space="preserve">Reducción / lump sum</t>
  </si>
  <si>
    <t xml:space="preserve">Ajuste de retrabajo S2</t>
  </si>
  <si>
    <t xml:space="preserve">«Reducción / lump sum» = lo que pesa la reducción del Stage 1 sobre el lump sum S1–S3 del escenario antes de aplicar ningún ajuste.</t>
  </si>
  <si>
    <t xml:space="preserve">Criterios:</t>
  </si>
  <si>
    <t xml:space="preserve">· Importes en AUD = horas × tarifa de venta de la oferta (ya incluye el factor 1,05). Plan Safe e INVAP facturan sus horas a esa misma tarifa, como en la herramienta.</t>
  </si>
  <si>
    <t xml:space="preserve">· La oferta incluye un 35 % de retrabajo como recargo sobre las tareas de IDOM del Stage 2. Si se cambia en Inputs, el precio de IDOM en S2 se multiplica por (1 + nuevo) / (1 + 35 %).</t>
  </si>
  <si>
    <t xml:space="preserve">· Loops de revisión: la oferta considera 3. Cada loop de más o de menos sube o baja horas y precio de todos los entregables el % indicado en Inputs, en los stages elegidos.</t>
  </si>
  <si>
    <t xml:space="preserve">· INVAP = No quita su entregable (Pre, Stage 1) de todos los escenarios; la referencia sigue siendo la oferta original con INVAP.</t>
  </si>
  <si>
    <t xml:space="preserve">· Las provisional sums (S4–S7) van sin escalación anual, como en la herramienta por defecto (escalación BAFO = 0 %).</t>
  </si>
  <si>
    <t xml:space="preserve">· PM3 (coordinación transversal, partida C) no forma parte del precio de la oferta en la herramienta y no se incluye.</t>
  </si>
  <si>
    <t xml:space="preserve">· Synertec no tiene horas en el alcance nuclear; su columna queda a 0 salvo que se le asigne participación en los compartidos o se cambie el tipo de un entregable en Escenarios.</t>
  </si>
  <si>
    <t xml:space="preserve">Resumen S4–S5 · Provisional sum por empresa y escenario</t>
  </si>
  <si>
    <t xml:space="preserve">Control: total de la herramienta (bloque «S4–S5 · provisional sum»)</t>
  </si>
  <si>
    <t xml:space="preserve">Stage 4</t>
  </si>
  <si>
    <t xml:space="preserve">Stage 5</t>
  </si>
  <si>
    <t xml:space="preserve">Resumen S6–S7 · Provisional sum por empresa y escenario</t>
  </si>
  <si>
    <t xml:space="preserve">Control: total de la herramienta (bloque «S6–S7 · provisional sum»)</t>
  </si>
  <si>
    <t xml:space="preserve">Stage 6</t>
  </si>
  <si>
    <t xml:space="preserve">Stage 7</t>
  </si>
  <si>
    <t xml:space="preserve">Resumen de la oferta total (S1–S7) por empresa y escenario</t>
  </si>
  <si>
    <t xml:space="preserve">Control: total de la herramienta (precio de la oferta)</t>
  </si>
  <si>
    <t xml:space="preserve">5 · Reparto por empresa y bloque de precio</t>
  </si>
  <si>
    <t xml:space="preserve">Bloque</t>
  </si>
  <si>
    <t xml:space="preserve">% del total</t>
  </si>
  <si>
    <t xml:space="preserve">Lump sum S1–S3</t>
  </si>
  <si>
    <t xml:space="preserve">Provisional sum S4–S5</t>
  </si>
  <si>
    <t xml:space="preserve">Provisional sum S6–S7</t>
  </si>
  <si>
    <t xml:space="preserve">Total oferta</t>
  </si>
  <si>
    <t xml:space="preserve">Definición de escenarios y parámetros de reparto</t>
  </si>
  <si>
    <t xml:space="preserve">Azul = editable. Factor de escenario: 1 = entregable incluido a precio completo, 0 = excluido, 0,5 = a mitad de precio.</t>
  </si>
  <si>
    <t xml:space="preserve">Los parámetros de reparto (participación de Plan Safe y Synertec, factor del escenario 4) están en la pestaña Inputs.</t>
  </si>
  <si>
    <t xml:space="preserve">Escenario 1</t>
  </si>
  <si>
    <t xml:space="preserve">Escenario 2</t>
  </si>
  <si>
    <t xml:space="preserve">Escenario 3</t>
  </si>
  <si>
    <t xml:space="preserve">Escenario 4</t>
  </si>
  <si>
    <t xml:space="preserve">Familia técnica</t>
  </si>
  <si>
    <t xml:space="preserve">Tipo de reparto</t>
  </si>
  <si>
    <t xml:space="preserve">Original</t>
  </si>
  <si>
    <t xml:space="preserve">Sin las 4 tareas de Plan Safe</t>
  </si>
  <si>
    <t xml:space="preserve">Sin tareas Plan Safe ni SSC</t>
  </si>
  <si>
    <t xml:space="preserve">Sin SSC, tareas Plan Safe al 50 %</t>
  </si>
  <si>
    <t xml:space="preserve">Zonificación y dosis</t>
  </si>
  <si>
    <t xml:space="preserve">Gestión y aseguramiento de la seguridad</t>
  </si>
  <si>
    <t xml:space="preserve">Compartido</t>
  </si>
  <si>
    <t xml:space="preserve">Análisis de seguridad</t>
  </si>
  <si>
    <t xml:space="preserve">ALARP / optimización</t>
  </si>
  <si>
    <t xml:space="preserve">Safety in Design</t>
  </si>
  <si>
    <t xml:space="preserve">Blindaje radiológico</t>
  </si>
  <si>
    <t xml:space="preserve">Contaminación y confinamiento</t>
  </si>
  <si>
    <t xml:space="preserve">Categorización SSC / ingeniería de sistemas</t>
  </si>
  <si>
    <t xml:space="preserve">Sustanciación del diseño</t>
  </si>
  <si>
    <t xml:space="preserve">Verificación independiente</t>
  </si>
  <si>
    <t xml:space="preserve">Monitorización radiológica</t>
  </si>
  <si>
    <t xml:space="preserve">Revisión del diseño conceptual</t>
  </si>
  <si>
    <t xml:space="preserve">Factores humanos</t>
  </si>
  <si>
    <t xml:space="preserve">Tipo de reparto (de la herramienta): IDOM = 100 % IDOM · Compartido = «IDOM lidera + inputs especialista», se cede a Plan Safe/Synertec la participación indicada arriba · Plan Safe = sus 4 tareas propias (S2, S3, S8, S30) · INVAP = Conceptual Design Verification (Pre).</t>
  </si>
  <si>
    <t xml:space="preserve">Escenario 2 excluye las 4 tareas propias de Plan Safe (S2, S3, S8, S30). Escenario 3 excluye además los SSC (S26, S27, S28). Escenario 4 excluye los SSC y aplica a las 4 tareas de Plan Safe el factor de Inputs!C27.</t>
  </si>
  <si>
    <t xml:space="preserve">Al excluir S28, que es compartido, también desaparece la parte de Plan Safe en ese entregable. S28 solo tiene horas del Stage 4 al 6.</t>
  </si>
  <si>
    <t xml:space="preserve">Celdas con fondo amarillo claro = factor distinto de 1. El factor del escenario 4 para Plan Safe es una fórmula que apunta a Inputs!C27.</t>
  </si>
  <si>
    <t xml:space="preserve">Datos de partida — tarifas y horas por perfil (modelo bottom-up de la oferta)</t>
  </si>
  <si>
    <t xml:space="preserve">Fuente: herramienta «NMMP · Alcance nuclear IDOM» (ANSTO.html), escenario «Oferta mayo». Tarifas de venta con descuento en AUD/h, ya con el factor 1,05. Azul = editable.</t>
  </si>
  <si>
    <t xml:space="preserve">Perfil</t>
  </si>
  <si>
    <t xml:space="preserve">Descripción</t>
  </si>
  <si>
    <t xml:space="preserve">Tarifa AUD/h</t>
  </si>
  <si>
    <t xml:space="preserve">Stage</t>
  </si>
  <si>
    <t xml:space="preserve">Importe AUD</t>
  </si>
  <si>
    <t xml:space="preserve">P7</t>
  </si>
  <si>
    <t xml:space="preserve">Associate Director 2</t>
  </si>
  <si>
    <t xml:space="preserve">P6</t>
  </si>
  <si>
    <t xml:space="preserve">Principal Professional</t>
  </si>
  <si>
    <t xml:space="preserve">P5</t>
  </si>
  <si>
    <t xml:space="preserve">Senior Professional 1</t>
  </si>
  <si>
    <t xml:space="preserve">P4</t>
  </si>
  <si>
    <t xml:space="preserve">Senior Professional 2</t>
  </si>
  <si>
    <t xml:space="preserve">TO3</t>
  </si>
  <si>
    <t xml:space="preserve">TO4</t>
  </si>
  <si>
    <t xml:space="preserve">Senior Technical Officer</t>
  </si>
  <si>
    <t xml:space="preserve">TO2</t>
  </si>
  <si>
    <t xml:space="preserve">Technical Officer 1</t>
  </si>
  <si>
    <t xml:space="preserve">Technical Officer 2</t>
  </si>
  <si>
    <t xml:space="preserve">PM3</t>
  </si>
  <si>
    <t xml:space="preserve">Project Director / Project Manager</t>
  </si>
  <si>
    <t xml:space="preserve">PM2</t>
  </si>
  <si>
    <t xml:space="preserve">Senior Executive</t>
  </si>
  <si>
    <t xml:space="preserve">PM1</t>
  </si>
  <si>
    <t xml:space="preserve">Discipline Lead / Design Manager</t>
  </si>
  <si>
    <t xml:space="preserve">P10</t>
  </si>
  <si>
    <t xml:space="preserve">Industry / International Specialist</t>
  </si>
  <si>
    <t xml:space="preserve">S4</t>
  </si>
  <si>
    <t xml:space="preserve">P9</t>
  </si>
  <si>
    <t xml:space="preserve">Technical Director</t>
  </si>
  <si>
    <t xml:space="preserve">P8</t>
  </si>
  <si>
    <t xml:space="preserve">Associate Director 1</t>
  </si>
  <si>
    <t xml:space="preserve">P3</t>
  </si>
  <si>
    <t xml:space="preserve">Professional 1</t>
  </si>
  <si>
    <t xml:space="preserve">P2</t>
  </si>
  <si>
    <t xml:space="preserve">Professional 2</t>
  </si>
  <si>
    <t xml:space="preserve">P1</t>
  </si>
  <si>
    <t xml:space="preserve">Graduate Professional</t>
  </si>
  <si>
    <t xml:space="preserve">TO6</t>
  </si>
  <si>
    <t xml:space="preserve">Principal Technical Officer 1</t>
  </si>
  <si>
    <t xml:space="preserve">TO5</t>
  </si>
  <si>
    <t xml:space="preserve">Principal Technical Officer 2</t>
  </si>
  <si>
    <t xml:space="preserve">TO1</t>
  </si>
  <si>
    <t xml:space="preserve">Technical Assistant</t>
  </si>
  <si>
    <t xml:space="preserve">A3</t>
  </si>
  <si>
    <t xml:space="preserve">Senior Admin Officer</t>
  </si>
  <si>
    <t xml:space="preserve">A2</t>
  </si>
  <si>
    <t xml:space="preserve">Admin Officer</t>
  </si>
  <si>
    <t xml:space="preserve">A1</t>
  </si>
  <si>
    <t xml:space="preserve">Admin Assistant</t>
  </si>
  <si>
    <t xml:space="preserve">S6</t>
  </si>
  <si>
    <t xml:space="preserve">S7</t>
  </si>
  <si>
    <t xml:space="preserve">S5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</si>
</sst>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.0%"/>
    <numFmt numFmtId="167" formatCode="0.000"/>
    <numFmt numFmtId="168" formatCode="0%"/>
    <numFmt numFmtId="169" formatCode="\+0.0%;\-0.0%;0.0%"/>
    <numFmt numFmtId="170" formatCode="#,##0;\(#,##0\);\-"/>
    <numFmt numFmtId="171" formatCode="0.0%;\(0.0%\);\-"/>
    <numFmt numFmtId="172" formatCode="#,##0.0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A5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i val="true"/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7E6E6"/>
        <bgColor rgb="FFEDE2F6"/>
      </patternFill>
    </fill>
    <fill>
      <patternFill patternType="solid">
        <fgColor rgb="FFFFFF00"/>
        <bgColor rgb="FFFFFF00"/>
      </patternFill>
    </fill>
    <fill>
      <patternFill patternType="solid">
        <fgColor rgb="FFF2F4F7"/>
        <bgColor rgb="FFFFFFFF"/>
      </patternFill>
    </fill>
    <fill>
      <patternFill patternType="solid">
        <fgColor rgb="FFFFE9B3"/>
        <bgColor rgb="FFFFF2CC"/>
      </patternFill>
    </fill>
    <fill>
      <patternFill patternType="solid">
        <fgColor rgb="FF2E6B8A"/>
        <bgColor rgb="FF008080"/>
      </patternFill>
    </fill>
    <fill>
      <patternFill patternType="solid">
        <fgColor rgb="FF7A5C1E"/>
        <bgColor rgb="FF595959"/>
      </patternFill>
    </fill>
    <fill>
      <patternFill patternType="solid">
        <fgColor rgb="FF6B3A6B"/>
        <bgColor rgb="FF993366"/>
      </patternFill>
    </fill>
    <fill>
      <patternFill patternType="solid">
        <fgColor rgb="FFD9DEE6"/>
        <bgColor rgb="FFDCE6F1"/>
      </patternFill>
    </fill>
    <fill>
      <patternFill patternType="solid">
        <fgColor rgb="FFDCE6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FF2CC"/>
      </patternFill>
    </fill>
    <fill>
      <patternFill patternType="solid">
        <fgColor rgb="FFEDE2F6"/>
        <bgColor rgb="FFE7E6E6"/>
      </patternFill>
    </fill>
    <fill>
      <patternFill patternType="solid">
        <fgColor rgb="FFFFF2CC"/>
        <bgColor rgb="FFFFE9B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medium">
        <color rgb="FF1F3A5F"/>
      </top>
      <bottom/>
      <diagonal/>
    </border>
    <border diagonalUp="false" diagonalDown="false">
      <left style="thin">
        <color rgb="FFBFC5CF"/>
      </left>
      <right style="thin">
        <color rgb="FFBFC5CF"/>
      </right>
      <top style="thin">
        <color rgb="FFBFC5CF"/>
      </top>
      <bottom style="thin">
        <color rgb="FFBFC5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1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1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E9B3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1E"/>
      <rgbColor rgb="FF800080"/>
      <rgbColor rgb="FF2E6B8A"/>
      <rgbColor rgb="FFBFC5CF"/>
      <rgbColor rgb="FF808080"/>
      <rgbColor rgb="FF9999FF"/>
      <rgbColor rgb="FF6B3A6B"/>
      <rgbColor rgb="FFFFF2CC"/>
      <rgbColor rgb="FFDCE6F1"/>
      <rgbColor rgb="FF660066"/>
      <rgbColor rgb="FFFF8080"/>
      <rgbColor rgb="FF0066CC"/>
      <rgbColor rgb="FFD9DE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7"/>
      <rgbColor rgb="FFE2EFDA"/>
      <rgbColor rgb="FFFFE9B3"/>
      <rgbColor rgb="FFE7E6E6"/>
      <rgbColor rgb="FFEDE2F6"/>
      <rgbColor rgb="FFCC99FF"/>
      <rgbColor rgb="FFFCE4D6"/>
      <rgbColor rgb="FF3366FF"/>
      <rgbColor rgb="FF33CCCC"/>
      <rgbColor rgb="FF99CC00"/>
      <rgbColor rgb="FFFFC0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1:D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110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5" customFormat="false" ht="15" hidden="false" customHeight="false" outlineLevel="0" collapsed="false">
      <c r="B5" s="3" t="s">
        <v>2</v>
      </c>
      <c r="C5" s="3"/>
      <c r="D5" s="3"/>
    </row>
    <row r="6" customFormat="false" ht="15" hidden="false" customHeight="false" outlineLevel="0" collapsed="false">
      <c r="B6" s="4" t="s">
        <v>3</v>
      </c>
      <c r="C6" s="5" t="n">
        <v>3</v>
      </c>
      <c r="D6" s="2" t="s">
        <v>4</v>
      </c>
    </row>
    <row r="7" customFormat="false" ht="15" hidden="false" customHeight="false" outlineLevel="0" collapsed="false">
      <c r="B7" s="4" t="s">
        <v>5</v>
      </c>
      <c r="C7" s="6" t="n">
        <v>3</v>
      </c>
      <c r="D7" s="2" t="s">
        <v>6</v>
      </c>
    </row>
    <row r="8" customFormat="false" ht="15" hidden="false" customHeight="false" outlineLevel="0" collapsed="false">
      <c r="B8" s="4" t="s">
        <v>7</v>
      </c>
      <c r="C8" s="7" t="n">
        <v>0.05</v>
      </c>
      <c r="D8" s="2" t="s">
        <v>8</v>
      </c>
    </row>
    <row r="9" customFormat="false" ht="15" hidden="false" customHeight="false" outlineLevel="0" collapsed="false">
      <c r="B9" s="4" t="s">
        <v>9</v>
      </c>
      <c r="C9" s="8" t="n">
        <f aca="false">1+(Inputs!$C$7-Inputs!$C$6)*Inputs!$C$8</f>
        <v>1</v>
      </c>
      <c r="D9" s="2" t="s">
        <v>10</v>
      </c>
    </row>
    <row r="10" customFormat="false" ht="15" hidden="false" customHeight="false" outlineLevel="0" collapsed="false">
      <c r="B10" s="4" t="s">
        <v>11</v>
      </c>
      <c r="C10" s="9" t="s">
        <v>12</v>
      </c>
      <c r="D10" s="2" t="s">
        <v>13</v>
      </c>
    </row>
    <row r="12" customFormat="false" ht="15" hidden="false" customHeight="false" outlineLevel="0" collapsed="false">
      <c r="B12" s="3" t="s">
        <v>14</v>
      </c>
      <c r="C12" s="3"/>
      <c r="D12" s="3"/>
    </row>
    <row r="13" customFormat="false" ht="15" hidden="false" customHeight="false" outlineLevel="0" collapsed="false">
      <c r="B13" s="4" t="s">
        <v>15</v>
      </c>
      <c r="C13" s="10" t="n">
        <v>0.35</v>
      </c>
      <c r="D13" s="2" t="s">
        <v>16</v>
      </c>
    </row>
    <row r="14" customFormat="false" ht="15" hidden="false" customHeight="false" outlineLevel="0" collapsed="false">
      <c r="B14" s="4" t="s">
        <v>17</v>
      </c>
      <c r="C14" s="11" t="n">
        <v>0.35</v>
      </c>
      <c r="D14" s="2" t="s">
        <v>18</v>
      </c>
    </row>
    <row r="15" customFormat="false" ht="15" hidden="false" customHeight="false" outlineLevel="0" collapsed="false">
      <c r="B15" s="4" t="s">
        <v>19</v>
      </c>
      <c r="C15" s="12" t="n">
        <f aca="false">(1+Inputs!$C$14)/(1+Inputs!$C$13)-1</f>
        <v>0</v>
      </c>
      <c r="D15" s="2" t="s">
        <v>20</v>
      </c>
    </row>
    <row r="17" customFormat="false" ht="15" hidden="false" customHeight="false" outlineLevel="0" collapsed="false">
      <c r="B17" s="3" t="s">
        <v>21</v>
      </c>
      <c r="C17" s="3"/>
      <c r="D17" s="3"/>
    </row>
    <row r="18" customFormat="false" ht="15" hidden="false" customHeight="false" outlineLevel="0" collapsed="false">
      <c r="B18" s="4" t="s">
        <v>22</v>
      </c>
      <c r="C18" s="9" t="s">
        <v>23</v>
      </c>
      <c r="D18" s="2" t="s">
        <v>24</v>
      </c>
    </row>
    <row r="20" customFormat="false" ht="15" hidden="false" customHeight="false" outlineLevel="0" collapsed="false">
      <c r="B20" s="3" t="s">
        <v>25</v>
      </c>
      <c r="C20" s="3"/>
      <c r="D20" s="3"/>
    </row>
    <row r="21" customFormat="false" ht="15" hidden="false" customHeight="false" outlineLevel="0" collapsed="false">
      <c r="B21" s="4" t="s">
        <v>26</v>
      </c>
      <c r="C21" s="7" t="n">
        <v>0</v>
      </c>
      <c r="D21" s="2" t="s">
        <v>27</v>
      </c>
    </row>
    <row r="22" customFormat="false" ht="15" hidden="false" customHeight="false" outlineLevel="0" collapsed="false">
      <c r="B22" s="4" t="s">
        <v>28</v>
      </c>
      <c r="C22" s="9" t="s">
        <v>29</v>
      </c>
      <c r="D22" s="2" t="s">
        <v>30</v>
      </c>
    </row>
    <row r="24" customFormat="false" ht="15" hidden="false" customHeight="false" outlineLevel="0" collapsed="false">
      <c r="B24" s="3" t="s">
        <v>31</v>
      </c>
      <c r="C24" s="3"/>
      <c r="D24" s="3"/>
    </row>
    <row r="25" customFormat="false" ht="15" hidden="false" customHeight="false" outlineLevel="0" collapsed="false">
      <c r="B25" s="4" t="s">
        <v>32</v>
      </c>
      <c r="C25" s="11" t="n">
        <v>0.1</v>
      </c>
      <c r="D25" s="2" t="s">
        <v>33</v>
      </c>
    </row>
    <row r="26" customFormat="false" ht="15" hidden="false" customHeight="false" outlineLevel="0" collapsed="false">
      <c r="B26" s="4" t="s">
        <v>34</v>
      </c>
      <c r="C26" s="11" t="n">
        <v>0</v>
      </c>
      <c r="D26" s="2" t="s">
        <v>35</v>
      </c>
    </row>
    <row r="27" customFormat="false" ht="15" hidden="false" customHeight="false" outlineLevel="0" collapsed="false">
      <c r="B27" s="4" t="s">
        <v>36</v>
      </c>
      <c r="C27" s="11" t="n">
        <v>0.5</v>
      </c>
      <c r="D27" s="2" t="s">
        <v>37</v>
      </c>
    </row>
    <row r="29" customFormat="false" ht="15" hidden="false" customHeight="false" outlineLevel="0" collapsed="false">
      <c r="B29" s="2" t="s">
        <v>38</v>
      </c>
    </row>
    <row r="30" customFormat="false" ht="15" hidden="false" customHeight="false" outlineLevel="0" collapsed="false">
      <c r="B30" s="2" t="s">
        <v>39</v>
      </c>
    </row>
  </sheetData>
  <dataValidations count="4">
    <dataValidation allowBlank="false" errorStyle="stop" operator="between" showDropDown="false" showErrorMessage="false" showInputMessage="false" sqref="C7" type="list">
      <formula1>"1,2,3,4,5,6"</formula1>
      <formula2>0</formula2>
    </dataValidation>
    <dataValidation allowBlank="false" errorStyle="stop" operator="between" showDropDown="false" showErrorMessage="false" showInputMessage="false" sqref="C10" type="list">
      <formula1>"Todas las etapas,Solo diseño (S1–S5),Solo lump sum (S1–S3)"</formula1>
      <formula2>0</formula2>
    </dataValidation>
    <dataValidation allowBlank="false" errorStyle="stop" operator="between" showDropDown="false" showErrorMessage="false" showInputMessage="false" sqref="C18" type="list">
      <formula1>"Sí,No"</formula1>
      <formula2>0</formula2>
    </dataValidation>
    <dataValidation allowBlank="false" errorStyle="stop" operator="between" showDropDown="false" showErrorMessage="false" showInputMessage="false" sqref="C22" type="list">
      <formula1>"IDOM,Proporcional"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40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4" customFormat="false" ht="15" hidden="false" customHeight="false" outlineLevel="0" collapsed="false">
      <c r="B4" s="15" t="s">
        <v>26</v>
      </c>
      <c r="C4" s="16" t="n">
        <f aca="false">Inputs!$C$21</f>
        <v>0</v>
      </c>
      <c r="D4" s="17" t="str">
        <f aca="false">Inputs!$C$22</f>
        <v>IDOM</v>
      </c>
      <c r="E4" s="2" t="s">
        <v>43</v>
      </c>
    </row>
    <row r="5" customFormat="false" ht="15" hidden="false" customHeight="false" outlineLevel="0" collapsed="false">
      <c r="B5" s="15" t="s">
        <v>44</v>
      </c>
      <c r="C5" s="18" t="n">
        <f aca="false">IF(Inputs!$C$10="Todas las etapas",Inputs!$C$9,IF(AND(Inputs!$C$10="Solo diseño (S1–S5)",1&lt;=5),Inputs!$C$9,IF(AND(Inputs!$C$10="Solo lump sum (S1–S3)",1&lt;=3),Inputs!$C$9,1)))</f>
        <v>1</v>
      </c>
      <c r="D5" s="17" t="str">
        <f aca="false">Inputs!$C$7&amp;" loops"</f>
        <v>3 loops</v>
      </c>
      <c r="E5" s="2" t="s">
        <v>45</v>
      </c>
    </row>
    <row r="6" customFormat="false" ht="15" hidden="false" customHeight="false" outlineLevel="0" collapsed="false">
      <c r="A6" s="19" t="s">
        <v>46</v>
      </c>
      <c r="B6" s="19"/>
      <c r="C6" s="19"/>
      <c r="D6" s="19"/>
      <c r="E6" s="19"/>
      <c r="F6" s="19"/>
      <c r="G6" s="19" t="s">
        <v>47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48</v>
      </c>
      <c r="B7" s="23" t="s">
        <v>49</v>
      </c>
      <c r="C7" s="23" t="s">
        <v>50</v>
      </c>
      <c r="D7" s="23" t="s">
        <v>51</v>
      </c>
      <c r="E7" s="23" t="s">
        <v>52</v>
      </c>
      <c r="F7" s="23" t="s">
        <v>53</v>
      </c>
      <c r="G7" s="23" t="s">
        <v>54</v>
      </c>
      <c r="H7" s="23" t="s">
        <v>55</v>
      </c>
      <c r="I7" s="23" t="s">
        <v>56</v>
      </c>
      <c r="J7" s="23" t="s">
        <v>57</v>
      </c>
      <c r="K7" s="24" t="s">
        <v>58</v>
      </c>
      <c r="L7" s="25" t="s">
        <v>29</v>
      </c>
      <c r="M7" s="26" t="s">
        <v>59</v>
      </c>
      <c r="N7" s="27" t="s">
        <v>60</v>
      </c>
      <c r="O7" s="28" t="s">
        <v>61</v>
      </c>
      <c r="P7" s="24" t="s">
        <v>62</v>
      </c>
      <c r="Q7" s="24" t="s">
        <v>58</v>
      </c>
      <c r="R7" s="25" t="s">
        <v>29</v>
      </c>
      <c r="S7" s="26" t="s">
        <v>59</v>
      </c>
      <c r="T7" s="27" t="s">
        <v>60</v>
      </c>
      <c r="U7" s="28" t="s">
        <v>61</v>
      </c>
      <c r="V7" s="24" t="s">
        <v>62</v>
      </c>
      <c r="W7" s="24" t="s">
        <v>58</v>
      </c>
      <c r="X7" s="25" t="s">
        <v>29</v>
      </c>
      <c r="Y7" s="26" t="s">
        <v>59</v>
      </c>
      <c r="Z7" s="27" t="s">
        <v>60</v>
      </c>
      <c r="AA7" s="28" t="s">
        <v>61</v>
      </c>
      <c r="AB7" s="24" t="s">
        <v>62</v>
      </c>
      <c r="AC7" s="24" t="s">
        <v>58</v>
      </c>
      <c r="AD7" s="25" t="s">
        <v>29</v>
      </c>
      <c r="AE7" s="26" t="s">
        <v>59</v>
      </c>
      <c r="AF7" s="27" t="s">
        <v>60</v>
      </c>
      <c r="AG7" s="28" t="s">
        <v>61</v>
      </c>
      <c r="AH7" s="24" t="s">
        <v>62</v>
      </c>
    </row>
    <row r="8" customFormat="false" ht="15" hidden="false" customHeight="false" outlineLevel="0" collapsed="false">
      <c r="A8" s="15" t="s">
        <v>63</v>
      </c>
      <c r="B8" s="4" t="s">
        <v>64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SUMIFS(Datos!$H$5:$H$291,Datos!$E$5:$E$291,$A8,Datos!$F$5:$F$291,"S1")</f>
        <v>0</v>
      </c>
      <c r="F8" s="31" t="n">
        <f aca="false">SUMIFS(Datos!$J$5:$J$291,Datos!$E$5:$E$291,$A8,Datos!$F$5:$F$291,"S1")</f>
        <v>0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0</v>
      </c>
      <c r="L8" s="31" t="n">
        <f aca="false">$F8*INDEX(Escenarios!$I$12:$I$36,MATCH($A8,Escenarios!$A$12:$A$36,0))*IF(AND($C8="INVAP",Inputs!$C$18="No"),0,1)*G8*$C$5</f>
        <v>0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0</v>
      </c>
      <c r="Q8" s="31" t="n">
        <f aca="false">IF(INDEX(Escenarios!$J$12:$J$36,MATCH($A8,Escenarios!$A$12:$A$36,0))*IF(AND($C8="INVAP",Inputs!$C$18="No"),0,1)&gt;0,$E8*$C$5,0)</f>
        <v>0</v>
      </c>
      <c r="R8" s="31" t="n">
        <f aca="false">$F8*INDEX(Escenarios!$J$12:$J$36,MATCH($A8,Escenarios!$A$12:$A$36,0))*IF(AND($C8="INVAP",Inputs!$C$18="No"),0,1)*G8*$C$5</f>
        <v>0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0</v>
      </c>
      <c r="W8" s="31" t="n">
        <f aca="false">IF(INDEX(Escenarios!$K$12:$K$36,MATCH($A8,Escenarios!$A$12:$A$36,0))*IF(AND($C8="INVAP",Inputs!$C$18="No"),0,1)&gt;0,$E8*$C$5,0)</f>
        <v>0</v>
      </c>
      <c r="X8" s="31" t="n">
        <f aca="false">$F8*INDEX(Escenarios!$K$12:$K$36,MATCH($A8,Escenarios!$A$12:$A$36,0))*IF(AND($C8="INVAP",Inputs!$C$18="No"),0,1)*G8*$C$5</f>
        <v>0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0</v>
      </c>
      <c r="AC8" s="31" t="n">
        <f aca="false">IF(INDEX(Escenarios!$L$12:$L$36,MATCH($A8,Escenarios!$A$12:$A$36,0))*IF(AND($C8="INVAP",Inputs!$C$18="No"),0,1)&gt;0,$E8*$C$5,0)</f>
        <v>0</v>
      </c>
      <c r="AD8" s="31" t="n">
        <f aca="false">$F8*INDEX(Escenarios!$L$12:$L$36,MATCH($A8,Escenarios!$A$12:$A$36,0))*IF(AND($C8="INVAP",Inputs!$C$18="No"),0,1)*G8*$C$5</f>
        <v>0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0</v>
      </c>
    </row>
    <row r="9" customFormat="false" ht="15" hidden="false" customHeight="false" outlineLevel="0" collapsed="false">
      <c r="A9" s="15" t="s">
        <v>65</v>
      </c>
      <c r="B9" s="4" t="s">
        <v>66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SUMIFS(Datos!$H$5:$H$291,Datos!$E$5:$E$291,$A9,Datos!$F$5:$F$291,"S1")</f>
        <v>625</v>
      </c>
      <c r="F9" s="31" t="n">
        <f aca="false">SUMIFS(Datos!$J$5:$J$291,Datos!$E$5:$E$291,$A9,Datos!$F$5:$F$291,"S1")</f>
        <v>148179.675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625</v>
      </c>
      <c r="L9" s="31" t="n">
        <f aca="false">$F9*INDEX(Escenarios!$I$12:$I$36,MATCH($A9,Escenarios!$A$12:$A$36,0))*IF(AND($C9="INVAP",Inputs!$C$18="No"),0,1)*G9*$C$5</f>
        <v>133361.7075</v>
      </c>
      <c r="M9" s="31" t="n">
        <f aca="false">$F9*INDEX(Escenarios!$I$12:$I$36,MATCH($A9,Escenarios!$A$12:$A$36,0))*IF(AND($C9="INVAP",Inputs!$C$18="No"),0,1)*H9*$C$5</f>
        <v>14817.9675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148179.675</v>
      </c>
      <c r="Q9" s="31" t="n">
        <f aca="false">IF(INDEX(Escenarios!$J$12:$J$36,MATCH($A9,Escenarios!$A$12:$A$36,0))*IF(AND($C9="INVAP",Inputs!$C$18="No"),0,1)&gt;0,$E9*$C$5,0)</f>
        <v>625</v>
      </c>
      <c r="R9" s="31" t="n">
        <f aca="false">$F9*INDEX(Escenarios!$J$12:$J$36,MATCH($A9,Escenarios!$A$12:$A$36,0))*IF(AND($C9="INVAP",Inputs!$C$18="No"),0,1)*G9*$C$5</f>
        <v>133361.7075</v>
      </c>
      <c r="S9" s="31" t="n">
        <f aca="false">$F9*INDEX(Escenarios!$J$12:$J$36,MATCH($A9,Escenarios!$A$12:$A$36,0))*IF(AND($C9="INVAP",Inputs!$C$18="No"),0,1)*H9*$C$5</f>
        <v>14817.9675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148179.675</v>
      </c>
      <c r="W9" s="31" t="n">
        <f aca="false">IF(INDEX(Escenarios!$K$12:$K$36,MATCH($A9,Escenarios!$A$12:$A$36,0))*IF(AND($C9="INVAP",Inputs!$C$18="No"),0,1)&gt;0,$E9*$C$5,0)</f>
        <v>625</v>
      </c>
      <c r="X9" s="31" t="n">
        <f aca="false">$F9*INDEX(Escenarios!$K$12:$K$36,MATCH($A9,Escenarios!$A$12:$A$36,0))*IF(AND($C9="INVAP",Inputs!$C$18="No"),0,1)*G9*$C$5</f>
        <v>133361.7075</v>
      </c>
      <c r="Y9" s="31" t="n">
        <f aca="false">$F9*INDEX(Escenarios!$K$12:$K$36,MATCH($A9,Escenarios!$A$12:$A$36,0))*IF(AND($C9="INVAP",Inputs!$C$18="No"),0,1)*H9*$C$5</f>
        <v>14817.9675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148179.675</v>
      </c>
      <c r="AC9" s="31" t="n">
        <f aca="false">IF(INDEX(Escenarios!$L$12:$L$36,MATCH($A9,Escenarios!$A$12:$A$36,0))*IF(AND($C9="INVAP",Inputs!$C$18="No"),0,1)&gt;0,$E9*$C$5,0)</f>
        <v>625</v>
      </c>
      <c r="AD9" s="31" t="n">
        <f aca="false">$F9*INDEX(Escenarios!$L$12:$L$36,MATCH($A9,Escenarios!$A$12:$A$36,0))*IF(AND($C9="INVAP",Inputs!$C$18="No"),0,1)*G9*$C$5</f>
        <v>133361.7075</v>
      </c>
      <c r="AE9" s="31" t="n">
        <f aca="false">$F9*INDEX(Escenarios!$L$12:$L$36,MATCH($A9,Escenarios!$A$12:$A$36,0))*IF(AND($C9="INVAP",Inputs!$C$18="No"),0,1)*H9*$C$5</f>
        <v>14817.9675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148179.675</v>
      </c>
    </row>
    <row r="10" customFormat="false" ht="15" hidden="false" customHeight="false" outlineLevel="0" collapsed="false">
      <c r="A10" s="15" t="s">
        <v>67</v>
      </c>
      <c r="B10" s="4" t="s">
        <v>68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SUMIFS(Datos!$H$5:$H$291,Datos!$E$5:$E$291,$A10,Datos!$F$5:$F$291,"S1")</f>
        <v>0</v>
      </c>
      <c r="F10" s="31" t="n">
        <f aca="false">SUMIFS(Datos!$J$5:$J$291,Datos!$E$5:$E$291,$A10,Datos!$F$5:$F$291,"S1")</f>
        <v>0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0</v>
      </c>
      <c r="L10" s="31" t="n">
        <f aca="false">$F10*INDEX(Escenarios!$I$12:$I$36,MATCH($A10,Escenarios!$A$12:$A$36,0))*IF(AND($C10="INVAP",Inputs!$C$18="No"),0,1)*G10*$C$5</f>
        <v>0</v>
      </c>
      <c r="M10" s="31" t="n">
        <f aca="false">$F10*INDEX(Escenarios!$I$12:$I$36,MATCH($A10,Escenarios!$A$12:$A$36,0))*IF(AND($C10="INVAP",Inputs!$C$18="No"),0,1)*H10*$C$5</f>
        <v>0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0</v>
      </c>
      <c r="Q10" s="31" t="n">
        <f aca="false">IF(INDEX(Escenarios!$J$12:$J$36,MATCH($A10,Escenarios!$A$12:$A$36,0))*IF(AND($C10="INVAP",Inputs!$C$18="No"),0,1)&gt;0,$E10*$C$5,0)</f>
        <v>0</v>
      </c>
      <c r="R10" s="31" t="n">
        <f aca="false">$F10*INDEX(Escenarios!$J$12:$J$36,MATCH($A10,Escenarios!$A$12:$A$36,0))*IF(AND($C10="INVAP",Inputs!$C$18="No"),0,1)*G10*$C$5</f>
        <v>0</v>
      </c>
      <c r="S10" s="31" t="n">
        <f aca="false">$F10*INDEX(Escenarios!$J$12:$J$36,MATCH($A10,Escenarios!$A$12:$A$36,0))*IF(AND($C10="INVAP",Inputs!$C$18="No"),0,1)*H10*$C$5</f>
        <v>0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0</v>
      </c>
      <c r="W10" s="31" t="n">
        <f aca="false">IF(INDEX(Escenarios!$K$12:$K$36,MATCH($A10,Escenarios!$A$12:$A$36,0))*IF(AND($C10="INVAP",Inputs!$C$18="No"),0,1)&gt;0,$E10*$C$5,0)</f>
        <v>0</v>
      </c>
      <c r="X10" s="31" t="n">
        <f aca="false">$F10*INDEX(Escenarios!$K$12:$K$36,MATCH($A10,Escenarios!$A$12:$A$36,0))*IF(AND($C10="INVAP",Inputs!$C$18="No"),0,1)*G10*$C$5</f>
        <v>0</v>
      </c>
      <c r="Y10" s="31" t="n">
        <f aca="false">$F10*INDEX(Escenarios!$K$12:$K$36,MATCH($A10,Escenarios!$A$12:$A$36,0))*IF(AND($C10="INVAP",Inputs!$C$18="No"),0,1)*H10*$C$5</f>
        <v>0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0</v>
      </c>
      <c r="AC10" s="31" t="n">
        <f aca="false">IF(INDEX(Escenarios!$L$12:$L$36,MATCH($A10,Escenarios!$A$12:$A$36,0))*IF(AND($C10="INVAP",Inputs!$C$18="No"),0,1)&gt;0,$E10*$C$5,0)</f>
        <v>0</v>
      </c>
      <c r="AD10" s="31" t="n">
        <f aca="false">$F10*INDEX(Escenarios!$L$12:$L$36,MATCH($A10,Escenarios!$A$12:$A$36,0))*IF(AND($C10="INVAP",Inputs!$C$18="No"),0,1)*G10*$C$5</f>
        <v>0</v>
      </c>
      <c r="AE10" s="31" t="n">
        <f aca="false">$F10*INDEX(Escenarios!$L$12:$L$36,MATCH($A10,Escenarios!$A$12:$A$36,0))*IF(AND($C10="INVAP",Inputs!$C$18="No"),0,1)*H10*$C$5</f>
        <v>0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0</v>
      </c>
    </row>
    <row r="11" customFormat="false" ht="15" hidden="false" customHeight="false" outlineLevel="0" collapsed="false">
      <c r="A11" s="15" t="s">
        <v>69</v>
      </c>
      <c r="B11" s="4" t="s">
        <v>70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SUMIFS(Datos!$H$5:$H$291,Datos!$E$5:$E$291,$A11,Datos!$F$5:$F$291,"S1")</f>
        <v>0</v>
      </c>
      <c r="F11" s="31" t="n">
        <f aca="false">SUMIFS(Datos!$J$5:$J$291,Datos!$E$5:$E$291,$A11,Datos!$F$5:$F$291,"S1")</f>
        <v>0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0</v>
      </c>
      <c r="L11" s="31" t="n">
        <f aca="false">$F11*INDEX(Escenarios!$I$12:$I$36,MATCH($A11,Escenarios!$A$12:$A$36,0))*IF(AND($C11="INVAP",Inputs!$C$18="No"),0,1)*G11*$C$5</f>
        <v>0</v>
      </c>
      <c r="M11" s="31" t="n">
        <f aca="false">$F11*INDEX(Escenarios!$I$12:$I$36,MATCH($A11,Escenarios!$A$12:$A$36,0))*IF(AND($C11="INVAP",Inputs!$C$18="No"),0,1)*H11*$C$5</f>
        <v>0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0</v>
      </c>
      <c r="Q11" s="31" t="n">
        <f aca="false">IF(INDEX(Escenarios!$J$12:$J$36,MATCH($A11,Escenarios!$A$12:$A$36,0))*IF(AND($C11="INVAP",Inputs!$C$18="No"),0,1)&gt;0,$E11*$C$5,0)</f>
        <v>0</v>
      </c>
      <c r="R11" s="31" t="n">
        <f aca="false">$F11*INDEX(Escenarios!$J$12:$J$36,MATCH($A11,Escenarios!$A$12:$A$36,0))*IF(AND($C11="INVAP",Inputs!$C$18="No"),0,1)*G11*$C$5</f>
        <v>0</v>
      </c>
      <c r="S11" s="31" t="n">
        <f aca="false">$F11*INDEX(Escenarios!$J$12:$J$36,MATCH($A11,Escenarios!$A$12:$A$36,0))*IF(AND($C11="INVAP",Inputs!$C$18="No"),0,1)*H11*$C$5</f>
        <v>0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0</v>
      </c>
      <c r="W11" s="31" t="n">
        <f aca="false">IF(INDEX(Escenarios!$K$12:$K$36,MATCH($A11,Escenarios!$A$12:$A$36,0))*IF(AND($C11="INVAP",Inputs!$C$18="No"),0,1)&gt;0,$E11*$C$5,0)</f>
        <v>0</v>
      </c>
      <c r="X11" s="31" t="n">
        <f aca="false">$F11*INDEX(Escenarios!$K$12:$K$36,MATCH($A11,Escenarios!$A$12:$A$36,0))*IF(AND($C11="INVAP",Inputs!$C$18="No"),0,1)*G11*$C$5</f>
        <v>0</v>
      </c>
      <c r="Y11" s="31" t="n">
        <f aca="false">$F11*INDEX(Escenarios!$K$12:$K$36,MATCH($A11,Escenarios!$A$12:$A$36,0))*IF(AND($C11="INVAP",Inputs!$C$18="No"),0,1)*H11*$C$5</f>
        <v>0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0</v>
      </c>
      <c r="AC11" s="31" t="n">
        <f aca="false">IF(INDEX(Escenarios!$L$12:$L$36,MATCH($A11,Escenarios!$A$12:$A$36,0))*IF(AND($C11="INVAP",Inputs!$C$18="No"),0,1)&gt;0,$E11*$C$5,0)</f>
        <v>0</v>
      </c>
      <c r="AD11" s="31" t="n">
        <f aca="false">$F11*INDEX(Escenarios!$L$12:$L$36,MATCH($A11,Escenarios!$A$12:$A$36,0))*IF(AND($C11="INVAP",Inputs!$C$18="No"),0,1)*G11*$C$5</f>
        <v>0</v>
      </c>
      <c r="AE11" s="31" t="n">
        <f aca="false">$F11*INDEX(Escenarios!$L$12:$L$36,MATCH($A11,Escenarios!$A$12:$A$36,0))*IF(AND($C11="INVAP",Inputs!$C$18="No"),0,1)*H11*$C$5</f>
        <v>0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0</v>
      </c>
    </row>
    <row r="12" customFormat="false" ht="15" hidden="false" customHeight="false" outlineLevel="0" collapsed="false">
      <c r="A12" s="15" t="s">
        <v>71</v>
      </c>
      <c r="B12" s="4" t="s">
        <v>72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SUMIFS(Datos!$H$5:$H$291,Datos!$E$5:$E$291,$A12,Datos!$F$5:$F$291,"S1")</f>
        <v>0</v>
      </c>
      <c r="F12" s="31" t="n">
        <f aca="false">SUMIFS(Datos!$J$5:$J$291,Datos!$E$5:$E$291,$A12,Datos!$F$5:$F$291,"S1")</f>
        <v>0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0</v>
      </c>
      <c r="L12" s="31" t="n">
        <f aca="false">$F12*INDEX(Escenarios!$I$12:$I$36,MATCH($A12,Escenarios!$A$12:$A$36,0))*IF(AND($C12="INVAP",Inputs!$C$18="No"),0,1)*G12*$C$5</f>
        <v>0</v>
      </c>
      <c r="M12" s="31" t="n">
        <f aca="false">$F12*INDEX(Escenarios!$I$12:$I$36,MATCH($A12,Escenarios!$A$12:$A$36,0))*IF(AND($C12="INVAP",Inputs!$C$18="No"),0,1)*H12*$C$5</f>
        <v>0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0</v>
      </c>
      <c r="Q12" s="31" t="n">
        <f aca="false">IF(INDEX(Escenarios!$J$12:$J$36,MATCH($A12,Escenarios!$A$12:$A$36,0))*IF(AND($C12="INVAP",Inputs!$C$18="No"),0,1)&gt;0,$E12*$C$5,0)</f>
        <v>0</v>
      </c>
      <c r="R12" s="31" t="n">
        <f aca="false">$F12*INDEX(Escenarios!$J$12:$J$36,MATCH($A12,Escenarios!$A$12:$A$36,0))*IF(AND($C12="INVAP",Inputs!$C$18="No"),0,1)*G12*$C$5</f>
        <v>0</v>
      </c>
      <c r="S12" s="31" t="n">
        <f aca="false">$F12*INDEX(Escenarios!$J$12:$J$36,MATCH($A12,Escenarios!$A$12:$A$36,0))*IF(AND($C12="INVAP",Inputs!$C$18="No"),0,1)*H12*$C$5</f>
        <v>0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0</v>
      </c>
      <c r="W12" s="31" t="n">
        <f aca="false">IF(INDEX(Escenarios!$K$12:$K$36,MATCH($A12,Escenarios!$A$12:$A$36,0))*IF(AND($C12="INVAP",Inputs!$C$18="No"),0,1)&gt;0,$E12*$C$5,0)</f>
        <v>0</v>
      </c>
      <c r="X12" s="31" t="n">
        <f aca="false">$F12*INDEX(Escenarios!$K$12:$K$36,MATCH($A12,Escenarios!$A$12:$A$36,0))*IF(AND($C12="INVAP",Inputs!$C$18="No"),0,1)*G12*$C$5</f>
        <v>0</v>
      </c>
      <c r="Y12" s="31" t="n">
        <f aca="false">$F12*INDEX(Escenarios!$K$12:$K$36,MATCH($A12,Escenarios!$A$12:$A$36,0))*IF(AND($C12="INVAP",Inputs!$C$18="No"),0,1)*H12*$C$5</f>
        <v>0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0</v>
      </c>
      <c r="AC12" s="31" t="n">
        <f aca="false">IF(INDEX(Escenarios!$L$12:$L$36,MATCH($A12,Escenarios!$A$12:$A$36,0))*IF(AND($C12="INVAP",Inputs!$C$18="No"),0,1)&gt;0,$E12*$C$5,0)</f>
        <v>0</v>
      </c>
      <c r="AD12" s="31" t="n">
        <f aca="false">$F12*INDEX(Escenarios!$L$12:$L$36,MATCH($A12,Escenarios!$A$12:$A$36,0))*IF(AND($C12="INVAP",Inputs!$C$18="No"),0,1)*G12*$C$5</f>
        <v>0</v>
      </c>
      <c r="AE12" s="31" t="n">
        <f aca="false">$F12*INDEX(Escenarios!$L$12:$L$36,MATCH($A12,Escenarios!$A$12:$A$36,0))*IF(AND($C12="INVAP",Inputs!$C$18="No"),0,1)*H12*$C$5</f>
        <v>0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0</v>
      </c>
    </row>
    <row r="13" customFormat="false" ht="15" hidden="false" customHeight="false" outlineLevel="0" collapsed="false">
      <c r="A13" s="15" t="s">
        <v>73</v>
      </c>
      <c r="B13" s="4" t="s">
        <v>74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SUMIFS(Datos!$H$5:$H$291,Datos!$E$5:$E$291,$A13,Datos!$F$5:$F$291,"S1")</f>
        <v>0</v>
      </c>
      <c r="F13" s="31" t="n">
        <f aca="false">SUMIFS(Datos!$J$5:$J$291,Datos!$E$5:$E$291,$A13,Datos!$F$5:$F$291,"S1")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75</v>
      </c>
      <c r="B14" s="4" t="s">
        <v>76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SUMIFS(Datos!$H$5:$H$291,Datos!$E$5:$E$291,$A14,Datos!$F$5:$F$291,"S1")</f>
        <v>0</v>
      </c>
      <c r="F14" s="31" t="n">
        <f aca="false">SUMIFS(Datos!$J$5:$J$291,Datos!$E$5:$E$291,$A14,Datos!$F$5:$F$291,"S1")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77</v>
      </c>
      <c r="B15" s="4" t="s">
        <v>78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SUMIFS(Datos!$H$5:$H$291,Datos!$E$5:$E$291,$A15,Datos!$F$5:$F$291,"S1")</f>
        <v>0</v>
      </c>
      <c r="F15" s="31" t="n">
        <f aca="false">SUMIFS(Datos!$J$5:$J$291,Datos!$E$5:$E$291,$A15,Datos!$F$5:$F$291,"S1")</f>
        <v>0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0</v>
      </c>
      <c r="L15" s="31" t="n">
        <f aca="false">$F15*INDEX(Escenarios!$I$12:$I$36,MATCH($A15,Escenarios!$A$12:$A$36,0))*IF(AND($C15="INVAP",Inputs!$C$18="No"),0,1)*G15*$C$5</f>
        <v>0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0</v>
      </c>
      <c r="Q15" s="31" t="n">
        <f aca="false">IF(INDEX(Escenarios!$J$12:$J$36,MATCH($A15,Escenarios!$A$12:$A$36,0))*IF(AND($C15="INVAP",Inputs!$C$18="No"),0,1)&gt;0,$E15*$C$5,0)</f>
        <v>0</v>
      </c>
      <c r="R15" s="31" t="n">
        <f aca="false">$F15*INDEX(Escenarios!$J$12:$J$36,MATCH($A15,Escenarios!$A$12:$A$36,0))*IF(AND($C15="INVAP",Inputs!$C$18="No"),0,1)*G15*$C$5</f>
        <v>0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0</v>
      </c>
      <c r="W15" s="31" t="n">
        <f aca="false">IF(INDEX(Escenarios!$K$12:$K$36,MATCH($A15,Escenarios!$A$12:$A$36,0))*IF(AND($C15="INVAP",Inputs!$C$18="No"),0,1)&gt;0,$E15*$C$5,0)</f>
        <v>0</v>
      </c>
      <c r="X15" s="31" t="n">
        <f aca="false">$F15*INDEX(Escenarios!$K$12:$K$36,MATCH($A15,Escenarios!$A$12:$A$36,0))*IF(AND($C15="INVAP",Inputs!$C$18="No"),0,1)*G15*$C$5</f>
        <v>0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0</v>
      </c>
      <c r="AC15" s="31" t="n">
        <f aca="false">IF(INDEX(Escenarios!$L$12:$L$36,MATCH($A15,Escenarios!$A$12:$A$36,0))*IF(AND($C15="INVAP",Inputs!$C$18="No"),0,1)&gt;0,$E15*$C$5,0)</f>
        <v>0</v>
      </c>
      <c r="AD15" s="31" t="n">
        <f aca="false">$F15*INDEX(Escenarios!$L$12:$L$36,MATCH($A15,Escenarios!$A$12:$A$36,0))*IF(AND($C15="INVAP",Inputs!$C$18="No"),0,1)*G15*$C$5</f>
        <v>0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0</v>
      </c>
    </row>
    <row r="16" customFormat="false" ht="15" hidden="false" customHeight="false" outlineLevel="0" collapsed="false">
      <c r="A16" s="15" t="s">
        <v>79</v>
      </c>
      <c r="B16" s="4" t="s">
        <v>80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SUMIFS(Datos!$H$5:$H$291,Datos!$E$5:$E$291,$A16,Datos!$F$5:$F$291,"S1")</f>
        <v>0</v>
      </c>
      <c r="F16" s="31" t="n">
        <f aca="false">SUMIFS(Datos!$J$5:$J$291,Datos!$E$5:$E$291,$A16,Datos!$F$5:$F$291,"S1")</f>
        <v>0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0</v>
      </c>
      <c r="L16" s="31" t="n">
        <f aca="false">$F16*INDEX(Escenarios!$I$12:$I$36,MATCH($A16,Escenarios!$A$12:$A$36,0))*IF(AND($C16="INVAP",Inputs!$C$18="No"),0,1)*G16*$C$5</f>
        <v>0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0</v>
      </c>
      <c r="Q16" s="31" t="n">
        <f aca="false">IF(INDEX(Escenarios!$J$12:$J$36,MATCH($A16,Escenarios!$A$12:$A$36,0))*IF(AND($C16="INVAP",Inputs!$C$18="No"),0,1)&gt;0,$E16*$C$5,0)</f>
        <v>0</v>
      </c>
      <c r="R16" s="31" t="n">
        <f aca="false">$F16*INDEX(Escenarios!$J$12:$J$36,MATCH($A16,Escenarios!$A$12:$A$36,0))*IF(AND($C16="INVAP",Inputs!$C$18="No"),0,1)*G16*$C$5</f>
        <v>0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0</v>
      </c>
      <c r="W16" s="31" t="n">
        <f aca="false">IF(INDEX(Escenarios!$K$12:$K$36,MATCH($A16,Escenarios!$A$12:$A$36,0))*IF(AND($C16="INVAP",Inputs!$C$18="No"),0,1)&gt;0,$E16*$C$5,0)</f>
        <v>0</v>
      </c>
      <c r="X16" s="31" t="n">
        <f aca="false">$F16*INDEX(Escenarios!$K$12:$K$36,MATCH($A16,Escenarios!$A$12:$A$36,0))*IF(AND($C16="INVAP",Inputs!$C$18="No"),0,1)*G16*$C$5</f>
        <v>0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0</v>
      </c>
      <c r="AC16" s="31" t="n">
        <f aca="false">IF(INDEX(Escenarios!$L$12:$L$36,MATCH($A16,Escenarios!$A$12:$A$36,0))*IF(AND($C16="INVAP",Inputs!$C$18="No"),0,1)&gt;0,$E16*$C$5,0)</f>
        <v>0</v>
      </c>
      <c r="AD16" s="31" t="n">
        <f aca="false">$F16*INDEX(Escenarios!$L$12:$L$36,MATCH($A16,Escenarios!$A$12:$A$36,0))*IF(AND($C16="INVAP",Inputs!$C$18="No"),0,1)*G16*$C$5</f>
        <v>0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0</v>
      </c>
    </row>
    <row r="17" customFormat="false" ht="15" hidden="false" customHeight="false" outlineLevel="0" collapsed="false">
      <c r="A17" s="15" t="s">
        <v>81</v>
      </c>
      <c r="B17" s="4" t="s">
        <v>82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SUMIFS(Datos!$H$5:$H$291,Datos!$E$5:$E$291,$A17,Datos!$F$5:$F$291,"S1")</f>
        <v>0</v>
      </c>
      <c r="F17" s="31" t="n">
        <f aca="false">SUMIFS(Datos!$J$5:$J$291,Datos!$E$5:$E$291,$A17,Datos!$F$5:$F$291,"S1")</f>
        <v>0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0</v>
      </c>
      <c r="L17" s="31" t="n">
        <f aca="false">$F17*INDEX(Escenarios!$I$12:$I$36,MATCH($A17,Escenarios!$A$12:$A$36,0))*IF(AND($C17="INVAP",Inputs!$C$18="No"),0,1)*G17*$C$5</f>
        <v>0</v>
      </c>
      <c r="M17" s="31" t="n">
        <f aca="false">$F17*INDEX(Escenarios!$I$12:$I$36,MATCH($A17,Escenarios!$A$12:$A$36,0))*IF(AND($C17="INVAP",Inputs!$C$18="No"),0,1)*H17*$C$5</f>
        <v>0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0</v>
      </c>
      <c r="Q17" s="31" t="n">
        <f aca="false">IF(INDEX(Escenarios!$J$12:$J$36,MATCH($A17,Escenarios!$A$12:$A$36,0))*IF(AND($C17="INVAP",Inputs!$C$18="No"),0,1)&gt;0,$E17*$C$5,0)</f>
        <v>0</v>
      </c>
      <c r="R17" s="31" t="n">
        <f aca="false">$F17*INDEX(Escenarios!$J$12:$J$36,MATCH($A17,Escenarios!$A$12:$A$36,0))*IF(AND($C17="INVAP",Inputs!$C$18="No"),0,1)*G17*$C$5</f>
        <v>0</v>
      </c>
      <c r="S17" s="31" t="n">
        <f aca="false">$F17*INDEX(Escenarios!$J$12:$J$36,MATCH($A17,Escenarios!$A$12:$A$36,0))*IF(AND($C17="INVAP",Inputs!$C$18="No"),0,1)*H17*$C$5</f>
        <v>0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0</v>
      </c>
      <c r="W17" s="31" t="n">
        <f aca="false">IF(INDEX(Escenarios!$K$12:$K$36,MATCH($A17,Escenarios!$A$12:$A$36,0))*IF(AND($C17="INVAP",Inputs!$C$18="No"),0,1)&gt;0,$E17*$C$5,0)</f>
        <v>0</v>
      </c>
      <c r="X17" s="31" t="n">
        <f aca="false">$F17*INDEX(Escenarios!$K$12:$K$36,MATCH($A17,Escenarios!$A$12:$A$36,0))*IF(AND($C17="INVAP",Inputs!$C$18="No"),0,1)*G17*$C$5</f>
        <v>0</v>
      </c>
      <c r="Y17" s="31" t="n">
        <f aca="false">$F17*INDEX(Escenarios!$K$12:$K$36,MATCH($A17,Escenarios!$A$12:$A$36,0))*IF(AND($C17="INVAP",Inputs!$C$18="No"),0,1)*H17*$C$5</f>
        <v>0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0</v>
      </c>
      <c r="AC17" s="31" t="n">
        <f aca="false">IF(INDEX(Escenarios!$L$12:$L$36,MATCH($A17,Escenarios!$A$12:$A$36,0))*IF(AND($C17="INVAP",Inputs!$C$18="No"),0,1)&gt;0,$E17*$C$5,0)</f>
        <v>0</v>
      </c>
      <c r="AD17" s="31" t="n">
        <f aca="false">$F17*INDEX(Escenarios!$L$12:$L$36,MATCH($A17,Escenarios!$A$12:$A$36,0))*IF(AND($C17="INVAP",Inputs!$C$18="No"),0,1)*G17*$C$5</f>
        <v>0</v>
      </c>
      <c r="AE17" s="31" t="n">
        <f aca="false">$F17*INDEX(Escenarios!$L$12:$L$36,MATCH($A17,Escenarios!$A$12:$A$36,0))*IF(AND($C17="INVAP",Inputs!$C$18="No"),0,1)*H17*$C$5</f>
        <v>0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0</v>
      </c>
    </row>
    <row r="18" customFormat="false" ht="15" hidden="false" customHeight="false" outlineLevel="0" collapsed="false">
      <c r="A18" s="15" t="s">
        <v>83</v>
      </c>
      <c r="B18" s="4" t="s">
        <v>84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SUMIFS(Datos!$H$5:$H$291,Datos!$E$5:$E$291,$A18,Datos!$F$5:$F$291,"S1")</f>
        <v>0</v>
      </c>
      <c r="F18" s="31" t="n">
        <f aca="false">SUMIFS(Datos!$J$5:$J$291,Datos!$E$5:$E$291,$A18,Datos!$F$5:$F$291,"S1")</f>
        <v>0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0</v>
      </c>
      <c r="L18" s="31" t="n">
        <f aca="false">$F18*INDEX(Escenarios!$I$12:$I$36,MATCH($A18,Escenarios!$A$12:$A$36,0))*IF(AND($C18="INVAP",Inputs!$C$18="No"),0,1)*G18*$C$5</f>
        <v>0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0</v>
      </c>
      <c r="Q18" s="31" t="n">
        <f aca="false">IF(INDEX(Escenarios!$J$12:$J$36,MATCH($A18,Escenarios!$A$12:$A$36,0))*IF(AND($C18="INVAP",Inputs!$C$18="No"),0,1)&gt;0,$E18*$C$5,0)</f>
        <v>0</v>
      </c>
      <c r="R18" s="31" t="n">
        <f aca="false">$F18*INDEX(Escenarios!$J$12:$J$36,MATCH($A18,Escenarios!$A$12:$A$36,0))*IF(AND($C18="INVAP",Inputs!$C$18="No"),0,1)*G18*$C$5</f>
        <v>0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0</v>
      </c>
      <c r="W18" s="31" t="n">
        <f aca="false">IF(INDEX(Escenarios!$K$12:$K$36,MATCH($A18,Escenarios!$A$12:$A$36,0))*IF(AND($C18="INVAP",Inputs!$C$18="No"),0,1)&gt;0,$E18*$C$5,0)</f>
        <v>0</v>
      </c>
      <c r="X18" s="31" t="n">
        <f aca="false">$F18*INDEX(Escenarios!$K$12:$K$36,MATCH($A18,Escenarios!$A$12:$A$36,0))*IF(AND($C18="INVAP",Inputs!$C$18="No"),0,1)*G18*$C$5</f>
        <v>0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0</v>
      </c>
      <c r="AC18" s="31" t="n">
        <f aca="false">IF(INDEX(Escenarios!$L$12:$L$36,MATCH($A18,Escenarios!$A$12:$A$36,0))*IF(AND($C18="INVAP",Inputs!$C$18="No"),0,1)&gt;0,$E18*$C$5,0)</f>
        <v>0</v>
      </c>
      <c r="AD18" s="31" t="n">
        <f aca="false">$F18*INDEX(Escenarios!$L$12:$L$36,MATCH($A18,Escenarios!$A$12:$A$36,0))*IF(AND($C18="INVAP",Inputs!$C$18="No"),0,1)*G18*$C$5</f>
        <v>0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0</v>
      </c>
    </row>
    <row r="19" customFormat="false" ht="15" hidden="false" customHeight="false" outlineLevel="0" collapsed="false">
      <c r="A19" s="15" t="s">
        <v>85</v>
      </c>
      <c r="B19" s="4" t="s">
        <v>86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SUMIFS(Datos!$H$5:$H$291,Datos!$E$5:$E$291,$A19,Datos!$F$5:$F$291,"S1")</f>
        <v>0</v>
      </c>
      <c r="F19" s="31" t="n">
        <f aca="false">SUMIFS(Datos!$J$5:$J$291,Datos!$E$5:$E$291,$A19,Datos!$F$5:$F$291,"S1")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87</v>
      </c>
      <c r="B20" s="4" t="s">
        <v>88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SUMIFS(Datos!$H$5:$H$291,Datos!$E$5:$E$291,$A20,Datos!$F$5:$F$291,"S1")</f>
        <v>0</v>
      </c>
      <c r="F20" s="31" t="n">
        <f aca="false">SUMIFS(Datos!$J$5:$J$291,Datos!$E$5:$E$291,$A20,Datos!$F$5:$F$291,"S1")</f>
        <v>0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0</v>
      </c>
      <c r="L20" s="31" t="n">
        <f aca="false">$F20*INDEX(Escenarios!$I$12:$I$36,MATCH($A20,Escenarios!$A$12:$A$36,0))*IF(AND($C20="INVAP",Inputs!$C$18="No"),0,1)*G20*$C$5</f>
        <v>0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0</v>
      </c>
      <c r="Q20" s="31" t="n">
        <f aca="false">IF(INDEX(Escenarios!$J$12:$J$36,MATCH($A20,Escenarios!$A$12:$A$36,0))*IF(AND($C20="INVAP",Inputs!$C$18="No"),0,1)&gt;0,$E20*$C$5,0)</f>
        <v>0</v>
      </c>
      <c r="R20" s="31" t="n">
        <f aca="false">$F20*INDEX(Escenarios!$J$12:$J$36,MATCH($A20,Escenarios!$A$12:$A$36,0))*IF(AND($C20="INVAP",Inputs!$C$18="No"),0,1)*G20*$C$5</f>
        <v>0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0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89</v>
      </c>
      <c r="B21" s="4" t="s">
        <v>90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SUMIFS(Datos!$H$5:$H$291,Datos!$E$5:$E$291,$A21,Datos!$F$5:$F$291,"S1")</f>
        <v>0</v>
      </c>
      <c r="F21" s="31" t="n">
        <f aca="false">SUMIFS(Datos!$J$5:$J$291,Datos!$E$5:$E$291,$A21,Datos!$F$5:$F$291,"S1")</f>
        <v>0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0</v>
      </c>
      <c r="L21" s="31" t="n">
        <f aca="false">$F21*INDEX(Escenarios!$I$12:$I$36,MATCH($A21,Escenarios!$A$12:$A$36,0))*IF(AND($C21="INVAP",Inputs!$C$18="No"),0,1)*G21*$C$5</f>
        <v>0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0</v>
      </c>
      <c r="Q21" s="31" t="n">
        <f aca="false">IF(INDEX(Escenarios!$J$12:$J$36,MATCH($A21,Escenarios!$A$12:$A$36,0))*IF(AND($C21="INVAP",Inputs!$C$18="No"),0,1)&gt;0,$E21*$C$5,0)</f>
        <v>0</v>
      </c>
      <c r="R21" s="31" t="n">
        <f aca="false">$F21*INDEX(Escenarios!$J$12:$J$36,MATCH($A21,Escenarios!$A$12:$A$36,0))*IF(AND($C21="INVAP",Inputs!$C$18="No"),0,1)*G21*$C$5</f>
        <v>0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0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91</v>
      </c>
      <c r="B22" s="4" t="s">
        <v>92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SUMIFS(Datos!$H$5:$H$291,Datos!$E$5:$E$291,$A22,Datos!$F$5:$F$291,"S1")</f>
        <v>0</v>
      </c>
      <c r="F22" s="31" t="n">
        <f aca="false">SUMIFS(Datos!$J$5:$J$291,Datos!$E$5:$E$291,$A22,Datos!$F$5:$F$291,"S1")</f>
        <v>0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0</v>
      </c>
      <c r="L22" s="31" t="n">
        <f aca="false">$F22*INDEX(Escenarios!$I$12:$I$36,MATCH($A22,Escenarios!$A$12:$A$36,0))*IF(AND($C22="INVAP",Inputs!$C$18="No"),0,1)*G22*$C$5</f>
        <v>0</v>
      </c>
      <c r="M22" s="31" t="n">
        <f aca="false">$F22*INDEX(Escenarios!$I$12:$I$36,MATCH($A22,Escenarios!$A$12:$A$36,0))*IF(AND($C22="INVAP",Inputs!$C$18="No"),0,1)*H22*$C$5</f>
        <v>0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0</v>
      </c>
      <c r="Q22" s="31" t="n">
        <f aca="false">IF(INDEX(Escenarios!$J$12:$J$36,MATCH($A22,Escenarios!$A$12:$A$36,0))*IF(AND($C22="INVAP",Inputs!$C$18="No"),0,1)&gt;0,$E22*$C$5,0)</f>
        <v>0</v>
      </c>
      <c r="R22" s="31" t="n">
        <f aca="false">$F22*INDEX(Escenarios!$J$12:$J$36,MATCH($A22,Escenarios!$A$12:$A$36,0))*IF(AND($C22="INVAP",Inputs!$C$18="No"),0,1)*G22*$C$5</f>
        <v>0</v>
      </c>
      <c r="S22" s="31" t="n">
        <f aca="false">$F22*INDEX(Escenarios!$J$12:$J$36,MATCH($A22,Escenarios!$A$12:$A$36,0))*IF(AND($C22="INVAP",Inputs!$C$18="No"),0,1)*H22*$C$5</f>
        <v>0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0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93</v>
      </c>
      <c r="B23" s="4" t="s">
        <v>94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SUMIFS(Datos!$H$5:$H$291,Datos!$E$5:$E$291,$A23,Datos!$F$5:$F$291,"S1")</f>
        <v>0</v>
      </c>
      <c r="F23" s="31" t="n">
        <f aca="false">SUMIFS(Datos!$J$5:$J$291,Datos!$E$5:$E$291,$A23,Datos!$F$5:$F$291,"S1")</f>
        <v>0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0</v>
      </c>
      <c r="L23" s="31" t="n">
        <f aca="false">$F23*INDEX(Escenarios!$I$12:$I$36,MATCH($A23,Escenarios!$A$12:$A$36,0))*IF(AND($C23="INVAP",Inputs!$C$18="No"),0,1)*G23*$C$5</f>
        <v>0</v>
      </c>
      <c r="M23" s="31" t="n">
        <f aca="false">$F23*INDEX(Escenarios!$I$12:$I$36,MATCH($A23,Escenarios!$A$12:$A$36,0))*IF(AND($C23="INVAP",Inputs!$C$18="No"),0,1)*H23*$C$5</f>
        <v>0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0</v>
      </c>
      <c r="Q23" s="31" t="n">
        <f aca="false">IF(INDEX(Escenarios!$J$12:$J$36,MATCH($A23,Escenarios!$A$12:$A$36,0))*IF(AND($C23="INVAP",Inputs!$C$18="No"),0,1)&gt;0,$E23*$C$5,0)</f>
        <v>0</v>
      </c>
      <c r="R23" s="31" t="n">
        <f aca="false">$F23*INDEX(Escenarios!$J$12:$J$36,MATCH($A23,Escenarios!$A$12:$A$36,0))*IF(AND($C23="INVAP",Inputs!$C$18="No"),0,1)*G23*$C$5</f>
        <v>0</v>
      </c>
      <c r="S23" s="31" t="n">
        <f aca="false">$F23*INDEX(Escenarios!$J$12:$J$36,MATCH($A23,Escenarios!$A$12:$A$36,0))*IF(AND($C23="INVAP",Inputs!$C$18="No"),0,1)*H23*$C$5</f>
        <v>0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0</v>
      </c>
      <c r="W23" s="31" t="n">
        <f aca="false">IF(INDEX(Escenarios!$K$12:$K$36,MATCH($A23,Escenarios!$A$12:$A$36,0))*IF(AND($C23="INVAP",Inputs!$C$18="No"),0,1)&gt;0,$E23*$C$5,0)</f>
        <v>0</v>
      </c>
      <c r="X23" s="31" t="n">
        <f aca="false">$F23*INDEX(Escenarios!$K$12:$K$36,MATCH($A23,Escenarios!$A$12:$A$36,0))*IF(AND($C23="INVAP",Inputs!$C$18="No"),0,1)*G23*$C$5</f>
        <v>0</v>
      </c>
      <c r="Y23" s="31" t="n">
        <f aca="false">$F23*INDEX(Escenarios!$K$12:$K$36,MATCH($A23,Escenarios!$A$12:$A$36,0))*IF(AND($C23="INVAP",Inputs!$C$18="No"),0,1)*H23*$C$5</f>
        <v>0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0</v>
      </c>
      <c r="AC23" s="31" t="n">
        <f aca="false">IF(INDEX(Escenarios!$L$12:$L$36,MATCH($A23,Escenarios!$A$12:$A$36,0))*IF(AND($C23="INVAP",Inputs!$C$18="No"),0,1)&gt;0,$E23*$C$5,0)</f>
        <v>0</v>
      </c>
      <c r="AD23" s="31" t="n">
        <f aca="false">$F23*INDEX(Escenarios!$L$12:$L$36,MATCH($A23,Escenarios!$A$12:$A$36,0))*IF(AND($C23="INVAP",Inputs!$C$18="No"),0,1)*G23*$C$5</f>
        <v>0</v>
      </c>
      <c r="AE23" s="31" t="n">
        <f aca="false">$F23*INDEX(Escenarios!$L$12:$L$36,MATCH($A23,Escenarios!$A$12:$A$36,0))*IF(AND($C23="INVAP",Inputs!$C$18="No"),0,1)*H23*$C$5</f>
        <v>0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0</v>
      </c>
    </row>
    <row r="24" customFormat="false" ht="15" hidden="false" customHeight="false" outlineLevel="0" collapsed="false">
      <c r="A24" s="15" t="s">
        <v>95</v>
      </c>
      <c r="B24" s="4" t="s">
        <v>96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SUMIFS(Datos!$H$5:$H$291,Datos!$E$5:$E$291,$A24,Datos!$F$5:$F$291,"S1")</f>
        <v>0</v>
      </c>
      <c r="F24" s="31" t="n">
        <f aca="false">SUMIFS(Datos!$J$5:$J$291,Datos!$E$5:$E$291,$A24,Datos!$F$5:$F$291,"S1")</f>
        <v>0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0</v>
      </c>
      <c r="L24" s="31" t="n">
        <f aca="false">$F24*INDEX(Escenarios!$I$12:$I$36,MATCH($A24,Escenarios!$A$12:$A$36,0))*IF(AND($C24="INVAP",Inputs!$C$18="No"),0,1)*G24*$C$5</f>
        <v>0</v>
      </c>
      <c r="M24" s="31" t="n">
        <f aca="false">$F24*INDEX(Escenarios!$I$12:$I$36,MATCH($A24,Escenarios!$A$12:$A$36,0))*IF(AND($C24="INVAP",Inputs!$C$18="No"),0,1)*H24*$C$5</f>
        <v>0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0</v>
      </c>
      <c r="Q24" s="31" t="n">
        <f aca="false">IF(INDEX(Escenarios!$J$12:$J$36,MATCH($A24,Escenarios!$A$12:$A$36,0))*IF(AND($C24="INVAP",Inputs!$C$18="No"),0,1)&gt;0,$E24*$C$5,0)</f>
        <v>0</v>
      </c>
      <c r="R24" s="31" t="n">
        <f aca="false">$F24*INDEX(Escenarios!$J$12:$J$36,MATCH($A24,Escenarios!$A$12:$A$36,0))*IF(AND($C24="INVAP",Inputs!$C$18="No"),0,1)*G24*$C$5</f>
        <v>0</v>
      </c>
      <c r="S24" s="31" t="n">
        <f aca="false">$F24*INDEX(Escenarios!$J$12:$J$36,MATCH($A24,Escenarios!$A$12:$A$36,0))*IF(AND($C24="INVAP",Inputs!$C$18="No"),0,1)*H24*$C$5</f>
        <v>0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0</v>
      </c>
      <c r="W24" s="31" t="n">
        <f aca="false">IF(INDEX(Escenarios!$K$12:$K$36,MATCH($A24,Escenarios!$A$12:$A$36,0))*IF(AND($C24="INVAP",Inputs!$C$18="No"),0,1)&gt;0,$E24*$C$5,0)</f>
        <v>0</v>
      </c>
      <c r="X24" s="31" t="n">
        <f aca="false">$F24*INDEX(Escenarios!$K$12:$K$36,MATCH($A24,Escenarios!$A$12:$A$36,0))*IF(AND($C24="INVAP",Inputs!$C$18="No"),0,1)*G24*$C$5</f>
        <v>0</v>
      </c>
      <c r="Y24" s="31" t="n">
        <f aca="false">$F24*INDEX(Escenarios!$K$12:$K$36,MATCH($A24,Escenarios!$A$12:$A$36,0))*IF(AND($C24="INVAP",Inputs!$C$18="No"),0,1)*H24*$C$5</f>
        <v>0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0</v>
      </c>
      <c r="AC24" s="31" t="n">
        <f aca="false">IF(INDEX(Escenarios!$L$12:$L$36,MATCH($A24,Escenarios!$A$12:$A$36,0))*IF(AND($C24="INVAP",Inputs!$C$18="No"),0,1)&gt;0,$E24*$C$5,0)</f>
        <v>0</v>
      </c>
      <c r="AD24" s="31" t="n">
        <f aca="false">$F24*INDEX(Escenarios!$L$12:$L$36,MATCH($A24,Escenarios!$A$12:$A$36,0))*IF(AND($C24="INVAP",Inputs!$C$18="No"),0,1)*G24*$C$5</f>
        <v>0</v>
      </c>
      <c r="AE24" s="31" t="n">
        <f aca="false">$F24*INDEX(Escenarios!$L$12:$L$36,MATCH($A24,Escenarios!$A$12:$A$36,0))*IF(AND($C24="INVAP",Inputs!$C$18="No"),0,1)*H24*$C$5</f>
        <v>0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0</v>
      </c>
    </row>
    <row r="25" customFormat="false" ht="15" hidden="false" customHeight="false" outlineLevel="0" collapsed="false">
      <c r="A25" s="15" t="s">
        <v>97</v>
      </c>
      <c r="B25" s="4" t="s">
        <v>98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SUMIFS(Datos!$H$5:$H$291,Datos!$E$5:$E$291,$A25,Datos!$F$5:$F$291,"S1")</f>
        <v>0</v>
      </c>
      <c r="F25" s="31" t="n">
        <f aca="false">SUMIFS(Datos!$J$5:$J$291,Datos!$E$5:$E$291,$A25,Datos!$F$5:$F$291,"S1")</f>
        <v>0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0</v>
      </c>
      <c r="L25" s="31" t="n">
        <f aca="false">$F25*INDEX(Escenarios!$I$12:$I$36,MATCH($A25,Escenarios!$A$12:$A$36,0))*IF(AND($C25="INVAP",Inputs!$C$18="No"),0,1)*G25*$C$5</f>
        <v>0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0</v>
      </c>
      <c r="Q25" s="31" t="n">
        <f aca="false">IF(INDEX(Escenarios!$J$12:$J$36,MATCH($A25,Escenarios!$A$12:$A$36,0))*IF(AND($C25="INVAP",Inputs!$C$18="No"),0,1)&gt;0,$E25*$C$5,0)</f>
        <v>0</v>
      </c>
      <c r="R25" s="31" t="n">
        <f aca="false">$F25*INDEX(Escenarios!$J$12:$J$36,MATCH($A25,Escenarios!$A$12:$A$36,0))*IF(AND($C25="INVAP",Inputs!$C$18="No"),0,1)*G25*$C$5</f>
        <v>0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0</v>
      </c>
      <c r="W25" s="31" t="n">
        <f aca="false">IF(INDEX(Escenarios!$K$12:$K$36,MATCH($A25,Escenarios!$A$12:$A$36,0))*IF(AND($C25="INVAP",Inputs!$C$18="No"),0,1)&gt;0,$E25*$C$5,0)</f>
        <v>0</v>
      </c>
      <c r="X25" s="31" t="n">
        <f aca="false">$F25*INDEX(Escenarios!$K$12:$K$36,MATCH($A25,Escenarios!$A$12:$A$36,0))*IF(AND($C25="INVAP",Inputs!$C$18="No"),0,1)*G25*$C$5</f>
        <v>0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0</v>
      </c>
      <c r="AC25" s="31" t="n">
        <f aca="false">IF(INDEX(Escenarios!$L$12:$L$36,MATCH($A25,Escenarios!$A$12:$A$36,0))*IF(AND($C25="INVAP",Inputs!$C$18="No"),0,1)&gt;0,$E25*$C$5,0)</f>
        <v>0</v>
      </c>
      <c r="AD25" s="31" t="n">
        <f aca="false">$F25*INDEX(Escenarios!$L$12:$L$36,MATCH($A25,Escenarios!$A$12:$A$36,0))*IF(AND($C25="INVAP",Inputs!$C$18="No"),0,1)*G25*$C$5</f>
        <v>0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0</v>
      </c>
    </row>
    <row r="26" customFormat="false" ht="15" hidden="false" customHeight="false" outlineLevel="0" collapsed="false">
      <c r="A26" s="15" t="s">
        <v>99</v>
      </c>
      <c r="B26" s="4" t="s">
        <v>100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SUMIFS(Datos!$H$5:$H$291,Datos!$E$5:$E$291,$A26,Datos!$F$5:$F$291,"S1")</f>
        <v>0</v>
      </c>
      <c r="F26" s="31" t="n">
        <f aca="false">SUMIFS(Datos!$J$5:$J$291,Datos!$E$5:$E$291,$A26,Datos!$F$5:$F$291,"S1")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101</v>
      </c>
      <c r="B27" s="4" t="s">
        <v>102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SUMIFS(Datos!$H$5:$H$291,Datos!$E$5:$E$291,$A27,Datos!$F$5:$F$291,"S1")</f>
        <v>0</v>
      </c>
      <c r="F27" s="31" t="n">
        <f aca="false">SUMIFS(Datos!$J$5:$J$291,Datos!$E$5:$E$291,$A27,Datos!$F$5:$F$291,"S1")</f>
        <v>0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0</v>
      </c>
      <c r="L27" s="31" t="n">
        <f aca="false">$F27*INDEX(Escenarios!$I$12:$I$36,MATCH($A27,Escenarios!$A$12:$A$36,0))*IF(AND($C27="INVAP",Inputs!$C$18="No"),0,1)*G27*$C$5</f>
        <v>0</v>
      </c>
      <c r="M27" s="31" t="n">
        <f aca="false">$F27*INDEX(Escenarios!$I$12:$I$36,MATCH($A27,Escenarios!$A$12:$A$36,0))*IF(AND($C27="INVAP",Inputs!$C$18="No"),0,1)*H27*$C$5</f>
        <v>0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0</v>
      </c>
      <c r="Q27" s="31" t="n">
        <f aca="false">IF(INDEX(Escenarios!$J$12:$J$36,MATCH($A27,Escenarios!$A$12:$A$36,0))*IF(AND($C27="INVAP",Inputs!$C$18="No"),0,1)&gt;0,$E27*$C$5,0)</f>
        <v>0</v>
      </c>
      <c r="R27" s="31" t="n">
        <f aca="false">$F27*INDEX(Escenarios!$J$12:$J$36,MATCH($A27,Escenarios!$A$12:$A$36,0))*IF(AND($C27="INVAP",Inputs!$C$18="No"),0,1)*G27*$C$5</f>
        <v>0</v>
      </c>
      <c r="S27" s="31" t="n">
        <f aca="false">$F27*INDEX(Escenarios!$J$12:$J$36,MATCH($A27,Escenarios!$A$12:$A$36,0))*IF(AND($C27="INVAP",Inputs!$C$18="No"),0,1)*H27*$C$5</f>
        <v>0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0</v>
      </c>
      <c r="W27" s="31" t="n">
        <f aca="false">IF(INDEX(Escenarios!$K$12:$K$36,MATCH($A27,Escenarios!$A$12:$A$36,0))*IF(AND($C27="INVAP",Inputs!$C$18="No"),0,1)&gt;0,$E27*$C$5,0)</f>
        <v>0</v>
      </c>
      <c r="X27" s="31" t="n">
        <f aca="false">$F27*INDEX(Escenarios!$K$12:$K$36,MATCH($A27,Escenarios!$A$12:$A$36,0))*IF(AND($C27="INVAP",Inputs!$C$18="No"),0,1)*G27*$C$5</f>
        <v>0</v>
      </c>
      <c r="Y27" s="31" t="n">
        <f aca="false">$F27*INDEX(Escenarios!$K$12:$K$36,MATCH($A27,Escenarios!$A$12:$A$36,0))*IF(AND($C27="INVAP",Inputs!$C$18="No"),0,1)*H27*$C$5</f>
        <v>0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0</v>
      </c>
      <c r="AC27" s="31" t="n">
        <f aca="false">IF(INDEX(Escenarios!$L$12:$L$36,MATCH($A27,Escenarios!$A$12:$A$36,0))*IF(AND($C27="INVAP",Inputs!$C$18="No"),0,1)&gt;0,$E27*$C$5,0)</f>
        <v>0</v>
      </c>
      <c r="AD27" s="31" t="n">
        <f aca="false">$F27*INDEX(Escenarios!$L$12:$L$36,MATCH($A27,Escenarios!$A$12:$A$36,0))*IF(AND($C27="INVAP",Inputs!$C$18="No"),0,1)*G27*$C$5</f>
        <v>0</v>
      </c>
      <c r="AE27" s="31" t="n">
        <f aca="false">$F27*INDEX(Escenarios!$L$12:$L$36,MATCH($A27,Escenarios!$A$12:$A$36,0))*IF(AND($C27="INVAP",Inputs!$C$18="No"),0,1)*H27*$C$5</f>
        <v>0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0</v>
      </c>
    </row>
    <row r="28" customFormat="false" ht="15" hidden="false" customHeight="false" outlineLevel="0" collapsed="false">
      <c r="A28" s="15" t="s">
        <v>103</v>
      </c>
      <c r="B28" s="4" t="s">
        <v>104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SUMIFS(Datos!$H$5:$H$291,Datos!$E$5:$E$291,$A28,Datos!$F$5:$F$291,"S1")</f>
        <v>345</v>
      </c>
      <c r="F28" s="31" t="n">
        <f aca="false">SUMIFS(Datos!$J$5:$J$291,Datos!$E$5:$E$291,$A28,Datos!$F$5:$F$291,"S1")</f>
        <v>78836.1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345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78836.1</v>
      </c>
      <c r="P28" s="33" t="n">
        <f aca="false">SUM(L28:O28)</f>
        <v>78836.1</v>
      </c>
      <c r="Q28" s="31" t="n">
        <f aca="false">IF(INDEX(Escenarios!$J$12:$J$36,MATCH($A28,Escenarios!$A$12:$A$36,0))*IF(AND($C28="INVAP",Inputs!$C$18="No"),0,1)&gt;0,$E28*$C$5,0)</f>
        <v>345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78836.1</v>
      </c>
      <c r="V28" s="33" t="n">
        <f aca="false">SUM(R28:U28)</f>
        <v>78836.1</v>
      </c>
      <c r="W28" s="31" t="n">
        <f aca="false">IF(INDEX(Escenarios!$K$12:$K$36,MATCH($A28,Escenarios!$A$12:$A$36,0))*IF(AND($C28="INVAP",Inputs!$C$18="No"),0,1)&gt;0,$E28*$C$5,0)</f>
        <v>345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78836.1</v>
      </c>
      <c r="AB28" s="33" t="n">
        <f aca="false">SUM(X28:AA28)</f>
        <v>78836.1</v>
      </c>
      <c r="AC28" s="31" t="n">
        <f aca="false">IF(INDEX(Escenarios!$L$12:$L$36,MATCH($A28,Escenarios!$A$12:$A$36,0))*IF(AND($C28="INVAP",Inputs!$C$18="No"),0,1)&gt;0,$E28*$C$5,0)</f>
        <v>345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78836.1</v>
      </c>
      <c r="AH28" s="33" t="n">
        <f aca="false">SUM(AD28:AG28)</f>
        <v>78836.1</v>
      </c>
    </row>
    <row r="29" customFormat="false" ht="15" hidden="false" customHeight="false" outlineLevel="0" collapsed="false">
      <c r="A29" s="15" t="s">
        <v>105</v>
      </c>
      <c r="B29" s="4" t="s">
        <v>106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SUMIFS(Datos!$H$5:$H$291,Datos!$E$5:$E$291,$A29,Datos!$F$5:$F$291,"S1")</f>
        <v>270</v>
      </c>
      <c r="F29" s="31" t="n">
        <f aca="false">SUMIFS(Datos!$J$5:$J$291,Datos!$E$5:$E$291,$A29,Datos!$F$5:$F$291,"S1")</f>
        <v>62875.575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270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62875.575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62875.575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270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31437.7875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31437.7875</v>
      </c>
    </row>
    <row r="30" customFormat="false" ht="15" hidden="false" customHeight="false" outlineLevel="0" collapsed="false">
      <c r="A30" s="15" t="s">
        <v>107</v>
      </c>
      <c r="B30" s="4" t="s">
        <v>108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SUMIFS(Datos!$H$5:$H$291,Datos!$E$5:$E$291,$A30,Datos!$F$5:$F$291,"S1")</f>
        <v>195</v>
      </c>
      <c r="F30" s="31" t="n">
        <f aca="false">SUMIFS(Datos!$J$5:$J$291,Datos!$E$5:$E$291,$A30,Datos!$F$5:$F$291,"S1")</f>
        <v>45191.475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195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45191.475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45191.475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195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22595.7375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22595.7375</v>
      </c>
    </row>
    <row r="31" customFormat="false" ht="15" hidden="false" customHeight="false" outlineLevel="0" collapsed="false">
      <c r="A31" s="15" t="s">
        <v>109</v>
      </c>
      <c r="B31" s="4" t="s">
        <v>110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SUMIFS(Datos!$H$5:$H$291,Datos!$E$5:$E$291,$A31,Datos!$F$5:$F$291,"S1")</f>
        <v>0</v>
      </c>
      <c r="F31" s="31" t="n">
        <f aca="false">SUMIFS(Datos!$J$5:$J$291,Datos!$E$5:$E$291,$A31,Datos!$F$5:$F$291,"S1")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111</v>
      </c>
      <c r="B32" s="4" t="s">
        <v>112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SUMIFS(Datos!$H$5:$H$291,Datos!$E$5:$E$291,$A32,Datos!$F$5:$F$291,"S1")</f>
        <v>0</v>
      </c>
      <c r="F32" s="31" t="n">
        <f aca="false">SUMIFS(Datos!$J$5:$J$291,Datos!$E$5:$E$291,$A32,Datos!$F$5:$F$291,"S1")</f>
        <v>0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0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0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0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0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0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0</v>
      </c>
    </row>
    <row r="33" customFormat="false" ht="15" hidden="false" customHeight="false" outlineLevel="0" collapsed="false">
      <c r="A33" s="34"/>
      <c r="B33" s="35" t="s">
        <v>113</v>
      </c>
      <c r="C33" s="34"/>
      <c r="D33" s="34"/>
      <c r="E33" s="36" t="n">
        <f aca="false">SUM(E8:E32)</f>
        <v>1435</v>
      </c>
      <c r="F33" s="36" t="n">
        <f aca="false">SUM(F8:F32)</f>
        <v>335082.825</v>
      </c>
      <c r="G33" s="34"/>
      <c r="H33" s="34"/>
      <c r="I33" s="34"/>
      <c r="J33" s="34"/>
      <c r="K33" s="36" t="n">
        <f aca="false">SUM(K8:K32)</f>
        <v>1435</v>
      </c>
      <c r="L33" s="36" t="n">
        <f aca="false">SUM(L8:L32)</f>
        <v>133361.7075</v>
      </c>
      <c r="M33" s="36" t="n">
        <f aca="false">SUM(M8:M32)</f>
        <v>122885.0175</v>
      </c>
      <c r="N33" s="36" t="n">
        <f aca="false">SUM(N8:N32)</f>
        <v>0</v>
      </c>
      <c r="O33" s="36" t="n">
        <f aca="false">SUM(O8:O32)</f>
        <v>78836.1</v>
      </c>
      <c r="P33" s="36" t="n">
        <f aca="false">SUM(P8:P32)</f>
        <v>335082.825</v>
      </c>
      <c r="Q33" s="36" t="n">
        <f aca="false">SUM(Q8:Q32)</f>
        <v>970</v>
      </c>
      <c r="R33" s="36" t="n">
        <f aca="false">SUM(R8:R32)</f>
        <v>133361.7075</v>
      </c>
      <c r="S33" s="36" t="n">
        <f aca="false">SUM(S8:S32)</f>
        <v>14817.9675</v>
      </c>
      <c r="T33" s="36" t="n">
        <f aca="false">SUM(T8:T32)</f>
        <v>0</v>
      </c>
      <c r="U33" s="36" t="n">
        <f aca="false">SUM(U8:U32)</f>
        <v>78836.1</v>
      </c>
      <c r="V33" s="36" t="n">
        <f aca="false">SUM(V8:V32)</f>
        <v>227015.775</v>
      </c>
      <c r="W33" s="36" t="n">
        <f aca="false">SUM(W8:W32)</f>
        <v>970</v>
      </c>
      <c r="X33" s="36" t="n">
        <f aca="false">SUM(X8:X32)</f>
        <v>133361.7075</v>
      </c>
      <c r="Y33" s="36" t="n">
        <f aca="false">SUM(Y8:Y32)</f>
        <v>14817.9675</v>
      </c>
      <c r="Z33" s="36" t="n">
        <f aca="false">SUM(Z8:Z32)</f>
        <v>0</v>
      </c>
      <c r="AA33" s="36" t="n">
        <f aca="false">SUM(AA8:AA32)</f>
        <v>78836.1</v>
      </c>
      <c r="AB33" s="36" t="n">
        <f aca="false">SUM(AB8:AB32)</f>
        <v>227015.775</v>
      </c>
      <c r="AC33" s="36" t="n">
        <f aca="false">SUM(AC8:AC32)</f>
        <v>1435</v>
      </c>
      <c r="AD33" s="36" t="n">
        <f aca="false">SUM(AD8:AD32)</f>
        <v>133361.7075</v>
      </c>
      <c r="AE33" s="36" t="n">
        <f aca="false">SUM(AE8:AE32)</f>
        <v>68851.4925</v>
      </c>
      <c r="AF33" s="36" t="n">
        <f aca="false">SUM(AF8:AF32)</f>
        <v>0</v>
      </c>
      <c r="AG33" s="36" t="n">
        <f aca="false">SUM(AG8:AG32)</f>
        <v>78836.1</v>
      </c>
      <c r="AH33" s="36" t="n">
        <f aca="false">SUM(AH8:AH32)</f>
        <v>281049.3</v>
      </c>
    </row>
    <row r="34" customFormat="false" ht="15" hidden="false" customHeight="false" outlineLevel="0" collapsed="false">
      <c r="B34" s="37" t="str">
        <f aca="false">"Reducción de precio del Stage 1 ("&amp;TEXT(Inputs!$C$21,"0.0%")&amp;", absorbe "&amp;Inputs!$C$22&amp;")"</f>
        <v>Reducción de precio del Stage 1 (0.0%, absorbe IDOM)</v>
      </c>
      <c r="L34" s="38" t="n">
        <f aca="false">-Inputs!$C$21*IF(Inputs!$C$22="IDOM",P33,L33)</f>
        <v>-0</v>
      </c>
      <c r="M34" s="38" t="n">
        <f aca="false">-Inputs!$C$21*IF(Inputs!$C$22="IDOM",0,M33)</f>
        <v>-0</v>
      </c>
      <c r="N34" s="38" t="n">
        <f aca="false">-Inputs!$C$21*IF(Inputs!$C$22="IDOM",0,N33)</f>
        <v>-0</v>
      </c>
      <c r="O34" s="38" t="n">
        <f aca="false">-Inputs!$C$21*IF(Inputs!$C$22="IDOM",0,O33)</f>
        <v>-0</v>
      </c>
      <c r="P34" s="38" t="n">
        <f aca="false">SUM(L34:O34)</f>
        <v>0</v>
      </c>
      <c r="R34" s="38" t="n">
        <f aca="false">-Inputs!$C$21*IF(Inputs!$C$22="IDOM",V33,R33)</f>
        <v>-0</v>
      </c>
      <c r="S34" s="38" t="n">
        <f aca="false">-Inputs!$C$21*IF(Inputs!$C$22="IDOM",0,S33)</f>
        <v>-0</v>
      </c>
      <c r="T34" s="38" t="n">
        <f aca="false">-Inputs!$C$21*IF(Inputs!$C$22="IDOM",0,T33)</f>
        <v>-0</v>
      </c>
      <c r="U34" s="38" t="n">
        <f aca="false">-Inputs!$C$21*IF(Inputs!$C$22="IDOM",0,U33)</f>
        <v>-0</v>
      </c>
      <c r="V34" s="38" t="n">
        <f aca="false">SUM(R34:U34)</f>
        <v>0</v>
      </c>
      <c r="X34" s="38" t="n">
        <f aca="false">-Inputs!$C$21*IF(Inputs!$C$22="IDOM",AB33,X33)</f>
        <v>-0</v>
      </c>
      <c r="Y34" s="38" t="n">
        <f aca="false">-Inputs!$C$21*IF(Inputs!$C$22="IDOM",0,Y33)</f>
        <v>-0</v>
      </c>
      <c r="Z34" s="38" t="n">
        <f aca="false">-Inputs!$C$21*IF(Inputs!$C$22="IDOM",0,Z33)</f>
        <v>-0</v>
      </c>
      <c r="AA34" s="38" t="n">
        <f aca="false">-Inputs!$C$21*IF(Inputs!$C$22="IDOM",0,AA33)</f>
        <v>-0</v>
      </c>
      <c r="AB34" s="38" t="n">
        <f aca="false">SUM(X34:AA34)</f>
        <v>0</v>
      </c>
      <c r="AD34" s="38" t="n">
        <f aca="false">-Inputs!$C$21*IF(Inputs!$C$22="IDOM",AH33,AD33)</f>
        <v>-0</v>
      </c>
      <c r="AE34" s="38" t="n">
        <f aca="false">-Inputs!$C$21*IF(Inputs!$C$22="IDOM",0,AE33)</f>
        <v>-0</v>
      </c>
      <c r="AF34" s="38" t="n">
        <f aca="false">-Inputs!$C$21*IF(Inputs!$C$22="IDOM",0,AF33)</f>
        <v>-0</v>
      </c>
      <c r="AG34" s="38" t="n">
        <f aca="false">-Inputs!$C$21*IF(Inputs!$C$22="IDOM",0,AG33)</f>
        <v>-0</v>
      </c>
      <c r="AH34" s="38" t="n">
        <f aca="false">SUM(AD34:AG34)</f>
        <v>0</v>
      </c>
    </row>
    <row r="35" customFormat="false" ht="15" hidden="false" customHeight="false" outlineLevel="0" collapsed="false">
      <c r="A35" s="39"/>
      <c r="B35" s="3" t="s">
        <v>114</v>
      </c>
      <c r="C35" s="39"/>
      <c r="D35" s="39"/>
      <c r="E35" s="40" t="n">
        <f aca="false">E33</f>
        <v>1435</v>
      </c>
      <c r="F35" s="40" t="n">
        <f aca="false">F33</f>
        <v>335082.825</v>
      </c>
      <c r="G35" s="39"/>
      <c r="H35" s="39"/>
      <c r="I35" s="39"/>
      <c r="J35" s="39"/>
      <c r="K35" s="40" t="n">
        <f aca="false">K33</f>
        <v>1435</v>
      </c>
      <c r="L35" s="40" t="n">
        <f aca="false">L33+L34</f>
        <v>133361.7075</v>
      </c>
      <c r="M35" s="40" t="n">
        <f aca="false">M33+M34</f>
        <v>122885.0175</v>
      </c>
      <c r="N35" s="40" t="n">
        <f aca="false">N33+N34</f>
        <v>0</v>
      </c>
      <c r="O35" s="40" t="n">
        <f aca="false">O33+O34</f>
        <v>78836.1</v>
      </c>
      <c r="P35" s="40" t="n">
        <f aca="false">P33+P34</f>
        <v>335082.825</v>
      </c>
      <c r="Q35" s="40" t="n">
        <f aca="false">Q33</f>
        <v>970</v>
      </c>
      <c r="R35" s="40" t="n">
        <f aca="false">R33+R34</f>
        <v>133361.7075</v>
      </c>
      <c r="S35" s="40" t="n">
        <f aca="false">S33+S34</f>
        <v>14817.9675</v>
      </c>
      <c r="T35" s="40" t="n">
        <f aca="false">T33+T34</f>
        <v>0</v>
      </c>
      <c r="U35" s="40" t="n">
        <f aca="false">U33+U34</f>
        <v>78836.1</v>
      </c>
      <c r="V35" s="40" t="n">
        <f aca="false">V33+V34</f>
        <v>227015.775</v>
      </c>
      <c r="W35" s="40" t="n">
        <f aca="false">W33</f>
        <v>970</v>
      </c>
      <c r="X35" s="40" t="n">
        <f aca="false">X33+X34</f>
        <v>133361.7075</v>
      </c>
      <c r="Y35" s="40" t="n">
        <f aca="false">Y33+Y34</f>
        <v>14817.9675</v>
      </c>
      <c r="Z35" s="40" t="n">
        <f aca="false">Z33+Z34</f>
        <v>0</v>
      </c>
      <c r="AA35" s="40" t="n">
        <f aca="false">AA33+AA34</f>
        <v>78836.1</v>
      </c>
      <c r="AB35" s="40" t="n">
        <f aca="false">AB33+AB34</f>
        <v>227015.775</v>
      </c>
      <c r="AC35" s="40" t="n">
        <f aca="false">AC33</f>
        <v>1435</v>
      </c>
      <c r="AD35" s="40" t="n">
        <f aca="false">AD33+AD34</f>
        <v>133361.7075</v>
      </c>
      <c r="AE35" s="40" t="n">
        <f aca="false">AE33+AE34</f>
        <v>68851.4925</v>
      </c>
      <c r="AF35" s="40" t="n">
        <f aca="false">AF33+AF34</f>
        <v>0</v>
      </c>
      <c r="AG35" s="40" t="n">
        <f aca="false">AG33+AG34</f>
        <v>78836.1</v>
      </c>
      <c r="AH35" s="40" t="n">
        <f aca="false">AH33+AH34</f>
        <v>281049.3</v>
      </c>
    </row>
    <row r="37" customFormat="false" ht="15" hidden="false" customHeight="false" outlineLevel="0" collapsed="false">
      <c r="B37" s="2" t="s">
        <v>115</v>
      </c>
      <c r="F37" s="41" t="n">
        <f aca="false">SUM(G37:J37)</f>
        <v>335082.825</v>
      </c>
      <c r="G37" s="41" t="n">
        <f aca="false">SUMPRODUCT($F$8:$F$32,G$8:G$32)</f>
        <v>133361.7075</v>
      </c>
      <c r="H37" s="41" t="n">
        <f aca="false">SUMPRODUCT($F$8:$F$32,H$8:H$32)</f>
        <v>122885.0175</v>
      </c>
      <c r="I37" s="41" t="n">
        <f aca="false">SUMPRODUCT($F$8:$F$32,I$8:I$32)</f>
        <v>0</v>
      </c>
      <c r="J37" s="41" t="n">
        <f aca="false">SUMPRODUCT($F$8:$F$32,J$8:J$32)</f>
        <v>78836.1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116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4" customFormat="false" ht="15" hidden="false" customHeight="false" outlineLevel="0" collapsed="false">
      <c r="B4" s="15" t="s">
        <v>117</v>
      </c>
      <c r="C4" s="42" t="n">
        <f aca="false">Inputs!$C$14</f>
        <v>0.35</v>
      </c>
      <c r="D4" s="32" t="n">
        <f aca="false">Inputs!$C$13</f>
        <v>0.35</v>
      </c>
      <c r="E4" s="2" t="s">
        <v>118</v>
      </c>
    </row>
    <row r="5" customFormat="false" ht="15" hidden="false" customHeight="false" outlineLevel="0" collapsed="false">
      <c r="B5" s="15" t="s">
        <v>44</v>
      </c>
      <c r="C5" s="18" t="n">
        <f aca="false">IF(Inputs!$C$10="Todas las etapas",Inputs!$C$9,IF(AND(Inputs!$C$10="Solo diseño (S1–S5)",2&lt;=5),Inputs!$C$9,IF(AND(Inputs!$C$10="Solo lump sum (S1–S3)",2&lt;=3),Inputs!$C$9,1)))</f>
        <v>1</v>
      </c>
      <c r="D5" s="17" t="str">
        <f aca="false">Inputs!$C$7&amp;" loops"</f>
        <v>3 loops</v>
      </c>
      <c r="E5" s="2" t="s">
        <v>45</v>
      </c>
    </row>
    <row r="6" customFormat="false" ht="15" hidden="false" customHeight="false" outlineLevel="0" collapsed="false">
      <c r="A6" s="19" t="s">
        <v>46</v>
      </c>
      <c r="B6" s="19"/>
      <c r="C6" s="19"/>
      <c r="D6" s="19"/>
      <c r="E6" s="19"/>
      <c r="F6" s="19"/>
      <c r="G6" s="19" t="s">
        <v>47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48</v>
      </c>
      <c r="B7" s="23" t="s">
        <v>49</v>
      </c>
      <c r="C7" s="23" t="s">
        <v>50</v>
      </c>
      <c r="D7" s="23" t="s">
        <v>51</v>
      </c>
      <c r="E7" s="23" t="s">
        <v>52</v>
      </c>
      <c r="F7" s="23" t="s">
        <v>53</v>
      </c>
      <c r="G7" s="23" t="s">
        <v>54</v>
      </c>
      <c r="H7" s="23" t="s">
        <v>55</v>
      </c>
      <c r="I7" s="23" t="s">
        <v>56</v>
      </c>
      <c r="J7" s="23" t="s">
        <v>57</v>
      </c>
      <c r="K7" s="24" t="s">
        <v>58</v>
      </c>
      <c r="L7" s="25" t="s">
        <v>29</v>
      </c>
      <c r="M7" s="26" t="s">
        <v>59</v>
      </c>
      <c r="N7" s="27" t="s">
        <v>60</v>
      </c>
      <c r="O7" s="28" t="s">
        <v>61</v>
      </c>
      <c r="P7" s="24" t="s">
        <v>62</v>
      </c>
      <c r="Q7" s="24" t="s">
        <v>58</v>
      </c>
      <c r="R7" s="25" t="s">
        <v>29</v>
      </c>
      <c r="S7" s="26" t="s">
        <v>59</v>
      </c>
      <c r="T7" s="27" t="s">
        <v>60</v>
      </c>
      <c r="U7" s="28" t="s">
        <v>61</v>
      </c>
      <c r="V7" s="24" t="s">
        <v>62</v>
      </c>
      <c r="W7" s="24" t="s">
        <v>58</v>
      </c>
      <c r="X7" s="25" t="s">
        <v>29</v>
      </c>
      <c r="Y7" s="26" t="s">
        <v>59</v>
      </c>
      <c r="Z7" s="27" t="s">
        <v>60</v>
      </c>
      <c r="AA7" s="28" t="s">
        <v>61</v>
      </c>
      <c r="AB7" s="24" t="s">
        <v>62</v>
      </c>
      <c r="AC7" s="24" t="s">
        <v>58</v>
      </c>
      <c r="AD7" s="25" t="s">
        <v>29</v>
      </c>
      <c r="AE7" s="26" t="s">
        <v>59</v>
      </c>
      <c r="AF7" s="27" t="s">
        <v>60</v>
      </c>
      <c r="AG7" s="28" t="s">
        <v>61</v>
      </c>
      <c r="AH7" s="24" t="s">
        <v>62</v>
      </c>
    </row>
    <row r="8" customFormat="false" ht="15" hidden="false" customHeight="false" outlineLevel="0" collapsed="false">
      <c r="A8" s="15" t="s">
        <v>63</v>
      </c>
      <c r="B8" s="4" t="s">
        <v>64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SUMIFS(Datos!$H$5:$H$291,Datos!$E$5:$E$291,$A8,Datos!$F$5:$F$291,"S2")</f>
        <v>185</v>
      </c>
      <c r="F8" s="31" t="n">
        <f aca="false">SUMIFS(Datos!$J$5:$J$291,Datos!$E$5:$E$291,$A8,Datos!$F$5:$F$291,"S2")</f>
        <v>35206.5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185</v>
      </c>
      <c r="L8" s="31" t="n">
        <f aca="false">$F8*INDEX(Escenarios!$I$12:$I$36,MATCH($A8,Escenarios!$A$12:$A$36,0))*IF(AND($C8="INVAP",Inputs!$C$18="No"),0,1)*G8*$C$5</f>
        <v>35206.5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35206.5</v>
      </c>
      <c r="Q8" s="31" t="n">
        <f aca="false">IF(INDEX(Escenarios!$J$12:$J$36,MATCH($A8,Escenarios!$A$12:$A$36,0))*IF(AND($C8="INVAP",Inputs!$C$18="No"),0,1)&gt;0,$E8*$C$5,0)</f>
        <v>185</v>
      </c>
      <c r="R8" s="31" t="n">
        <f aca="false">$F8*INDEX(Escenarios!$J$12:$J$36,MATCH($A8,Escenarios!$A$12:$A$36,0))*IF(AND($C8="INVAP",Inputs!$C$18="No"),0,1)*G8*$C$5</f>
        <v>35206.5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35206.5</v>
      </c>
      <c r="W8" s="31" t="n">
        <f aca="false">IF(INDEX(Escenarios!$K$12:$K$36,MATCH($A8,Escenarios!$A$12:$A$36,0))*IF(AND($C8="INVAP",Inputs!$C$18="No"),0,1)&gt;0,$E8*$C$5,0)</f>
        <v>185</v>
      </c>
      <c r="X8" s="31" t="n">
        <f aca="false">$F8*INDEX(Escenarios!$K$12:$K$36,MATCH($A8,Escenarios!$A$12:$A$36,0))*IF(AND($C8="INVAP",Inputs!$C$18="No"),0,1)*G8*$C$5</f>
        <v>35206.5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35206.5</v>
      </c>
      <c r="AC8" s="31" t="n">
        <f aca="false">IF(INDEX(Escenarios!$L$12:$L$36,MATCH($A8,Escenarios!$A$12:$A$36,0))*IF(AND($C8="INVAP",Inputs!$C$18="No"),0,1)&gt;0,$E8*$C$5,0)</f>
        <v>185</v>
      </c>
      <c r="AD8" s="31" t="n">
        <f aca="false">$F8*INDEX(Escenarios!$L$12:$L$36,MATCH($A8,Escenarios!$A$12:$A$36,0))*IF(AND($C8="INVAP",Inputs!$C$18="No"),0,1)*G8*$C$5</f>
        <v>35206.5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35206.5</v>
      </c>
    </row>
    <row r="9" customFormat="false" ht="15" hidden="false" customHeight="false" outlineLevel="0" collapsed="false">
      <c r="A9" s="15" t="s">
        <v>65</v>
      </c>
      <c r="B9" s="4" t="s">
        <v>66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SUMIFS(Datos!$H$5:$H$291,Datos!$E$5:$E$291,$A9,Datos!$F$5:$F$291,"S2")</f>
        <v>1200</v>
      </c>
      <c r="F9" s="31" t="n">
        <f aca="false">SUMIFS(Datos!$J$5:$J$291,Datos!$E$5:$E$291,$A9,Datos!$F$5:$F$291,"S2")</f>
        <v>284239.2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1200</v>
      </c>
      <c r="L9" s="31" t="n">
        <f aca="false">$F9*INDEX(Escenarios!$I$12:$I$36,MATCH($A9,Escenarios!$A$12:$A$36,0))*IF(AND($C9="INVAP",Inputs!$C$18="No"),0,1)*G9*$C$5</f>
        <v>255815.28</v>
      </c>
      <c r="M9" s="31" t="n">
        <f aca="false">$F9*INDEX(Escenarios!$I$12:$I$36,MATCH($A9,Escenarios!$A$12:$A$36,0))*IF(AND($C9="INVAP",Inputs!$C$18="No"),0,1)*H9*$C$5</f>
        <v>28423.92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284239.2</v>
      </c>
      <c r="Q9" s="31" t="n">
        <f aca="false">IF(INDEX(Escenarios!$J$12:$J$36,MATCH($A9,Escenarios!$A$12:$A$36,0))*IF(AND($C9="INVAP",Inputs!$C$18="No"),0,1)&gt;0,$E9*$C$5,0)</f>
        <v>1200</v>
      </c>
      <c r="R9" s="31" t="n">
        <f aca="false">$F9*INDEX(Escenarios!$J$12:$J$36,MATCH($A9,Escenarios!$A$12:$A$36,0))*IF(AND($C9="INVAP",Inputs!$C$18="No"),0,1)*G9*$C$5</f>
        <v>255815.28</v>
      </c>
      <c r="S9" s="31" t="n">
        <f aca="false">$F9*INDEX(Escenarios!$J$12:$J$36,MATCH($A9,Escenarios!$A$12:$A$36,0))*IF(AND($C9="INVAP",Inputs!$C$18="No"),0,1)*H9*$C$5</f>
        <v>28423.92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284239.2</v>
      </c>
      <c r="W9" s="31" t="n">
        <f aca="false">IF(INDEX(Escenarios!$K$12:$K$36,MATCH($A9,Escenarios!$A$12:$A$36,0))*IF(AND($C9="INVAP",Inputs!$C$18="No"),0,1)&gt;0,$E9*$C$5,0)</f>
        <v>1200</v>
      </c>
      <c r="X9" s="31" t="n">
        <f aca="false">$F9*INDEX(Escenarios!$K$12:$K$36,MATCH($A9,Escenarios!$A$12:$A$36,0))*IF(AND($C9="INVAP",Inputs!$C$18="No"),0,1)*G9*$C$5</f>
        <v>255815.28</v>
      </c>
      <c r="Y9" s="31" t="n">
        <f aca="false">$F9*INDEX(Escenarios!$K$12:$K$36,MATCH($A9,Escenarios!$A$12:$A$36,0))*IF(AND($C9="INVAP",Inputs!$C$18="No"),0,1)*H9*$C$5</f>
        <v>28423.92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284239.2</v>
      </c>
      <c r="AC9" s="31" t="n">
        <f aca="false">IF(INDEX(Escenarios!$L$12:$L$36,MATCH($A9,Escenarios!$A$12:$A$36,0))*IF(AND($C9="INVAP",Inputs!$C$18="No"),0,1)&gt;0,$E9*$C$5,0)</f>
        <v>1200</v>
      </c>
      <c r="AD9" s="31" t="n">
        <f aca="false">$F9*INDEX(Escenarios!$L$12:$L$36,MATCH($A9,Escenarios!$A$12:$A$36,0))*IF(AND($C9="INVAP",Inputs!$C$18="No"),0,1)*G9*$C$5</f>
        <v>255815.28</v>
      </c>
      <c r="AE9" s="31" t="n">
        <f aca="false">$F9*INDEX(Escenarios!$L$12:$L$36,MATCH($A9,Escenarios!$A$12:$A$36,0))*IF(AND($C9="INVAP",Inputs!$C$18="No"),0,1)*H9*$C$5</f>
        <v>28423.92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284239.2</v>
      </c>
    </row>
    <row r="10" customFormat="false" ht="15" hidden="false" customHeight="false" outlineLevel="0" collapsed="false">
      <c r="A10" s="15" t="s">
        <v>67</v>
      </c>
      <c r="B10" s="4" t="s">
        <v>68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SUMIFS(Datos!$H$5:$H$291,Datos!$E$5:$E$291,$A10,Datos!$F$5:$F$291,"S2")</f>
        <v>0</v>
      </c>
      <c r="F10" s="31" t="n">
        <f aca="false">SUMIFS(Datos!$J$5:$J$291,Datos!$E$5:$E$291,$A10,Datos!$F$5:$F$291,"S2")</f>
        <v>0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0</v>
      </c>
      <c r="L10" s="31" t="n">
        <f aca="false">$F10*INDEX(Escenarios!$I$12:$I$36,MATCH($A10,Escenarios!$A$12:$A$36,0))*IF(AND($C10="INVAP",Inputs!$C$18="No"),0,1)*G10*$C$5</f>
        <v>0</v>
      </c>
      <c r="M10" s="31" t="n">
        <f aca="false">$F10*INDEX(Escenarios!$I$12:$I$36,MATCH($A10,Escenarios!$A$12:$A$36,0))*IF(AND($C10="INVAP",Inputs!$C$18="No"),0,1)*H10*$C$5</f>
        <v>0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0</v>
      </c>
      <c r="Q10" s="31" t="n">
        <f aca="false">IF(INDEX(Escenarios!$J$12:$J$36,MATCH($A10,Escenarios!$A$12:$A$36,0))*IF(AND($C10="INVAP",Inputs!$C$18="No"),0,1)&gt;0,$E10*$C$5,0)</f>
        <v>0</v>
      </c>
      <c r="R10" s="31" t="n">
        <f aca="false">$F10*INDEX(Escenarios!$J$12:$J$36,MATCH($A10,Escenarios!$A$12:$A$36,0))*IF(AND($C10="INVAP",Inputs!$C$18="No"),0,1)*G10*$C$5</f>
        <v>0</v>
      </c>
      <c r="S10" s="31" t="n">
        <f aca="false">$F10*INDEX(Escenarios!$J$12:$J$36,MATCH($A10,Escenarios!$A$12:$A$36,0))*IF(AND($C10="INVAP",Inputs!$C$18="No"),0,1)*H10*$C$5</f>
        <v>0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0</v>
      </c>
      <c r="W10" s="31" t="n">
        <f aca="false">IF(INDEX(Escenarios!$K$12:$K$36,MATCH($A10,Escenarios!$A$12:$A$36,0))*IF(AND($C10="INVAP",Inputs!$C$18="No"),0,1)&gt;0,$E10*$C$5,0)</f>
        <v>0</v>
      </c>
      <c r="X10" s="31" t="n">
        <f aca="false">$F10*INDEX(Escenarios!$K$12:$K$36,MATCH($A10,Escenarios!$A$12:$A$36,0))*IF(AND($C10="INVAP",Inputs!$C$18="No"),0,1)*G10*$C$5</f>
        <v>0</v>
      </c>
      <c r="Y10" s="31" t="n">
        <f aca="false">$F10*INDEX(Escenarios!$K$12:$K$36,MATCH($A10,Escenarios!$A$12:$A$36,0))*IF(AND($C10="INVAP",Inputs!$C$18="No"),0,1)*H10*$C$5</f>
        <v>0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0</v>
      </c>
      <c r="AC10" s="31" t="n">
        <f aca="false">IF(INDEX(Escenarios!$L$12:$L$36,MATCH($A10,Escenarios!$A$12:$A$36,0))*IF(AND($C10="INVAP",Inputs!$C$18="No"),0,1)&gt;0,$E10*$C$5,0)</f>
        <v>0</v>
      </c>
      <c r="AD10" s="31" t="n">
        <f aca="false">$F10*INDEX(Escenarios!$L$12:$L$36,MATCH($A10,Escenarios!$A$12:$A$36,0))*IF(AND($C10="INVAP",Inputs!$C$18="No"),0,1)*G10*$C$5</f>
        <v>0</v>
      </c>
      <c r="AE10" s="31" t="n">
        <f aca="false">$F10*INDEX(Escenarios!$L$12:$L$36,MATCH($A10,Escenarios!$A$12:$A$36,0))*IF(AND($C10="INVAP",Inputs!$C$18="No"),0,1)*H10*$C$5</f>
        <v>0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0</v>
      </c>
    </row>
    <row r="11" customFormat="false" ht="15" hidden="false" customHeight="false" outlineLevel="0" collapsed="false">
      <c r="A11" s="15" t="s">
        <v>69</v>
      </c>
      <c r="B11" s="4" t="s">
        <v>70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SUMIFS(Datos!$H$5:$H$291,Datos!$E$5:$E$291,$A11,Datos!$F$5:$F$291,"S2")</f>
        <v>0</v>
      </c>
      <c r="F11" s="31" t="n">
        <f aca="false">SUMIFS(Datos!$J$5:$J$291,Datos!$E$5:$E$291,$A11,Datos!$F$5:$F$291,"S2")</f>
        <v>0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0</v>
      </c>
      <c r="L11" s="31" t="n">
        <f aca="false">$F11*INDEX(Escenarios!$I$12:$I$36,MATCH($A11,Escenarios!$A$12:$A$36,0))*IF(AND($C11="INVAP",Inputs!$C$18="No"),0,1)*G11*$C$5</f>
        <v>0</v>
      </c>
      <c r="M11" s="31" t="n">
        <f aca="false">$F11*INDEX(Escenarios!$I$12:$I$36,MATCH($A11,Escenarios!$A$12:$A$36,0))*IF(AND($C11="INVAP",Inputs!$C$18="No"),0,1)*H11*$C$5</f>
        <v>0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0</v>
      </c>
      <c r="Q11" s="31" t="n">
        <f aca="false">IF(INDEX(Escenarios!$J$12:$J$36,MATCH($A11,Escenarios!$A$12:$A$36,0))*IF(AND($C11="INVAP",Inputs!$C$18="No"),0,1)&gt;0,$E11*$C$5,0)</f>
        <v>0</v>
      </c>
      <c r="R11" s="31" t="n">
        <f aca="false">$F11*INDEX(Escenarios!$J$12:$J$36,MATCH($A11,Escenarios!$A$12:$A$36,0))*IF(AND($C11="INVAP",Inputs!$C$18="No"),0,1)*G11*$C$5</f>
        <v>0</v>
      </c>
      <c r="S11" s="31" t="n">
        <f aca="false">$F11*INDEX(Escenarios!$J$12:$J$36,MATCH($A11,Escenarios!$A$12:$A$36,0))*IF(AND($C11="INVAP",Inputs!$C$18="No"),0,1)*H11*$C$5</f>
        <v>0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0</v>
      </c>
      <c r="W11" s="31" t="n">
        <f aca="false">IF(INDEX(Escenarios!$K$12:$K$36,MATCH($A11,Escenarios!$A$12:$A$36,0))*IF(AND($C11="INVAP",Inputs!$C$18="No"),0,1)&gt;0,$E11*$C$5,0)</f>
        <v>0</v>
      </c>
      <c r="X11" s="31" t="n">
        <f aca="false">$F11*INDEX(Escenarios!$K$12:$K$36,MATCH($A11,Escenarios!$A$12:$A$36,0))*IF(AND($C11="INVAP",Inputs!$C$18="No"),0,1)*G11*$C$5</f>
        <v>0</v>
      </c>
      <c r="Y11" s="31" t="n">
        <f aca="false">$F11*INDEX(Escenarios!$K$12:$K$36,MATCH($A11,Escenarios!$A$12:$A$36,0))*IF(AND($C11="INVAP",Inputs!$C$18="No"),0,1)*H11*$C$5</f>
        <v>0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0</v>
      </c>
      <c r="AC11" s="31" t="n">
        <f aca="false">IF(INDEX(Escenarios!$L$12:$L$36,MATCH($A11,Escenarios!$A$12:$A$36,0))*IF(AND($C11="INVAP",Inputs!$C$18="No"),0,1)&gt;0,$E11*$C$5,0)</f>
        <v>0</v>
      </c>
      <c r="AD11" s="31" t="n">
        <f aca="false">$F11*INDEX(Escenarios!$L$12:$L$36,MATCH($A11,Escenarios!$A$12:$A$36,0))*IF(AND($C11="INVAP",Inputs!$C$18="No"),0,1)*G11*$C$5</f>
        <v>0</v>
      </c>
      <c r="AE11" s="31" t="n">
        <f aca="false">$F11*INDEX(Escenarios!$L$12:$L$36,MATCH($A11,Escenarios!$A$12:$A$36,0))*IF(AND($C11="INVAP",Inputs!$C$18="No"),0,1)*H11*$C$5</f>
        <v>0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0</v>
      </c>
    </row>
    <row r="12" customFormat="false" ht="15" hidden="false" customHeight="false" outlineLevel="0" collapsed="false">
      <c r="A12" s="15" t="s">
        <v>71</v>
      </c>
      <c r="B12" s="4" t="s">
        <v>72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SUMIFS(Datos!$H$5:$H$291,Datos!$E$5:$E$291,$A12,Datos!$F$5:$F$291,"S2")</f>
        <v>385</v>
      </c>
      <c r="F12" s="31" t="n">
        <f aca="false">SUMIFS(Datos!$J$5:$J$291,Datos!$E$5:$E$291,$A12,Datos!$F$5:$F$291,"S2")</f>
        <v>90335.175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385</v>
      </c>
      <c r="L12" s="31" t="n">
        <f aca="false">$F12*INDEX(Escenarios!$I$12:$I$36,MATCH($A12,Escenarios!$A$12:$A$36,0))*IF(AND($C12="INVAP",Inputs!$C$18="No"),0,1)*G12*$C$5</f>
        <v>81301.6575</v>
      </c>
      <c r="M12" s="31" t="n">
        <f aca="false">$F12*INDEX(Escenarios!$I$12:$I$36,MATCH($A12,Escenarios!$A$12:$A$36,0))*IF(AND($C12="INVAP",Inputs!$C$18="No"),0,1)*H12*$C$5</f>
        <v>9033.5175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90335.175</v>
      </c>
      <c r="Q12" s="31" t="n">
        <f aca="false">IF(INDEX(Escenarios!$J$12:$J$36,MATCH($A12,Escenarios!$A$12:$A$36,0))*IF(AND($C12="INVAP",Inputs!$C$18="No"),0,1)&gt;0,$E12*$C$5,0)</f>
        <v>385</v>
      </c>
      <c r="R12" s="31" t="n">
        <f aca="false">$F12*INDEX(Escenarios!$J$12:$J$36,MATCH($A12,Escenarios!$A$12:$A$36,0))*IF(AND($C12="INVAP",Inputs!$C$18="No"),0,1)*G12*$C$5</f>
        <v>81301.6575</v>
      </c>
      <c r="S12" s="31" t="n">
        <f aca="false">$F12*INDEX(Escenarios!$J$12:$J$36,MATCH($A12,Escenarios!$A$12:$A$36,0))*IF(AND($C12="INVAP",Inputs!$C$18="No"),0,1)*H12*$C$5</f>
        <v>9033.5175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90335.175</v>
      </c>
      <c r="W12" s="31" t="n">
        <f aca="false">IF(INDEX(Escenarios!$K$12:$K$36,MATCH($A12,Escenarios!$A$12:$A$36,0))*IF(AND($C12="INVAP",Inputs!$C$18="No"),0,1)&gt;0,$E12*$C$5,0)</f>
        <v>385</v>
      </c>
      <c r="X12" s="31" t="n">
        <f aca="false">$F12*INDEX(Escenarios!$K$12:$K$36,MATCH($A12,Escenarios!$A$12:$A$36,0))*IF(AND($C12="INVAP",Inputs!$C$18="No"),0,1)*G12*$C$5</f>
        <v>81301.6575</v>
      </c>
      <c r="Y12" s="31" t="n">
        <f aca="false">$F12*INDEX(Escenarios!$K$12:$K$36,MATCH($A12,Escenarios!$A$12:$A$36,0))*IF(AND($C12="INVAP",Inputs!$C$18="No"),0,1)*H12*$C$5</f>
        <v>9033.5175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90335.175</v>
      </c>
      <c r="AC12" s="31" t="n">
        <f aca="false">IF(INDEX(Escenarios!$L$12:$L$36,MATCH($A12,Escenarios!$A$12:$A$36,0))*IF(AND($C12="INVAP",Inputs!$C$18="No"),0,1)&gt;0,$E12*$C$5,0)</f>
        <v>385</v>
      </c>
      <c r="AD12" s="31" t="n">
        <f aca="false">$F12*INDEX(Escenarios!$L$12:$L$36,MATCH($A12,Escenarios!$A$12:$A$36,0))*IF(AND($C12="INVAP",Inputs!$C$18="No"),0,1)*G12*$C$5</f>
        <v>81301.6575</v>
      </c>
      <c r="AE12" s="31" t="n">
        <f aca="false">$F12*INDEX(Escenarios!$L$12:$L$36,MATCH($A12,Escenarios!$A$12:$A$36,0))*IF(AND($C12="INVAP",Inputs!$C$18="No"),0,1)*H12*$C$5</f>
        <v>9033.5175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90335.175</v>
      </c>
    </row>
    <row r="13" customFormat="false" ht="15" hidden="false" customHeight="false" outlineLevel="0" collapsed="false">
      <c r="A13" s="15" t="s">
        <v>73</v>
      </c>
      <c r="B13" s="4" t="s">
        <v>74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SUMIFS(Datos!$H$5:$H$291,Datos!$E$5:$E$291,$A13,Datos!$F$5:$F$291,"S2")</f>
        <v>0</v>
      </c>
      <c r="F13" s="31" t="n">
        <f aca="false">SUMIFS(Datos!$J$5:$J$291,Datos!$E$5:$E$291,$A13,Datos!$F$5:$F$291,"S2")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75</v>
      </c>
      <c r="B14" s="4" t="s">
        <v>76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SUMIFS(Datos!$H$5:$H$291,Datos!$E$5:$E$291,$A14,Datos!$F$5:$F$291,"S2")</f>
        <v>0</v>
      </c>
      <c r="F14" s="31" t="n">
        <f aca="false">SUMIFS(Datos!$J$5:$J$291,Datos!$E$5:$E$291,$A14,Datos!$F$5:$F$291,"S2")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77</v>
      </c>
      <c r="B15" s="4" t="s">
        <v>78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SUMIFS(Datos!$H$5:$H$291,Datos!$E$5:$E$291,$A15,Datos!$F$5:$F$291,"S2")</f>
        <v>0</v>
      </c>
      <c r="F15" s="31" t="n">
        <f aca="false">SUMIFS(Datos!$J$5:$J$291,Datos!$E$5:$E$291,$A15,Datos!$F$5:$F$291,"S2")</f>
        <v>0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0</v>
      </c>
      <c r="L15" s="31" t="n">
        <f aca="false">$F15*INDEX(Escenarios!$I$12:$I$36,MATCH($A15,Escenarios!$A$12:$A$36,0))*IF(AND($C15="INVAP",Inputs!$C$18="No"),0,1)*G15*$C$5</f>
        <v>0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0</v>
      </c>
      <c r="Q15" s="31" t="n">
        <f aca="false">IF(INDEX(Escenarios!$J$12:$J$36,MATCH($A15,Escenarios!$A$12:$A$36,0))*IF(AND($C15="INVAP",Inputs!$C$18="No"),0,1)&gt;0,$E15*$C$5,0)</f>
        <v>0</v>
      </c>
      <c r="R15" s="31" t="n">
        <f aca="false">$F15*INDEX(Escenarios!$J$12:$J$36,MATCH($A15,Escenarios!$A$12:$A$36,0))*IF(AND($C15="INVAP",Inputs!$C$18="No"),0,1)*G15*$C$5</f>
        <v>0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0</v>
      </c>
      <c r="W15" s="31" t="n">
        <f aca="false">IF(INDEX(Escenarios!$K$12:$K$36,MATCH($A15,Escenarios!$A$12:$A$36,0))*IF(AND($C15="INVAP",Inputs!$C$18="No"),0,1)&gt;0,$E15*$C$5,0)</f>
        <v>0</v>
      </c>
      <c r="X15" s="31" t="n">
        <f aca="false">$F15*INDEX(Escenarios!$K$12:$K$36,MATCH($A15,Escenarios!$A$12:$A$36,0))*IF(AND($C15="INVAP",Inputs!$C$18="No"),0,1)*G15*$C$5</f>
        <v>0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0</v>
      </c>
      <c r="AC15" s="31" t="n">
        <f aca="false">IF(INDEX(Escenarios!$L$12:$L$36,MATCH($A15,Escenarios!$A$12:$A$36,0))*IF(AND($C15="INVAP",Inputs!$C$18="No"),0,1)&gt;0,$E15*$C$5,0)</f>
        <v>0</v>
      </c>
      <c r="AD15" s="31" t="n">
        <f aca="false">$F15*INDEX(Escenarios!$L$12:$L$36,MATCH($A15,Escenarios!$A$12:$A$36,0))*IF(AND($C15="INVAP",Inputs!$C$18="No"),0,1)*G15*$C$5</f>
        <v>0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0</v>
      </c>
    </row>
    <row r="16" customFormat="false" ht="15" hidden="false" customHeight="false" outlineLevel="0" collapsed="false">
      <c r="A16" s="15" t="s">
        <v>79</v>
      </c>
      <c r="B16" s="4" t="s">
        <v>80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SUMIFS(Datos!$H$5:$H$291,Datos!$E$5:$E$291,$A16,Datos!$F$5:$F$291,"S2")</f>
        <v>0</v>
      </c>
      <c r="F16" s="31" t="n">
        <f aca="false">SUMIFS(Datos!$J$5:$J$291,Datos!$E$5:$E$291,$A16,Datos!$F$5:$F$291,"S2")</f>
        <v>0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0</v>
      </c>
      <c r="L16" s="31" t="n">
        <f aca="false">$F16*INDEX(Escenarios!$I$12:$I$36,MATCH($A16,Escenarios!$A$12:$A$36,0))*IF(AND($C16="INVAP",Inputs!$C$18="No"),0,1)*G16*$C$5</f>
        <v>0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0</v>
      </c>
      <c r="Q16" s="31" t="n">
        <f aca="false">IF(INDEX(Escenarios!$J$12:$J$36,MATCH($A16,Escenarios!$A$12:$A$36,0))*IF(AND($C16="INVAP",Inputs!$C$18="No"),0,1)&gt;0,$E16*$C$5,0)</f>
        <v>0</v>
      </c>
      <c r="R16" s="31" t="n">
        <f aca="false">$F16*INDEX(Escenarios!$J$12:$J$36,MATCH($A16,Escenarios!$A$12:$A$36,0))*IF(AND($C16="INVAP",Inputs!$C$18="No"),0,1)*G16*$C$5</f>
        <v>0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0</v>
      </c>
      <c r="W16" s="31" t="n">
        <f aca="false">IF(INDEX(Escenarios!$K$12:$K$36,MATCH($A16,Escenarios!$A$12:$A$36,0))*IF(AND($C16="INVAP",Inputs!$C$18="No"),0,1)&gt;0,$E16*$C$5,0)</f>
        <v>0</v>
      </c>
      <c r="X16" s="31" t="n">
        <f aca="false">$F16*INDEX(Escenarios!$K$12:$K$36,MATCH($A16,Escenarios!$A$12:$A$36,0))*IF(AND($C16="INVAP",Inputs!$C$18="No"),0,1)*G16*$C$5</f>
        <v>0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0</v>
      </c>
      <c r="AC16" s="31" t="n">
        <f aca="false">IF(INDEX(Escenarios!$L$12:$L$36,MATCH($A16,Escenarios!$A$12:$A$36,0))*IF(AND($C16="INVAP",Inputs!$C$18="No"),0,1)&gt;0,$E16*$C$5,0)</f>
        <v>0</v>
      </c>
      <c r="AD16" s="31" t="n">
        <f aca="false">$F16*INDEX(Escenarios!$L$12:$L$36,MATCH($A16,Escenarios!$A$12:$A$36,0))*IF(AND($C16="INVAP",Inputs!$C$18="No"),0,1)*G16*$C$5</f>
        <v>0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0</v>
      </c>
    </row>
    <row r="17" customFormat="false" ht="15" hidden="false" customHeight="false" outlineLevel="0" collapsed="false">
      <c r="A17" s="15" t="s">
        <v>81</v>
      </c>
      <c r="B17" s="4" t="s">
        <v>82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SUMIFS(Datos!$H$5:$H$291,Datos!$E$5:$E$291,$A17,Datos!$F$5:$F$291,"S2")</f>
        <v>0</v>
      </c>
      <c r="F17" s="31" t="n">
        <f aca="false">SUMIFS(Datos!$J$5:$J$291,Datos!$E$5:$E$291,$A17,Datos!$F$5:$F$291,"S2")</f>
        <v>0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0</v>
      </c>
      <c r="L17" s="31" t="n">
        <f aca="false">$F17*INDEX(Escenarios!$I$12:$I$36,MATCH($A17,Escenarios!$A$12:$A$36,0))*IF(AND($C17="INVAP",Inputs!$C$18="No"),0,1)*G17*$C$5</f>
        <v>0</v>
      </c>
      <c r="M17" s="31" t="n">
        <f aca="false">$F17*INDEX(Escenarios!$I$12:$I$36,MATCH($A17,Escenarios!$A$12:$A$36,0))*IF(AND($C17="INVAP",Inputs!$C$18="No"),0,1)*H17*$C$5</f>
        <v>0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0</v>
      </c>
      <c r="Q17" s="31" t="n">
        <f aca="false">IF(INDEX(Escenarios!$J$12:$J$36,MATCH($A17,Escenarios!$A$12:$A$36,0))*IF(AND($C17="INVAP",Inputs!$C$18="No"),0,1)&gt;0,$E17*$C$5,0)</f>
        <v>0</v>
      </c>
      <c r="R17" s="31" t="n">
        <f aca="false">$F17*INDEX(Escenarios!$J$12:$J$36,MATCH($A17,Escenarios!$A$12:$A$36,0))*IF(AND($C17="INVAP",Inputs!$C$18="No"),0,1)*G17*$C$5</f>
        <v>0</v>
      </c>
      <c r="S17" s="31" t="n">
        <f aca="false">$F17*INDEX(Escenarios!$J$12:$J$36,MATCH($A17,Escenarios!$A$12:$A$36,0))*IF(AND($C17="INVAP",Inputs!$C$18="No"),0,1)*H17*$C$5</f>
        <v>0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0</v>
      </c>
      <c r="W17" s="31" t="n">
        <f aca="false">IF(INDEX(Escenarios!$K$12:$K$36,MATCH($A17,Escenarios!$A$12:$A$36,0))*IF(AND($C17="INVAP",Inputs!$C$18="No"),0,1)&gt;0,$E17*$C$5,0)</f>
        <v>0</v>
      </c>
      <c r="X17" s="31" t="n">
        <f aca="false">$F17*INDEX(Escenarios!$K$12:$K$36,MATCH($A17,Escenarios!$A$12:$A$36,0))*IF(AND($C17="INVAP",Inputs!$C$18="No"),0,1)*G17*$C$5</f>
        <v>0</v>
      </c>
      <c r="Y17" s="31" t="n">
        <f aca="false">$F17*INDEX(Escenarios!$K$12:$K$36,MATCH($A17,Escenarios!$A$12:$A$36,0))*IF(AND($C17="INVAP",Inputs!$C$18="No"),0,1)*H17*$C$5</f>
        <v>0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0</v>
      </c>
      <c r="AC17" s="31" t="n">
        <f aca="false">IF(INDEX(Escenarios!$L$12:$L$36,MATCH($A17,Escenarios!$A$12:$A$36,0))*IF(AND($C17="INVAP",Inputs!$C$18="No"),0,1)&gt;0,$E17*$C$5,0)</f>
        <v>0</v>
      </c>
      <c r="AD17" s="31" t="n">
        <f aca="false">$F17*INDEX(Escenarios!$L$12:$L$36,MATCH($A17,Escenarios!$A$12:$A$36,0))*IF(AND($C17="INVAP",Inputs!$C$18="No"),0,1)*G17*$C$5</f>
        <v>0</v>
      </c>
      <c r="AE17" s="31" t="n">
        <f aca="false">$F17*INDEX(Escenarios!$L$12:$L$36,MATCH($A17,Escenarios!$A$12:$A$36,0))*IF(AND($C17="INVAP",Inputs!$C$18="No"),0,1)*H17*$C$5</f>
        <v>0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0</v>
      </c>
    </row>
    <row r="18" customFormat="false" ht="15" hidden="false" customHeight="false" outlineLevel="0" collapsed="false">
      <c r="A18" s="15" t="s">
        <v>83</v>
      </c>
      <c r="B18" s="4" t="s">
        <v>84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SUMIFS(Datos!$H$5:$H$291,Datos!$E$5:$E$291,$A18,Datos!$F$5:$F$291,"S2")</f>
        <v>280</v>
      </c>
      <c r="F18" s="31" t="n">
        <f aca="false">SUMIFS(Datos!$J$5:$J$291,Datos!$E$5:$E$291,$A18,Datos!$F$5:$F$291,"S2")</f>
        <v>64455.825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280</v>
      </c>
      <c r="L18" s="31" t="n">
        <f aca="false">$F18*INDEX(Escenarios!$I$12:$I$36,MATCH($A18,Escenarios!$A$12:$A$36,0))*IF(AND($C18="INVAP",Inputs!$C$18="No"),0,1)*G18*$C$5</f>
        <v>64455.825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64455.825</v>
      </c>
      <c r="Q18" s="31" t="n">
        <f aca="false">IF(INDEX(Escenarios!$J$12:$J$36,MATCH($A18,Escenarios!$A$12:$A$36,0))*IF(AND($C18="INVAP",Inputs!$C$18="No"),0,1)&gt;0,$E18*$C$5,0)</f>
        <v>280</v>
      </c>
      <c r="R18" s="31" t="n">
        <f aca="false">$F18*INDEX(Escenarios!$J$12:$J$36,MATCH($A18,Escenarios!$A$12:$A$36,0))*IF(AND($C18="INVAP",Inputs!$C$18="No"),0,1)*G18*$C$5</f>
        <v>64455.825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64455.825</v>
      </c>
      <c r="W18" s="31" t="n">
        <f aca="false">IF(INDEX(Escenarios!$K$12:$K$36,MATCH($A18,Escenarios!$A$12:$A$36,0))*IF(AND($C18="INVAP",Inputs!$C$18="No"),0,1)&gt;0,$E18*$C$5,0)</f>
        <v>280</v>
      </c>
      <c r="X18" s="31" t="n">
        <f aca="false">$F18*INDEX(Escenarios!$K$12:$K$36,MATCH($A18,Escenarios!$A$12:$A$36,0))*IF(AND($C18="INVAP",Inputs!$C$18="No"),0,1)*G18*$C$5</f>
        <v>64455.825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64455.825</v>
      </c>
      <c r="AC18" s="31" t="n">
        <f aca="false">IF(INDEX(Escenarios!$L$12:$L$36,MATCH($A18,Escenarios!$A$12:$A$36,0))*IF(AND($C18="INVAP",Inputs!$C$18="No"),0,1)&gt;0,$E18*$C$5,0)</f>
        <v>280</v>
      </c>
      <c r="AD18" s="31" t="n">
        <f aca="false">$F18*INDEX(Escenarios!$L$12:$L$36,MATCH($A18,Escenarios!$A$12:$A$36,0))*IF(AND($C18="INVAP",Inputs!$C$18="No"),0,1)*G18*$C$5</f>
        <v>64455.825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64455.825</v>
      </c>
    </row>
    <row r="19" customFormat="false" ht="15" hidden="false" customHeight="false" outlineLevel="0" collapsed="false">
      <c r="A19" s="15" t="s">
        <v>85</v>
      </c>
      <c r="B19" s="4" t="s">
        <v>86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SUMIFS(Datos!$H$5:$H$291,Datos!$E$5:$E$291,$A19,Datos!$F$5:$F$291,"S2")</f>
        <v>0</v>
      </c>
      <c r="F19" s="31" t="n">
        <f aca="false">SUMIFS(Datos!$J$5:$J$291,Datos!$E$5:$E$291,$A19,Datos!$F$5:$F$291,"S2")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87</v>
      </c>
      <c r="B20" s="4" t="s">
        <v>88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SUMIFS(Datos!$H$5:$H$291,Datos!$E$5:$E$291,$A20,Datos!$F$5:$F$291,"S2")</f>
        <v>270</v>
      </c>
      <c r="F20" s="31" t="n">
        <f aca="false">SUMIFS(Datos!$J$5:$J$291,Datos!$E$5:$E$291,$A20,Datos!$F$5:$F$291,"S2")</f>
        <v>62552.175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270</v>
      </c>
      <c r="L20" s="31" t="n">
        <f aca="false">$F20*INDEX(Escenarios!$I$12:$I$36,MATCH($A20,Escenarios!$A$12:$A$36,0))*IF(AND($C20="INVAP",Inputs!$C$18="No"),0,1)*G20*$C$5</f>
        <v>62552.175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62552.175</v>
      </c>
      <c r="Q20" s="31" t="n">
        <f aca="false">IF(INDEX(Escenarios!$J$12:$J$36,MATCH($A20,Escenarios!$A$12:$A$36,0))*IF(AND($C20="INVAP",Inputs!$C$18="No"),0,1)&gt;0,$E20*$C$5,0)</f>
        <v>270</v>
      </c>
      <c r="R20" s="31" t="n">
        <f aca="false">$F20*INDEX(Escenarios!$J$12:$J$36,MATCH($A20,Escenarios!$A$12:$A$36,0))*IF(AND($C20="INVAP",Inputs!$C$18="No"),0,1)*G20*$C$5</f>
        <v>62552.175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62552.175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89</v>
      </c>
      <c r="B21" s="4" t="s">
        <v>90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SUMIFS(Datos!$H$5:$H$291,Datos!$E$5:$E$291,$A21,Datos!$F$5:$F$291,"S2")</f>
        <v>165</v>
      </c>
      <c r="F21" s="31" t="n">
        <f aca="false">SUMIFS(Datos!$J$5:$J$291,Datos!$E$5:$E$291,$A21,Datos!$F$5:$F$291,"S2")</f>
        <v>37183.65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165</v>
      </c>
      <c r="L21" s="31" t="n">
        <f aca="false">$F21*INDEX(Escenarios!$I$12:$I$36,MATCH($A21,Escenarios!$A$12:$A$36,0))*IF(AND($C21="INVAP",Inputs!$C$18="No"),0,1)*G21*$C$5</f>
        <v>37183.65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37183.65</v>
      </c>
      <c r="Q21" s="31" t="n">
        <f aca="false">IF(INDEX(Escenarios!$J$12:$J$36,MATCH($A21,Escenarios!$A$12:$A$36,0))*IF(AND($C21="INVAP",Inputs!$C$18="No"),0,1)&gt;0,$E21*$C$5,0)</f>
        <v>165</v>
      </c>
      <c r="R21" s="31" t="n">
        <f aca="false">$F21*INDEX(Escenarios!$J$12:$J$36,MATCH($A21,Escenarios!$A$12:$A$36,0))*IF(AND($C21="INVAP",Inputs!$C$18="No"),0,1)*G21*$C$5</f>
        <v>37183.65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37183.65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91</v>
      </c>
      <c r="B22" s="4" t="s">
        <v>92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SUMIFS(Datos!$H$5:$H$291,Datos!$E$5:$E$291,$A22,Datos!$F$5:$F$291,"S2")</f>
        <v>0</v>
      </c>
      <c r="F22" s="31" t="n">
        <f aca="false">SUMIFS(Datos!$J$5:$J$291,Datos!$E$5:$E$291,$A22,Datos!$F$5:$F$291,"S2")</f>
        <v>0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0</v>
      </c>
      <c r="L22" s="31" t="n">
        <f aca="false">$F22*INDEX(Escenarios!$I$12:$I$36,MATCH($A22,Escenarios!$A$12:$A$36,0))*IF(AND($C22="INVAP",Inputs!$C$18="No"),0,1)*G22*$C$5</f>
        <v>0</v>
      </c>
      <c r="M22" s="31" t="n">
        <f aca="false">$F22*INDEX(Escenarios!$I$12:$I$36,MATCH($A22,Escenarios!$A$12:$A$36,0))*IF(AND($C22="INVAP",Inputs!$C$18="No"),0,1)*H22*$C$5</f>
        <v>0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0</v>
      </c>
      <c r="Q22" s="31" t="n">
        <f aca="false">IF(INDEX(Escenarios!$J$12:$J$36,MATCH($A22,Escenarios!$A$12:$A$36,0))*IF(AND($C22="INVAP",Inputs!$C$18="No"),0,1)&gt;0,$E22*$C$5,0)</f>
        <v>0</v>
      </c>
      <c r="R22" s="31" t="n">
        <f aca="false">$F22*INDEX(Escenarios!$J$12:$J$36,MATCH($A22,Escenarios!$A$12:$A$36,0))*IF(AND($C22="INVAP",Inputs!$C$18="No"),0,1)*G22*$C$5</f>
        <v>0</v>
      </c>
      <c r="S22" s="31" t="n">
        <f aca="false">$F22*INDEX(Escenarios!$J$12:$J$36,MATCH($A22,Escenarios!$A$12:$A$36,0))*IF(AND($C22="INVAP",Inputs!$C$18="No"),0,1)*H22*$C$5</f>
        <v>0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0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93</v>
      </c>
      <c r="B23" s="4" t="s">
        <v>94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SUMIFS(Datos!$H$5:$H$291,Datos!$E$5:$E$291,$A23,Datos!$F$5:$F$291,"S2")</f>
        <v>0</v>
      </c>
      <c r="F23" s="31" t="n">
        <f aca="false">SUMIFS(Datos!$J$5:$J$291,Datos!$E$5:$E$291,$A23,Datos!$F$5:$F$291,"S2")</f>
        <v>0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0</v>
      </c>
      <c r="L23" s="31" t="n">
        <f aca="false">$F23*INDEX(Escenarios!$I$12:$I$36,MATCH($A23,Escenarios!$A$12:$A$36,0))*IF(AND($C23="INVAP",Inputs!$C$18="No"),0,1)*G23*$C$5</f>
        <v>0</v>
      </c>
      <c r="M23" s="31" t="n">
        <f aca="false">$F23*INDEX(Escenarios!$I$12:$I$36,MATCH($A23,Escenarios!$A$12:$A$36,0))*IF(AND($C23="INVAP",Inputs!$C$18="No"),0,1)*H23*$C$5</f>
        <v>0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0</v>
      </c>
      <c r="Q23" s="31" t="n">
        <f aca="false">IF(INDEX(Escenarios!$J$12:$J$36,MATCH($A23,Escenarios!$A$12:$A$36,0))*IF(AND($C23="INVAP",Inputs!$C$18="No"),0,1)&gt;0,$E23*$C$5,0)</f>
        <v>0</v>
      </c>
      <c r="R23" s="31" t="n">
        <f aca="false">$F23*INDEX(Escenarios!$J$12:$J$36,MATCH($A23,Escenarios!$A$12:$A$36,0))*IF(AND($C23="INVAP",Inputs!$C$18="No"),0,1)*G23*$C$5</f>
        <v>0</v>
      </c>
      <c r="S23" s="31" t="n">
        <f aca="false">$F23*INDEX(Escenarios!$J$12:$J$36,MATCH($A23,Escenarios!$A$12:$A$36,0))*IF(AND($C23="INVAP",Inputs!$C$18="No"),0,1)*H23*$C$5</f>
        <v>0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0</v>
      </c>
      <c r="W23" s="31" t="n">
        <f aca="false">IF(INDEX(Escenarios!$K$12:$K$36,MATCH($A23,Escenarios!$A$12:$A$36,0))*IF(AND($C23="INVAP",Inputs!$C$18="No"),0,1)&gt;0,$E23*$C$5,0)</f>
        <v>0</v>
      </c>
      <c r="X23" s="31" t="n">
        <f aca="false">$F23*INDEX(Escenarios!$K$12:$K$36,MATCH($A23,Escenarios!$A$12:$A$36,0))*IF(AND($C23="INVAP",Inputs!$C$18="No"),0,1)*G23*$C$5</f>
        <v>0</v>
      </c>
      <c r="Y23" s="31" t="n">
        <f aca="false">$F23*INDEX(Escenarios!$K$12:$K$36,MATCH($A23,Escenarios!$A$12:$A$36,0))*IF(AND($C23="INVAP",Inputs!$C$18="No"),0,1)*H23*$C$5</f>
        <v>0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0</v>
      </c>
      <c r="AC23" s="31" t="n">
        <f aca="false">IF(INDEX(Escenarios!$L$12:$L$36,MATCH($A23,Escenarios!$A$12:$A$36,0))*IF(AND($C23="INVAP",Inputs!$C$18="No"),0,1)&gt;0,$E23*$C$5,0)</f>
        <v>0</v>
      </c>
      <c r="AD23" s="31" t="n">
        <f aca="false">$F23*INDEX(Escenarios!$L$12:$L$36,MATCH($A23,Escenarios!$A$12:$A$36,0))*IF(AND($C23="INVAP",Inputs!$C$18="No"),0,1)*G23*$C$5</f>
        <v>0</v>
      </c>
      <c r="AE23" s="31" t="n">
        <f aca="false">$F23*INDEX(Escenarios!$L$12:$L$36,MATCH($A23,Escenarios!$A$12:$A$36,0))*IF(AND($C23="INVAP",Inputs!$C$18="No"),0,1)*H23*$C$5</f>
        <v>0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0</v>
      </c>
    </row>
    <row r="24" customFormat="false" ht="15" hidden="false" customHeight="false" outlineLevel="0" collapsed="false">
      <c r="A24" s="15" t="s">
        <v>95</v>
      </c>
      <c r="B24" s="4" t="s">
        <v>96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SUMIFS(Datos!$H$5:$H$291,Datos!$E$5:$E$291,$A24,Datos!$F$5:$F$291,"S2")</f>
        <v>0</v>
      </c>
      <c r="F24" s="31" t="n">
        <f aca="false">SUMIFS(Datos!$J$5:$J$291,Datos!$E$5:$E$291,$A24,Datos!$F$5:$F$291,"S2")</f>
        <v>0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0</v>
      </c>
      <c r="L24" s="31" t="n">
        <f aca="false">$F24*INDEX(Escenarios!$I$12:$I$36,MATCH($A24,Escenarios!$A$12:$A$36,0))*IF(AND($C24="INVAP",Inputs!$C$18="No"),0,1)*G24*$C$5</f>
        <v>0</v>
      </c>
      <c r="M24" s="31" t="n">
        <f aca="false">$F24*INDEX(Escenarios!$I$12:$I$36,MATCH($A24,Escenarios!$A$12:$A$36,0))*IF(AND($C24="INVAP",Inputs!$C$18="No"),0,1)*H24*$C$5</f>
        <v>0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0</v>
      </c>
      <c r="Q24" s="31" t="n">
        <f aca="false">IF(INDEX(Escenarios!$J$12:$J$36,MATCH($A24,Escenarios!$A$12:$A$36,0))*IF(AND($C24="INVAP",Inputs!$C$18="No"),0,1)&gt;0,$E24*$C$5,0)</f>
        <v>0</v>
      </c>
      <c r="R24" s="31" t="n">
        <f aca="false">$F24*INDEX(Escenarios!$J$12:$J$36,MATCH($A24,Escenarios!$A$12:$A$36,0))*IF(AND($C24="INVAP",Inputs!$C$18="No"),0,1)*G24*$C$5</f>
        <v>0</v>
      </c>
      <c r="S24" s="31" t="n">
        <f aca="false">$F24*INDEX(Escenarios!$J$12:$J$36,MATCH($A24,Escenarios!$A$12:$A$36,0))*IF(AND($C24="INVAP",Inputs!$C$18="No"),0,1)*H24*$C$5</f>
        <v>0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0</v>
      </c>
      <c r="W24" s="31" t="n">
        <f aca="false">IF(INDEX(Escenarios!$K$12:$K$36,MATCH($A24,Escenarios!$A$12:$A$36,0))*IF(AND($C24="INVAP",Inputs!$C$18="No"),0,1)&gt;0,$E24*$C$5,0)</f>
        <v>0</v>
      </c>
      <c r="X24" s="31" t="n">
        <f aca="false">$F24*INDEX(Escenarios!$K$12:$K$36,MATCH($A24,Escenarios!$A$12:$A$36,0))*IF(AND($C24="INVAP",Inputs!$C$18="No"),0,1)*G24*$C$5</f>
        <v>0</v>
      </c>
      <c r="Y24" s="31" t="n">
        <f aca="false">$F24*INDEX(Escenarios!$K$12:$K$36,MATCH($A24,Escenarios!$A$12:$A$36,0))*IF(AND($C24="INVAP",Inputs!$C$18="No"),0,1)*H24*$C$5</f>
        <v>0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0</v>
      </c>
      <c r="AC24" s="31" t="n">
        <f aca="false">IF(INDEX(Escenarios!$L$12:$L$36,MATCH($A24,Escenarios!$A$12:$A$36,0))*IF(AND($C24="INVAP",Inputs!$C$18="No"),0,1)&gt;0,$E24*$C$5,0)</f>
        <v>0</v>
      </c>
      <c r="AD24" s="31" t="n">
        <f aca="false">$F24*INDEX(Escenarios!$L$12:$L$36,MATCH($A24,Escenarios!$A$12:$A$36,0))*IF(AND($C24="INVAP",Inputs!$C$18="No"),0,1)*G24*$C$5</f>
        <v>0</v>
      </c>
      <c r="AE24" s="31" t="n">
        <f aca="false">$F24*INDEX(Escenarios!$L$12:$L$36,MATCH($A24,Escenarios!$A$12:$A$36,0))*IF(AND($C24="INVAP",Inputs!$C$18="No"),0,1)*H24*$C$5</f>
        <v>0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0</v>
      </c>
    </row>
    <row r="25" customFormat="false" ht="15" hidden="false" customHeight="false" outlineLevel="0" collapsed="false">
      <c r="A25" s="15" t="s">
        <v>97</v>
      </c>
      <c r="B25" s="4" t="s">
        <v>98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SUMIFS(Datos!$H$5:$H$291,Datos!$E$5:$E$291,$A25,Datos!$F$5:$F$291,"S2")</f>
        <v>0</v>
      </c>
      <c r="F25" s="31" t="n">
        <f aca="false">SUMIFS(Datos!$J$5:$J$291,Datos!$E$5:$E$291,$A25,Datos!$F$5:$F$291,"S2")</f>
        <v>0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0</v>
      </c>
      <c r="L25" s="31" t="n">
        <f aca="false">$F25*INDEX(Escenarios!$I$12:$I$36,MATCH($A25,Escenarios!$A$12:$A$36,0))*IF(AND($C25="INVAP",Inputs!$C$18="No"),0,1)*G25*$C$5</f>
        <v>0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0</v>
      </c>
      <c r="Q25" s="31" t="n">
        <f aca="false">IF(INDEX(Escenarios!$J$12:$J$36,MATCH($A25,Escenarios!$A$12:$A$36,0))*IF(AND($C25="INVAP",Inputs!$C$18="No"),0,1)&gt;0,$E25*$C$5,0)</f>
        <v>0</v>
      </c>
      <c r="R25" s="31" t="n">
        <f aca="false">$F25*INDEX(Escenarios!$J$12:$J$36,MATCH($A25,Escenarios!$A$12:$A$36,0))*IF(AND($C25="INVAP",Inputs!$C$18="No"),0,1)*G25*$C$5</f>
        <v>0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0</v>
      </c>
      <c r="W25" s="31" t="n">
        <f aca="false">IF(INDEX(Escenarios!$K$12:$K$36,MATCH($A25,Escenarios!$A$12:$A$36,0))*IF(AND($C25="INVAP",Inputs!$C$18="No"),0,1)&gt;0,$E25*$C$5,0)</f>
        <v>0</v>
      </c>
      <c r="X25" s="31" t="n">
        <f aca="false">$F25*INDEX(Escenarios!$K$12:$K$36,MATCH($A25,Escenarios!$A$12:$A$36,0))*IF(AND($C25="INVAP",Inputs!$C$18="No"),0,1)*G25*$C$5</f>
        <v>0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0</v>
      </c>
      <c r="AC25" s="31" t="n">
        <f aca="false">IF(INDEX(Escenarios!$L$12:$L$36,MATCH($A25,Escenarios!$A$12:$A$36,0))*IF(AND($C25="INVAP",Inputs!$C$18="No"),0,1)&gt;0,$E25*$C$5,0)</f>
        <v>0</v>
      </c>
      <c r="AD25" s="31" t="n">
        <f aca="false">$F25*INDEX(Escenarios!$L$12:$L$36,MATCH($A25,Escenarios!$A$12:$A$36,0))*IF(AND($C25="INVAP",Inputs!$C$18="No"),0,1)*G25*$C$5</f>
        <v>0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0</v>
      </c>
    </row>
    <row r="26" customFormat="false" ht="15" hidden="false" customHeight="false" outlineLevel="0" collapsed="false">
      <c r="A26" s="15" t="s">
        <v>99</v>
      </c>
      <c r="B26" s="4" t="s">
        <v>100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SUMIFS(Datos!$H$5:$H$291,Datos!$E$5:$E$291,$A26,Datos!$F$5:$F$291,"S2")</f>
        <v>0</v>
      </c>
      <c r="F26" s="31" t="n">
        <f aca="false">SUMIFS(Datos!$J$5:$J$291,Datos!$E$5:$E$291,$A26,Datos!$F$5:$F$291,"S2")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101</v>
      </c>
      <c r="B27" s="4" t="s">
        <v>102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SUMIFS(Datos!$H$5:$H$291,Datos!$E$5:$E$291,$A27,Datos!$F$5:$F$291,"S2")</f>
        <v>0</v>
      </c>
      <c r="F27" s="31" t="n">
        <f aca="false">SUMIFS(Datos!$J$5:$J$291,Datos!$E$5:$E$291,$A27,Datos!$F$5:$F$291,"S2")</f>
        <v>0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0</v>
      </c>
      <c r="L27" s="31" t="n">
        <f aca="false">$F27*INDEX(Escenarios!$I$12:$I$36,MATCH($A27,Escenarios!$A$12:$A$36,0))*IF(AND($C27="INVAP",Inputs!$C$18="No"),0,1)*G27*$C$5</f>
        <v>0</v>
      </c>
      <c r="M27" s="31" t="n">
        <f aca="false">$F27*INDEX(Escenarios!$I$12:$I$36,MATCH($A27,Escenarios!$A$12:$A$36,0))*IF(AND($C27="INVAP",Inputs!$C$18="No"),0,1)*H27*$C$5</f>
        <v>0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0</v>
      </c>
      <c r="Q27" s="31" t="n">
        <f aca="false">IF(INDEX(Escenarios!$J$12:$J$36,MATCH($A27,Escenarios!$A$12:$A$36,0))*IF(AND($C27="INVAP",Inputs!$C$18="No"),0,1)&gt;0,$E27*$C$5,0)</f>
        <v>0</v>
      </c>
      <c r="R27" s="31" t="n">
        <f aca="false">$F27*INDEX(Escenarios!$J$12:$J$36,MATCH($A27,Escenarios!$A$12:$A$36,0))*IF(AND($C27="INVAP",Inputs!$C$18="No"),0,1)*G27*$C$5</f>
        <v>0</v>
      </c>
      <c r="S27" s="31" t="n">
        <f aca="false">$F27*INDEX(Escenarios!$J$12:$J$36,MATCH($A27,Escenarios!$A$12:$A$36,0))*IF(AND($C27="INVAP",Inputs!$C$18="No"),0,1)*H27*$C$5</f>
        <v>0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0</v>
      </c>
      <c r="W27" s="31" t="n">
        <f aca="false">IF(INDEX(Escenarios!$K$12:$K$36,MATCH($A27,Escenarios!$A$12:$A$36,0))*IF(AND($C27="INVAP",Inputs!$C$18="No"),0,1)&gt;0,$E27*$C$5,0)</f>
        <v>0</v>
      </c>
      <c r="X27" s="31" t="n">
        <f aca="false">$F27*INDEX(Escenarios!$K$12:$K$36,MATCH($A27,Escenarios!$A$12:$A$36,0))*IF(AND($C27="INVAP",Inputs!$C$18="No"),0,1)*G27*$C$5</f>
        <v>0</v>
      </c>
      <c r="Y27" s="31" t="n">
        <f aca="false">$F27*INDEX(Escenarios!$K$12:$K$36,MATCH($A27,Escenarios!$A$12:$A$36,0))*IF(AND($C27="INVAP",Inputs!$C$18="No"),0,1)*H27*$C$5</f>
        <v>0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0</v>
      </c>
      <c r="AC27" s="31" t="n">
        <f aca="false">IF(INDEX(Escenarios!$L$12:$L$36,MATCH($A27,Escenarios!$A$12:$A$36,0))*IF(AND($C27="INVAP",Inputs!$C$18="No"),0,1)&gt;0,$E27*$C$5,0)</f>
        <v>0</v>
      </c>
      <c r="AD27" s="31" t="n">
        <f aca="false">$F27*INDEX(Escenarios!$L$12:$L$36,MATCH($A27,Escenarios!$A$12:$A$36,0))*IF(AND($C27="INVAP",Inputs!$C$18="No"),0,1)*G27*$C$5</f>
        <v>0</v>
      </c>
      <c r="AE27" s="31" t="n">
        <f aca="false">$F27*INDEX(Escenarios!$L$12:$L$36,MATCH($A27,Escenarios!$A$12:$A$36,0))*IF(AND($C27="INVAP",Inputs!$C$18="No"),0,1)*H27*$C$5</f>
        <v>0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0</v>
      </c>
    </row>
    <row r="28" customFormat="false" ht="15" hidden="false" customHeight="false" outlineLevel="0" collapsed="false">
      <c r="A28" s="15" t="s">
        <v>103</v>
      </c>
      <c r="B28" s="4" t="s">
        <v>104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SUMIFS(Datos!$H$5:$H$291,Datos!$E$5:$E$291,$A28,Datos!$F$5:$F$291,"S2")</f>
        <v>0</v>
      </c>
      <c r="F28" s="31" t="n">
        <f aca="false">SUMIFS(Datos!$J$5:$J$291,Datos!$E$5:$E$291,$A28,Datos!$F$5:$F$291,"S2")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105</v>
      </c>
      <c r="B29" s="4" t="s">
        <v>106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SUMIFS(Datos!$H$5:$H$291,Datos!$E$5:$E$291,$A29,Datos!$F$5:$F$291,"S2")</f>
        <v>380</v>
      </c>
      <c r="F29" s="31" t="n">
        <f aca="false">SUMIFS(Datos!$J$5:$J$291,Datos!$E$5:$E$291,$A29,Datos!$F$5:$F$291,"S2")</f>
        <v>88244.1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380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88244.1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88244.1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380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44122.05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44122.05</v>
      </c>
    </row>
    <row r="30" customFormat="false" ht="15" hidden="false" customHeight="false" outlineLevel="0" collapsed="false">
      <c r="A30" s="15" t="s">
        <v>107</v>
      </c>
      <c r="B30" s="4" t="s">
        <v>108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SUMIFS(Datos!$H$5:$H$291,Datos!$E$5:$E$291,$A30,Datos!$F$5:$F$291,"S2")</f>
        <v>305</v>
      </c>
      <c r="F30" s="31" t="n">
        <f aca="false">SUMIFS(Datos!$J$5:$J$291,Datos!$E$5:$E$291,$A30,Datos!$F$5:$F$291,"S2")</f>
        <v>70622.475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305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70622.475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70622.475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305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35311.2375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35311.2375</v>
      </c>
    </row>
    <row r="31" customFormat="false" ht="15" hidden="false" customHeight="false" outlineLevel="0" collapsed="false">
      <c r="A31" s="15" t="s">
        <v>109</v>
      </c>
      <c r="B31" s="4" t="s">
        <v>110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SUMIFS(Datos!$H$5:$H$291,Datos!$E$5:$E$291,$A31,Datos!$F$5:$F$291,"S2")</f>
        <v>0</v>
      </c>
      <c r="F31" s="31" t="n">
        <f aca="false">SUMIFS(Datos!$J$5:$J$291,Datos!$E$5:$E$291,$A31,Datos!$F$5:$F$291,"S2")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111</v>
      </c>
      <c r="B32" s="4" t="s">
        <v>112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SUMIFS(Datos!$H$5:$H$291,Datos!$E$5:$E$291,$A32,Datos!$F$5:$F$291,"S2")</f>
        <v>0</v>
      </c>
      <c r="F32" s="31" t="n">
        <f aca="false">SUMIFS(Datos!$J$5:$J$291,Datos!$E$5:$E$291,$A32,Datos!$F$5:$F$291,"S2")</f>
        <v>0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0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0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0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0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0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0</v>
      </c>
    </row>
    <row r="33" customFormat="false" ht="15" hidden="false" customHeight="false" outlineLevel="0" collapsed="false">
      <c r="A33" s="34"/>
      <c r="B33" s="35" t="s">
        <v>119</v>
      </c>
      <c r="C33" s="34"/>
      <c r="D33" s="34"/>
      <c r="E33" s="36" t="n">
        <f aca="false">SUM(E8:E32)</f>
        <v>3170</v>
      </c>
      <c r="F33" s="36" t="n">
        <f aca="false">SUM(F8:F32)</f>
        <v>732839.1</v>
      </c>
      <c r="G33" s="34"/>
      <c r="H33" s="34"/>
      <c r="I33" s="34"/>
      <c r="J33" s="34"/>
      <c r="K33" s="36" t="n">
        <f aca="false">SUM(K8:K32)</f>
        <v>3170</v>
      </c>
      <c r="L33" s="36" t="n">
        <f aca="false">SUM(L8:L32)</f>
        <v>536515.0875</v>
      </c>
      <c r="M33" s="36" t="n">
        <f aca="false">SUM(M8:M32)</f>
        <v>196324.0125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732839.1</v>
      </c>
      <c r="Q33" s="36" t="n">
        <f aca="false">SUM(Q8:Q32)</f>
        <v>2485</v>
      </c>
      <c r="R33" s="36" t="n">
        <f aca="false">SUM(R8:R32)</f>
        <v>536515.0875</v>
      </c>
      <c r="S33" s="36" t="n">
        <f aca="false">SUM(S8:S32)</f>
        <v>37457.4375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573972.525</v>
      </c>
      <c r="W33" s="36" t="n">
        <f aca="false">SUM(W8:W32)</f>
        <v>2050</v>
      </c>
      <c r="X33" s="36" t="n">
        <f aca="false">SUM(X8:X32)</f>
        <v>436779.2625</v>
      </c>
      <c r="Y33" s="36" t="n">
        <f aca="false">SUM(Y8:Y32)</f>
        <v>37457.4375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474236.7</v>
      </c>
      <c r="AC33" s="36" t="n">
        <f aca="false">SUM(AC8:AC32)</f>
        <v>2735</v>
      </c>
      <c r="AD33" s="36" t="n">
        <f aca="false">SUM(AD8:AD32)</f>
        <v>436779.2625</v>
      </c>
      <c r="AE33" s="36" t="n">
        <f aca="false">SUM(AE8:AE32)</f>
        <v>116890.725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553669.9875</v>
      </c>
    </row>
    <row r="34" customFormat="false" ht="15" hidden="false" customHeight="false" outlineLevel="0" collapsed="false">
      <c r="B34" s="37" t="str">
        <f aca="false">"Ajuste de retrabajo: "&amp;TEXT(Inputs!$C$14,"0%")&amp;" considerado frente al "&amp;TEXT(Inputs!$C$13,"0%")&amp;" incluido (solo IDOM)"</f>
        <v>Ajuste de retrabajo: 35% considerado frente al 35% incluido (solo IDOM)</v>
      </c>
      <c r="L34" s="38" t="n">
        <f aca="false">L33*Inputs!$C$15</f>
        <v>0</v>
      </c>
      <c r="M34" s="38" t="n">
        <v>0</v>
      </c>
      <c r="N34" s="38" t="n">
        <v>0</v>
      </c>
      <c r="O34" s="38" t="n">
        <v>0</v>
      </c>
      <c r="P34" s="38" t="n">
        <f aca="false">SUM(L34:O34)</f>
        <v>0</v>
      </c>
      <c r="R34" s="38" t="n">
        <f aca="false">R33*Inputs!$C$15</f>
        <v>0</v>
      </c>
      <c r="S34" s="38" t="n">
        <v>0</v>
      </c>
      <c r="T34" s="38" t="n">
        <v>0</v>
      </c>
      <c r="U34" s="38" t="n">
        <v>0</v>
      </c>
      <c r="V34" s="38" t="n">
        <f aca="false">SUM(R34:U34)</f>
        <v>0</v>
      </c>
      <c r="X34" s="38" t="n">
        <f aca="false">X33*Inputs!$C$15</f>
        <v>0</v>
      </c>
      <c r="Y34" s="38" t="n">
        <v>0</v>
      </c>
      <c r="Z34" s="38" t="n">
        <v>0</v>
      </c>
      <c r="AA34" s="38" t="n">
        <v>0</v>
      </c>
      <c r="AB34" s="38" t="n">
        <f aca="false">SUM(X34:AA34)</f>
        <v>0</v>
      </c>
      <c r="AD34" s="38" t="n">
        <f aca="false">AD33*Inputs!$C$15</f>
        <v>0</v>
      </c>
      <c r="AE34" s="38" t="n">
        <v>0</v>
      </c>
      <c r="AF34" s="38" t="n">
        <v>0</v>
      </c>
      <c r="AG34" s="38" t="n">
        <v>0</v>
      </c>
      <c r="AH34" s="38" t="n">
        <f aca="false">SUM(AD34:AG34)</f>
        <v>0</v>
      </c>
    </row>
    <row r="35" customFormat="false" ht="15" hidden="false" customHeight="false" outlineLevel="0" collapsed="false">
      <c r="A35" s="39"/>
      <c r="B35" s="3" t="s">
        <v>120</v>
      </c>
      <c r="C35" s="39"/>
      <c r="D35" s="39"/>
      <c r="E35" s="40" t="n">
        <f aca="false">E33</f>
        <v>3170</v>
      </c>
      <c r="F35" s="40" t="n">
        <f aca="false">F33</f>
        <v>732839.1</v>
      </c>
      <c r="G35" s="39"/>
      <c r="H35" s="39"/>
      <c r="I35" s="39"/>
      <c r="J35" s="39"/>
      <c r="K35" s="40" t="n">
        <f aca="false">K33</f>
        <v>3170</v>
      </c>
      <c r="L35" s="40" t="n">
        <f aca="false">L33+L34</f>
        <v>536515.0875</v>
      </c>
      <c r="M35" s="40" t="n">
        <f aca="false">M33+M34</f>
        <v>196324.0125</v>
      </c>
      <c r="N35" s="40" t="n">
        <f aca="false">N33+N34</f>
        <v>0</v>
      </c>
      <c r="O35" s="40" t="n">
        <f aca="false">O33+O34</f>
        <v>0</v>
      </c>
      <c r="P35" s="40" t="n">
        <f aca="false">P33+P34</f>
        <v>732839.1</v>
      </c>
      <c r="Q35" s="40" t="n">
        <f aca="false">Q33</f>
        <v>2485</v>
      </c>
      <c r="R35" s="40" t="n">
        <f aca="false">R33+R34</f>
        <v>536515.0875</v>
      </c>
      <c r="S35" s="40" t="n">
        <f aca="false">S33+S34</f>
        <v>37457.4375</v>
      </c>
      <c r="T35" s="40" t="n">
        <f aca="false">T33+T34</f>
        <v>0</v>
      </c>
      <c r="U35" s="40" t="n">
        <f aca="false">U33+U34</f>
        <v>0</v>
      </c>
      <c r="V35" s="40" t="n">
        <f aca="false">V33+V34</f>
        <v>573972.525</v>
      </c>
      <c r="W35" s="40" t="n">
        <f aca="false">W33</f>
        <v>2050</v>
      </c>
      <c r="X35" s="40" t="n">
        <f aca="false">X33+X34</f>
        <v>436779.2625</v>
      </c>
      <c r="Y35" s="40" t="n">
        <f aca="false">Y33+Y34</f>
        <v>37457.4375</v>
      </c>
      <c r="Z35" s="40" t="n">
        <f aca="false">Z33+Z34</f>
        <v>0</v>
      </c>
      <c r="AA35" s="40" t="n">
        <f aca="false">AA33+AA34</f>
        <v>0</v>
      </c>
      <c r="AB35" s="40" t="n">
        <f aca="false">AB33+AB34</f>
        <v>474236.7</v>
      </c>
      <c r="AC35" s="40" t="n">
        <f aca="false">AC33</f>
        <v>2735</v>
      </c>
      <c r="AD35" s="40" t="n">
        <f aca="false">AD33+AD34</f>
        <v>436779.2625</v>
      </c>
      <c r="AE35" s="40" t="n">
        <f aca="false">AE33+AE34</f>
        <v>116890.725</v>
      </c>
      <c r="AF35" s="40" t="n">
        <f aca="false">AF33+AF34</f>
        <v>0</v>
      </c>
      <c r="AG35" s="40" t="n">
        <f aca="false">AG33+AG34</f>
        <v>0</v>
      </c>
      <c r="AH35" s="40" t="n">
        <f aca="false">AH33+AH34</f>
        <v>553669.9875</v>
      </c>
    </row>
    <row r="37" customFormat="false" ht="15" hidden="false" customHeight="false" outlineLevel="0" collapsed="false">
      <c r="B37" s="2" t="s">
        <v>115</v>
      </c>
      <c r="F37" s="41" t="n">
        <f aca="false">SUM(G37:J37)</f>
        <v>732839.1</v>
      </c>
      <c r="G37" s="41" t="n">
        <f aca="false">SUMPRODUCT($F$8:$F$32,G$8:G$32)</f>
        <v>536515.0875</v>
      </c>
      <c r="H37" s="41" t="n">
        <f aca="false">SUMPRODUCT($F$8:$F$32,H$8:H$32)</f>
        <v>196324.0125</v>
      </c>
      <c r="I37" s="41" t="n">
        <f aca="false">SUMPRODUCT($F$8:$F$32,I$8:I$32)</f>
        <v>0</v>
      </c>
      <c r="J37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121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5" customFormat="false" ht="15" hidden="false" customHeight="false" outlineLevel="0" collapsed="false">
      <c r="B5" s="15" t="s">
        <v>44</v>
      </c>
      <c r="C5" s="18" t="n">
        <f aca="false">IF(Inputs!$C$10="Todas las etapas",Inputs!$C$9,IF(AND(Inputs!$C$10="Solo diseño (S1–S5)",3&lt;=5),Inputs!$C$9,IF(AND(Inputs!$C$10="Solo lump sum (S1–S3)",3&lt;=3),Inputs!$C$9,1)))</f>
        <v>1</v>
      </c>
      <c r="D5" s="17" t="str">
        <f aca="false">Inputs!$C$7&amp;" loops"</f>
        <v>3 loops</v>
      </c>
      <c r="E5" s="2" t="s">
        <v>45</v>
      </c>
    </row>
    <row r="6" customFormat="false" ht="15" hidden="false" customHeight="false" outlineLevel="0" collapsed="false">
      <c r="A6" s="19" t="s">
        <v>46</v>
      </c>
      <c r="B6" s="19"/>
      <c r="C6" s="19"/>
      <c r="D6" s="19"/>
      <c r="E6" s="19"/>
      <c r="F6" s="19"/>
      <c r="G6" s="19" t="s">
        <v>47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48</v>
      </c>
      <c r="B7" s="23" t="s">
        <v>49</v>
      </c>
      <c r="C7" s="23" t="s">
        <v>50</v>
      </c>
      <c r="D7" s="23" t="s">
        <v>51</v>
      </c>
      <c r="E7" s="23" t="s">
        <v>52</v>
      </c>
      <c r="F7" s="23" t="s">
        <v>53</v>
      </c>
      <c r="G7" s="23" t="s">
        <v>54</v>
      </c>
      <c r="H7" s="23" t="s">
        <v>55</v>
      </c>
      <c r="I7" s="23" t="s">
        <v>56</v>
      </c>
      <c r="J7" s="23" t="s">
        <v>57</v>
      </c>
      <c r="K7" s="24" t="s">
        <v>58</v>
      </c>
      <c r="L7" s="25" t="s">
        <v>29</v>
      </c>
      <c r="M7" s="26" t="s">
        <v>59</v>
      </c>
      <c r="N7" s="27" t="s">
        <v>60</v>
      </c>
      <c r="O7" s="28" t="s">
        <v>61</v>
      </c>
      <c r="P7" s="24" t="s">
        <v>62</v>
      </c>
      <c r="Q7" s="24" t="s">
        <v>58</v>
      </c>
      <c r="R7" s="25" t="s">
        <v>29</v>
      </c>
      <c r="S7" s="26" t="s">
        <v>59</v>
      </c>
      <c r="T7" s="27" t="s">
        <v>60</v>
      </c>
      <c r="U7" s="28" t="s">
        <v>61</v>
      </c>
      <c r="V7" s="24" t="s">
        <v>62</v>
      </c>
      <c r="W7" s="24" t="s">
        <v>58</v>
      </c>
      <c r="X7" s="25" t="s">
        <v>29</v>
      </c>
      <c r="Y7" s="26" t="s">
        <v>59</v>
      </c>
      <c r="Z7" s="27" t="s">
        <v>60</v>
      </c>
      <c r="AA7" s="28" t="s">
        <v>61</v>
      </c>
      <c r="AB7" s="24" t="s">
        <v>62</v>
      </c>
      <c r="AC7" s="24" t="s">
        <v>58</v>
      </c>
      <c r="AD7" s="25" t="s">
        <v>29</v>
      </c>
      <c r="AE7" s="26" t="s">
        <v>59</v>
      </c>
      <c r="AF7" s="27" t="s">
        <v>60</v>
      </c>
      <c r="AG7" s="28" t="s">
        <v>61</v>
      </c>
      <c r="AH7" s="24" t="s">
        <v>62</v>
      </c>
    </row>
    <row r="8" customFormat="false" ht="15" hidden="false" customHeight="false" outlineLevel="0" collapsed="false">
      <c r="A8" s="15" t="s">
        <v>63</v>
      </c>
      <c r="B8" s="4" t="s">
        <v>64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SUMIFS(Datos!$H$5:$H$291,Datos!$E$5:$E$291,$A8,Datos!$F$5:$F$291,"S3")</f>
        <v>315</v>
      </c>
      <c r="F8" s="31" t="n">
        <f aca="false">SUMIFS(Datos!$J$5:$J$291,Datos!$E$5:$E$291,$A8,Datos!$F$5:$F$291,"S3")</f>
        <v>58869.825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315</v>
      </c>
      <c r="L8" s="31" t="n">
        <f aca="false">$F8*INDEX(Escenarios!$I$12:$I$36,MATCH($A8,Escenarios!$A$12:$A$36,0))*IF(AND($C8="INVAP",Inputs!$C$18="No"),0,1)*G8*$C$5</f>
        <v>58869.825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58869.825</v>
      </c>
      <c r="Q8" s="31" t="n">
        <f aca="false">IF(INDEX(Escenarios!$J$12:$J$36,MATCH($A8,Escenarios!$A$12:$A$36,0))*IF(AND($C8="INVAP",Inputs!$C$18="No"),0,1)&gt;0,$E8*$C$5,0)</f>
        <v>315</v>
      </c>
      <c r="R8" s="31" t="n">
        <f aca="false">$F8*INDEX(Escenarios!$J$12:$J$36,MATCH($A8,Escenarios!$A$12:$A$36,0))*IF(AND($C8="INVAP",Inputs!$C$18="No"),0,1)*G8*$C$5</f>
        <v>58869.825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58869.825</v>
      </c>
      <c r="W8" s="31" t="n">
        <f aca="false">IF(INDEX(Escenarios!$K$12:$K$36,MATCH($A8,Escenarios!$A$12:$A$36,0))*IF(AND($C8="INVAP",Inputs!$C$18="No"),0,1)&gt;0,$E8*$C$5,0)</f>
        <v>315</v>
      </c>
      <c r="X8" s="31" t="n">
        <f aca="false">$F8*INDEX(Escenarios!$K$12:$K$36,MATCH($A8,Escenarios!$A$12:$A$36,0))*IF(AND($C8="INVAP",Inputs!$C$18="No"),0,1)*G8*$C$5</f>
        <v>58869.825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58869.825</v>
      </c>
      <c r="AC8" s="31" t="n">
        <f aca="false">IF(INDEX(Escenarios!$L$12:$L$36,MATCH($A8,Escenarios!$A$12:$A$36,0))*IF(AND($C8="INVAP",Inputs!$C$18="No"),0,1)&gt;0,$E8*$C$5,0)</f>
        <v>315</v>
      </c>
      <c r="AD8" s="31" t="n">
        <f aca="false">$F8*INDEX(Escenarios!$L$12:$L$36,MATCH($A8,Escenarios!$A$12:$A$36,0))*IF(AND($C8="INVAP",Inputs!$C$18="No"),0,1)*G8*$C$5</f>
        <v>58869.825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58869.825</v>
      </c>
    </row>
    <row r="9" customFormat="false" ht="15" hidden="false" customHeight="false" outlineLevel="0" collapsed="false">
      <c r="A9" s="15" t="s">
        <v>65</v>
      </c>
      <c r="B9" s="4" t="s">
        <v>66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SUMIFS(Datos!$H$5:$H$291,Datos!$E$5:$E$291,$A9,Datos!$F$5:$F$291,"S3")</f>
        <v>0</v>
      </c>
      <c r="F9" s="31" t="n">
        <f aca="false">SUMIFS(Datos!$J$5:$J$291,Datos!$E$5:$E$291,$A9,Datos!$F$5:$F$291,"S3")</f>
        <v>0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0</v>
      </c>
      <c r="L9" s="31" t="n">
        <f aca="false">$F9*INDEX(Escenarios!$I$12:$I$36,MATCH($A9,Escenarios!$A$12:$A$36,0))*IF(AND($C9="INVAP",Inputs!$C$18="No"),0,1)*G9*$C$5</f>
        <v>0</v>
      </c>
      <c r="M9" s="31" t="n">
        <f aca="false">$F9*INDEX(Escenarios!$I$12:$I$36,MATCH($A9,Escenarios!$A$12:$A$36,0))*IF(AND($C9="INVAP",Inputs!$C$18="No"),0,1)*H9*$C$5</f>
        <v>0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0</v>
      </c>
      <c r="Q9" s="31" t="n">
        <f aca="false">IF(INDEX(Escenarios!$J$12:$J$36,MATCH($A9,Escenarios!$A$12:$A$36,0))*IF(AND($C9="INVAP",Inputs!$C$18="No"),0,1)&gt;0,$E9*$C$5,0)</f>
        <v>0</v>
      </c>
      <c r="R9" s="31" t="n">
        <f aca="false">$F9*INDEX(Escenarios!$J$12:$J$36,MATCH($A9,Escenarios!$A$12:$A$36,0))*IF(AND($C9="INVAP",Inputs!$C$18="No"),0,1)*G9*$C$5</f>
        <v>0</v>
      </c>
      <c r="S9" s="31" t="n">
        <f aca="false">$F9*INDEX(Escenarios!$J$12:$J$36,MATCH($A9,Escenarios!$A$12:$A$36,0))*IF(AND($C9="INVAP",Inputs!$C$18="No"),0,1)*H9*$C$5</f>
        <v>0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0</v>
      </c>
      <c r="W9" s="31" t="n">
        <f aca="false">IF(INDEX(Escenarios!$K$12:$K$36,MATCH($A9,Escenarios!$A$12:$A$36,0))*IF(AND($C9="INVAP",Inputs!$C$18="No"),0,1)&gt;0,$E9*$C$5,0)</f>
        <v>0</v>
      </c>
      <c r="X9" s="31" t="n">
        <f aca="false">$F9*INDEX(Escenarios!$K$12:$K$36,MATCH($A9,Escenarios!$A$12:$A$36,0))*IF(AND($C9="INVAP",Inputs!$C$18="No"),0,1)*G9*$C$5</f>
        <v>0</v>
      </c>
      <c r="Y9" s="31" t="n">
        <f aca="false">$F9*INDEX(Escenarios!$K$12:$K$36,MATCH($A9,Escenarios!$A$12:$A$36,0))*IF(AND($C9="INVAP",Inputs!$C$18="No"),0,1)*H9*$C$5</f>
        <v>0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0</v>
      </c>
      <c r="AC9" s="31" t="n">
        <f aca="false">IF(INDEX(Escenarios!$L$12:$L$36,MATCH($A9,Escenarios!$A$12:$A$36,0))*IF(AND($C9="INVAP",Inputs!$C$18="No"),0,1)&gt;0,$E9*$C$5,0)</f>
        <v>0</v>
      </c>
      <c r="AD9" s="31" t="n">
        <f aca="false">$F9*INDEX(Escenarios!$L$12:$L$36,MATCH($A9,Escenarios!$A$12:$A$36,0))*IF(AND($C9="INVAP",Inputs!$C$18="No"),0,1)*G9*$C$5</f>
        <v>0</v>
      </c>
      <c r="AE9" s="31" t="n">
        <f aca="false">$F9*INDEX(Escenarios!$L$12:$L$36,MATCH($A9,Escenarios!$A$12:$A$36,0))*IF(AND($C9="INVAP",Inputs!$C$18="No"),0,1)*H9*$C$5</f>
        <v>0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0</v>
      </c>
    </row>
    <row r="10" customFormat="false" ht="15" hidden="false" customHeight="false" outlineLevel="0" collapsed="false">
      <c r="A10" s="15" t="s">
        <v>67</v>
      </c>
      <c r="B10" s="4" t="s">
        <v>68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SUMIFS(Datos!$H$5:$H$291,Datos!$E$5:$E$291,$A10,Datos!$F$5:$F$291,"S3")</f>
        <v>1385</v>
      </c>
      <c r="F10" s="31" t="n">
        <f aca="false">SUMIFS(Datos!$J$5:$J$291,Datos!$E$5:$E$291,$A10,Datos!$F$5:$F$291,"S3")</f>
        <v>323392.65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1385</v>
      </c>
      <c r="L10" s="31" t="n">
        <f aca="false">$F10*INDEX(Escenarios!$I$12:$I$36,MATCH($A10,Escenarios!$A$12:$A$36,0))*IF(AND($C10="INVAP",Inputs!$C$18="No"),0,1)*G10*$C$5</f>
        <v>291053.385</v>
      </c>
      <c r="M10" s="31" t="n">
        <f aca="false">$F10*INDEX(Escenarios!$I$12:$I$36,MATCH($A10,Escenarios!$A$12:$A$36,0))*IF(AND($C10="INVAP",Inputs!$C$18="No"),0,1)*H10*$C$5</f>
        <v>32339.265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323392.65</v>
      </c>
      <c r="Q10" s="31" t="n">
        <f aca="false">IF(INDEX(Escenarios!$J$12:$J$36,MATCH($A10,Escenarios!$A$12:$A$36,0))*IF(AND($C10="INVAP",Inputs!$C$18="No"),0,1)&gt;0,$E10*$C$5,0)</f>
        <v>1385</v>
      </c>
      <c r="R10" s="31" t="n">
        <f aca="false">$F10*INDEX(Escenarios!$J$12:$J$36,MATCH($A10,Escenarios!$A$12:$A$36,0))*IF(AND($C10="INVAP",Inputs!$C$18="No"),0,1)*G10*$C$5</f>
        <v>291053.385</v>
      </c>
      <c r="S10" s="31" t="n">
        <f aca="false">$F10*INDEX(Escenarios!$J$12:$J$36,MATCH($A10,Escenarios!$A$12:$A$36,0))*IF(AND($C10="INVAP",Inputs!$C$18="No"),0,1)*H10*$C$5</f>
        <v>32339.265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323392.65</v>
      </c>
      <c r="W10" s="31" t="n">
        <f aca="false">IF(INDEX(Escenarios!$K$12:$K$36,MATCH($A10,Escenarios!$A$12:$A$36,0))*IF(AND($C10="INVAP",Inputs!$C$18="No"),0,1)&gt;0,$E10*$C$5,0)</f>
        <v>1385</v>
      </c>
      <c r="X10" s="31" t="n">
        <f aca="false">$F10*INDEX(Escenarios!$K$12:$K$36,MATCH($A10,Escenarios!$A$12:$A$36,0))*IF(AND($C10="INVAP",Inputs!$C$18="No"),0,1)*G10*$C$5</f>
        <v>291053.385</v>
      </c>
      <c r="Y10" s="31" t="n">
        <f aca="false">$F10*INDEX(Escenarios!$K$12:$K$36,MATCH($A10,Escenarios!$A$12:$A$36,0))*IF(AND($C10="INVAP",Inputs!$C$18="No"),0,1)*H10*$C$5</f>
        <v>32339.265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323392.65</v>
      </c>
      <c r="AC10" s="31" t="n">
        <f aca="false">IF(INDEX(Escenarios!$L$12:$L$36,MATCH($A10,Escenarios!$A$12:$A$36,0))*IF(AND($C10="INVAP",Inputs!$C$18="No"),0,1)&gt;0,$E10*$C$5,0)</f>
        <v>1385</v>
      </c>
      <c r="AD10" s="31" t="n">
        <f aca="false">$F10*INDEX(Escenarios!$L$12:$L$36,MATCH($A10,Escenarios!$A$12:$A$36,0))*IF(AND($C10="INVAP",Inputs!$C$18="No"),0,1)*G10*$C$5</f>
        <v>291053.385</v>
      </c>
      <c r="AE10" s="31" t="n">
        <f aca="false">$F10*INDEX(Escenarios!$L$12:$L$36,MATCH($A10,Escenarios!$A$12:$A$36,0))*IF(AND($C10="INVAP",Inputs!$C$18="No"),0,1)*H10*$C$5</f>
        <v>32339.265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323392.65</v>
      </c>
    </row>
    <row r="11" customFormat="false" ht="15" hidden="false" customHeight="false" outlineLevel="0" collapsed="false">
      <c r="A11" s="15" t="s">
        <v>69</v>
      </c>
      <c r="B11" s="4" t="s">
        <v>70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SUMIFS(Datos!$H$5:$H$291,Datos!$E$5:$E$291,$A11,Datos!$F$5:$F$291,"S3")</f>
        <v>0</v>
      </c>
      <c r="F11" s="31" t="n">
        <f aca="false">SUMIFS(Datos!$J$5:$J$291,Datos!$E$5:$E$291,$A11,Datos!$F$5:$F$291,"S3")</f>
        <v>0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0</v>
      </c>
      <c r="L11" s="31" t="n">
        <f aca="false">$F11*INDEX(Escenarios!$I$12:$I$36,MATCH($A11,Escenarios!$A$12:$A$36,0))*IF(AND($C11="INVAP",Inputs!$C$18="No"),0,1)*G11*$C$5</f>
        <v>0</v>
      </c>
      <c r="M11" s="31" t="n">
        <f aca="false">$F11*INDEX(Escenarios!$I$12:$I$36,MATCH($A11,Escenarios!$A$12:$A$36,0))*IF(AND($C11="INVAP",Inputs!$C$18="No"),0,1)*H11*$C$5</f>
        <v>0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0</v>
      </c>
      <c r="Q11" s="31" t="n">
        <f aca="false">IF(INDEX(Escenarios!$J$12:$J$36,MATCH($A11,Escenarios!$A$12:$A$36,0))*IF(AND($C11="INVAP",Inputs!$C$18="No"),0,1)&gt;0,$E11*$C$5,0)</f>
        <v>0</v>
      </c>
      <c r="R11" s="31" t="n">
        <f aca="false">$F11*INDEX(Escenarios!$J$12:$J$36,MATCH($A11,Escenarios!$A$12:$A$36,0))*IF(AND($C11="INVAP",Inputs!$C$18="No"),0,1)*G11*$C$5</f>
        <v>0</v>
      </c>
      <c r="S11" s="31" t="n">
        <f aca="false">$F11*INDEX(Escenarios!$J$12:$J$36,MATCH($A11,Escenarios!$A$12:$A$36,0))*IF(AND($C11="INVAP",Inputs!$C$18="No"),0,1)*H11*$C$5</f>
        <v>0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0</v>
      </c>
      <c r="W11" s="31" t="n">
        <f aca="false">IF(INDEX(Escenarios!$K$12:$K$36,MATCH($A11,Escenarios!$A$12:$A$36,0))*IF(AND($C11="INVAP",Inputs!$C$18="No"),0,1)&gt;0,$E11*$C$5,0)</f>
        <v>0</v>
      </c>
      <c r="X11" s="31" t="n">
        <f aca="false">$F11*INDEX(Escenarios!$K$12:$K$36,MATCH($A11,Escenarios!$A$12:$A$36,0))*IF(AND($C11="INVAP",Inputs!$C$18="No"),0,1)*G11*$C$5</f>
        <v>0</v>
      </c>
      <c r="Y11" s="31" t="n">
        <f aca="false">$F11*INDEX(Escenarios!$K$12:$K$36,MATCH($A11,Escenarios!$A$12:$A$36,0))*IF(AND($C11="INVAP",Inputs!$C$18="No"),0,1)*H11*$C$5</f>
        <v>0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0</v>
      </c>
      <c r="AC11" s="31" t="n">
        <f aca="false">IF(INDEX(Escenarios!$L$12:$L$36,MATCH($A11,Escenarios!$A$12:$A$36,0))*IF(AND($C11="INVAP",Inputs!$C$18="No"),0,1)&gt;0,$E11*$C$5,0)</f>
        <v>0</v>
      </c>
      <c r="AD11" s="31" t="n">
        <f aca="false">$F11*INDEX(Escenarios!$L$12:$L$36,MATCH($A11,Escenarios!$A$12:$A$36,0))*IF(AND($C11="INVAP",Inputs!$C$18="No"),0,1)*G11*$C$5</f>
        <v>0</v>
      </c>
      <c r="AE11" s="31" t="n">
        <f aca="false">$F11*INDEX(Escenarios!$L$12:$L$36,MATCH($A11,Escenarios!$A$12:$A$36,0))*IF(AND($C11="INVAP",Inputs!$C$18="No"),0,1)*H11*$C$5</f>
        <v>0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0</v>
      </c>
    </row>
    <row r="12" customFormat="false" ht="15" hidden="false" customHeight="false" outlineLevel="0" collapsed="false">
      <c r="A12" s="15" t="s">
        <v>71</v>
      </c>
      <c r="B12" s="4" t="s">
        <v>72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SUMIFS(Datos!$H$5:$H$291,Datos!$E$5:$E$291,$A12,Datos!$F$5:$F$291,"S3")</f>
        <v>650</v>
      </c>
      <c r="F12" s="31" t="n">
        <f aca="false">SUMIFS(Datos!$J$5:$J$291,Datos!$E$5:$E$291,$A12,Datos!$F$5:$F$291,"S3")</f>
        <v>151656.225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650</v>
      </c>
      <c r="L12" s="31" t="n">
        <f aca="false">$F12*INDEX(Escenarios!$I$12:$I$36,MATCH($A12,Escenarios!$A$12:$A$36,0))*IF(AND($C12="INVAP",Inputs!$C$18="No"),0,1)*G12*$C$5</f>
        <v>136490.6025</v>
      </c>
      <c r="M12" s="31" t="n">
        <f aca="false">$F12*INDEX(Escenarios!$I$12:$I$36,MATCH($A12,Escenarios!$A$12:$A$36,0))*IF(AND($C12="INVAP",Inputs!$C$18="No"),0,1)*H12*$C$5</f>
        <v>15165.6225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151656.225</v>
      </c>
      <c r="Q12" s="31" t="n">
        <f aca="false">IF(INDEX(Escenarios!$J$12:$J$36,MATCH($A12,Escenarios!$A$12:$A$36,0))*IF(AND($C12="INVAP",Inputs!$C$18="No"),0,1)&gt;0,$E12*$C$5,0)</f>
        <v>650</v>
      </c>
      <c r="R12" s="31" t="n">
        <f aca="false">$F12*INDEX(Escenarios!$J$12:$J$36,MATCH($A12,Escenarios!$A$12:$A$36,0))*IF(AND($C12="INVAP",Inputs!$C$18="No"),0,1)*G12*$C$5</f>
        <v>136490.6025</v>
      </c>
      <c r="S12" s="31" t="n">
        <f aca="false">$F12*INDEX(Escenarios!$J$12:$J$36,MATCH($A12,Escenarios!$A$12:$A$36,0))*IF(AND($C12="INVAP",Inputs!$C$18="No"),0,1)*H12*$C$5</f>
        <v>15165.6225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151656.225</v>
      </c>
      <c r="W12" s="31" t="n">
        <f aca="false">IF(INDEX(Escenarios!$K$12:$K$36,MATCH($A12,Escenarios!$A$12:$A$36,0))*IF(AND($C12="INVAP",Inputs!$C$18="No"),0,1)&gt;0,$E12*$C$5,0)</f>
        <v>650</v>
      </c>
      <c r="X12" s="31" t="n">
        <f aca="false">$F12*INDEX(Escenarios!$K$12:$K$36,MATCH($A12,Escenarios!$A$12:$A$36,0))*IF(AND($C12="INVAP",Inputs!$C$18="No"),0,1)*G12*$C$5</f>
        <v>136490.6025</v>
      </c>
      <c r="Y12" s="31" t="n">
        <f aca="false">$F12*INDEX(Escenarios!$K$12:$K$36,MATCH($A12,Escenarios!$A$12:$A$36,0))*IF(AND($C12="INVAP",Inputs!$C$18="No"),0,1)*H12*$C$5</f>
        <v>15165.6225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151656.225</v>
      </c>
      <c r="AC12" s="31" t="n">
        <f aca="false">IF(INDEX(Escenarios!$L$12:$L$36,MATCH($A12,Escenarios!$A$12:$A$36,0))*IF(AND($C12="INVAP",Inputs!$C$18="No"),0,1)&gt;0,$E12*$C$5,0)</f>
        <v>650</v>
      </c>
      <c r="AD12" s="31" t="n">
        <f aca="false">$F12*INDEX(Escenarios!$L$12:$L$36,MATCH($A12,Escenarios!$A$12:$A$36,0))*IF(AND($C12="INVAP",Inputs!$C$18="No"),0,1)*G12*$C$5</f>
        <v>136490.6025</v>
      </c>
      <c r="AE12" s="31" t="n">
        <f aca="false">$F12*INDEX(Escenarios!$L$12:$L$36,MATCH($A12,Escenarios!$A$12:$A$36,0))*IF(AND($C12="INVAP",Inputs!$C$18="No"),0,1)*H12*$C$5</f>
        <v>15165.6225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151656.225</v>
      </c>
    </row>
    <row r="13" customFormat="false" ht="15" hidden="false" customHeight="false" outlineLevel="0" collapsed="false">
      <c r="A13" s="15" t="s">
        <v>73</v>
      </c>
      <c r="B13" s="4" t="s">
        <v>74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SUMIFS(Datos!$H$5:$H$291,Datos!$E$5:$E$291,$A13,Datos!$F$5:$F$291,"S3")</f>
        <v>0</v>
      </c>
      <c r="F13" s="31" t="n">
        <f aca="false">SUMIFS(Datos!$J$5:$J$291,Datos!$E$5:$E$291,$A13,Datos!$F$5:$F$291,"S3")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75</v>
      </c>
      <c r="B14" s="4" t="s">
        <v>76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SUMIFS(Datos!$H$5:$H$291,Datos!$E$5:$E$291,$A14,Datos!$F$5:$F$291,"S3")</f>
        <v>0</v>
      </c>
      <c r="F14" s="31" t="n">
        <f aca="false">SUMIFS(Datos!$J$5:$J$291,Datos!$E$5:$E$291,$A14,Datos!$F$5:$F$291,"S3")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77</v>
      </c>
      <c r="B15" s="4" t="s">
        <v>78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SUMIFS(Datos!$H$5:$H$291,Datos!$E$5:$E$291,$A15,Datos!$F$5:$F$291,"S3")</f>
        <v>385</v>
      </c>
      <c r="F15" s="31" t="n">
        <f aca="false">SUMIFS(Datos!$J$5:$J$291,Datos!$E$5:$E$291,$A15,Datos!$F$5:$F$291,"S3")</f>
        <v>89229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385</v>
      </c>
      <c r="L15" s="31" t="n">
        <f aca="false">$F15*INDEX(Escenarios!$I$12:$I$36,MATCH($A15,Escenarios!$A$12:$A$36,0))*IF(AND($C15="INVAP",Inputs!$C$18="No"),0,1)*G15*$C$5</f>
        <v>89229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89229</v>
      </c>
      <c r="Q15" s="31" t="n">
        <f aca="false">IF(INDEX(Escenarios!$J$12:$J$36,MATCH($A15,Escenarios!$A$12:$A$36,0))*IF(AND($C15="INVAP",Inputs!$C$18="No"),0,1)&gt;0,$E15*$C$5,0)</f>
        <v>385</v>
      </c>
      <c r="R15" s="31" t="n">
        <f aca="false">$F15*INDEX(Escenarios!$J$12:$J$36,MATCH($A15,Escenarios!$A$12:$A$36,0))*IF(AND($C15="INVAP",Inputs!$C$18="No"),0,1)*G15*$C$5</f>
        <v>89229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89229</v>
      </c>
      <c r="W15" s="31" t="n">
        <f aca="false">IF(INDEX(Escenarios!$K$12:$K$36,MATCH($A15,Escenarios!$A$12:$A$36,0))*IF(AND($C15="INVAP",Inputs!$C$18="No"),0,1)&gt;0,$E15*$C$5,0)</f>
        <v>385</v>
      </c>
      <c r="X15" s="31" t="n">
        <f aca="false">$F15*INDEX(Escenarios!$K$12:$K$36,MATCH($A15,Escenarios!$A$12:$A$36,0))*IF(AND($C15="INVAP",Inputs!$C$18="No"),0,1)*G15*$C$5</f>
        <v>89229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89229</v>
      </c>
      <c r="AC15" s="31" t="n">
        <f aca="false">IF(INDEX(Escenarios!$L$12:$L$36,MATCH($A15,Escenarios!$A$12:$A$36,0))*IF(AND($C15="INVAP",Inputs!$C$18="No"),0,1)&gt;0,$E15*$C$5,0)</f>
        <v>385</v>
      </c>
      <c r="AD15" s="31" t="n">
        <f aca="false">$F15*INDEX(Escenarios!$L$12:$L$36,MATCH($A15,Escenarios!$A$12:$A$36,0))*IF(AND($C15="INVAP",Inputs!$C$18="No"),0,1)*G15*$C$5</f>
        <v>89229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89229</v>
      </c>
    </row>
    <row r="16" customFormat="false" ht="15" hidden="false" customHeight="false" outlineLevel="0" collapsed="false">
      <c r="A16" s="15" t="s">
        <v>79</v>
      </c>
      <c r="B16" s="4" t="s">
        <v>80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SUMIFS(Datos!$H$5:$H$291,Datos!$E$5:$E$291,$A16,Datos!$F$5:$F$291,"S3")</f>
        <v>675</v>
      </c>
      <c r="F16" s="31" t="n">
        <f aca="false">SUMIFS(Datos!$J$5:$J$291,Datos!$E$5:$E$291,$A16,Datos!$F$5:$F$291,"S3")</f>
        <v>155044.575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675</v>
      </c>
      <c r="L16" s="31" t="n">
        <f aca="false">$F16*INDEX(Escenarios!$I$12:$I$36,MATCH($A16,Escenarios!$A$12:$A$36,0))*IF(AND($C16="INVAP",Inputs!$C$18="No"),0,1)*G16*$C$5</f>
        <v>155044.575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155044.575</v>
      </c>
      <c r="Q16" s="31" t="n">
        <f aca="false">IF(INDEX(Escenarios!$J$12:$J$36,MATCH($A16,Escenarios!$A$12:$A$36,0))*IF(AND($C16="INVAP",Inputs!$C$18="No"),0,1)&gt;0,$E16*$C$5,0)</f>
        <v>675</v>
      </c>
      <c r="R16" s="31" t="n">
        <f aca="false">$F16*INDEX(Escenarios!$J$12:$J$36,MATCH($A16,Escenarios!$A$12:$A$36,0))*IF(AND($C16="INVAP",Inputs!$C$18="No"),0,1)*G16*$C$5</f>
        <v>155044.575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155044.575</v>
      </c>
      <c r="W16" s="31" t="n">
        <f aca="false">IF(INDEX(Escenarios!$K$12:$K$36,MATCH($A16,Escenarios!$A$12:$A$36,0))*IF(AND($C16="INVAP",Inputs!$C$18="No"),0,1)&gt;0,$E16*$C$5,0)</f>
        <v>675</v>
      </c>
      <c r="X16" s="31" t="n">
        <f aca="false">$F16*INDEX(Escenarios!$K$12:$K$36,MATCH($A16,Escenarios!$A$12:$A$36,0))*IF(AND($C16="INVAP",Inputs!$C$18="No"),0,1)*G16*$C$5</f>
        <v>155044.575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155044.575</v>
      </c>
      <c r="AC16" s="31" t="n">
        <f aca="false">IF(INDEX(Escenarios!$L$12:$L$36,MATCH($A16,Escenarios!$A$12:$A$36,0))*IF(AND($C16="INVAP",Inputs!$C$18="No"),0,1)&gt;0,$E16*$C$5,0)</f>
        <v>675</v>
      </c>
      <c r="AD16" s="31" t="n">
        <f aca="false">$F16*INDEX(Escenarios!$L$12:$L$36,MATCH($A16,Escenarios!$A$12:$A$36,0))*IF(AND($C16="INVAP",Inputs!$C$18="No"),0,1)*G16*$C$5</f>
        <v>155044.575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155044.575</v>
      </c>
    </row>
    <row r="17" customFormat="false" ht="15" hidden="false" customHeight="false" outlineLevel="0" collapsed="false">
      <c r="A17" s="15" t="s">
        <v>81</v>
      </c>
      <c r="B17" s="4" t="s">
        <v>82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SUMIFS(Datos!$H$5:$H$291,Datos!$E$5:$E$291,$A17,Datos!$F$5:$F$291,"S3")</f>
        <v>480</v>
      </c>
      <c r="F17" s="31" t="n">
        <f aca="false">SUMIFS(Datos!$J$5:$J$291,Datos!$E$5:$E$291,$A17,Datos!$F$5:$F$291,"S3")</f>
        <v>110536.65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480</v>
      </c>
      <c r="L17" s="31" t="n">
        <f aca="false">$F17*INDEX(Escenarios!$I$12:$I$36,MATCH($A17,Escenarios!$A$12:$A$36,0))*IF(AND($C17="INVAP",Inputs!$C$18="No"),0,1)*G17*$C$5</f>
        <v>99482.985</v>
      </c>
      <c r="M17" s="31" t="n">
        <f aca="false">$F17*INDEX(Escenarios!$I$12:$I$36,MATCH($A17,Escenarios!$A$12:$A$36,0))*IF(AND($C17="INVAP",Inputs!$C$18="No"),0,1)*H17*$C$5</f>
        <v>11053.665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110536.65</v>
      </c>
      <c r="Q17" s="31" t="n">
        <f aca="false">IF(INDEX(Escenarios!$J$12:$J$36,MATCH($A17,Escenarios!$A$12:$A$36,0))*IF(AND($C17="INVAP",Inputs!$C$18="No"),0,1)&gt;0,$E17*$C$5,0)</f>
        <v>480</v>
      </c>
      <c r="R17" s="31" t="n">
        <f aca="false">$F17*INDEX(Escenarios!$J$12:$J$36,MATCH($A17,Escenarios!$A$12:$A$36,0))*IF(AND($C17="INVAP",Inputs!$C$18="No"),0,1)*G17*$C$5</f>
        <v>99482.985</v>
      </c>
      <c r="S17" s="31" t="n">
        <f aca="false">$F17*INDEX(Escenarios!$J$12:$J$36,MATCH($A17,Escenarios!$A$12:$A$36,0))*IF(AND($C17="INVAP",Inputs!$C$18="No"),0,1)*H17*$C$5</f>
        <v>11053.665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110536.65</v>
      </c>
      <c r="W17" s="31" t="n">
        <f aca="false">IF(INDEX(Escenarios!$K$12:$K$36,MATCH($A17,Escenarios!$A$12:$A$36,0))*IF(AND($C17="INVAP",Inputs!$C$18="No"),0,1)&gt;0,$E17*$C$5,0)</f>
        <v>480</v>
      </c>
      <c r="X17" s="31" t="n">
        <f aca="false">$F17*INDEX(Escenarios!$K$12:$K$36,MATCH($A17,Escenarios!$A$12:$A$36,0))*IF(AND($C17="INVAP",Inputs!$C$18="No"),0,1)*G17*$C$5</f>
        <v>99482.985</v>
      </c>
      <c r="Y17" s="31" t="n">
        <f aca="false">$F17*INDEX(Escenarios!$K$12:$K$36,MATCH($A17,Escenarios!$A$12:$A$36,0))*IF(AND($C17="INVAP",Inputs!$C$18="No"),0,1)*H17*$C$5</f>
        <v>11053.665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110536.65</v>
      </c>
      <c r="AC17" s="31" t="n">
        <f aca="false">IF(INDEX(Escenarios!$L$12:$L$36,MATCH($A17,Escenarios!$A$12:$A$36,0))*IF(AND($C17="INVAP",Inputs!$C$18="No"),0,1)&gt;0,$E17*$C$5,0)</f>
        <v>480</v>
      </c>
      <c r="AD17" s="31" t="n">
        <f aca="false">$F17*INDEX(Escenarios!$L$12:$L$36,MATCH($A17,Escenarios!$A$12:$A$36,0))*IF(AND($C17="INVAP",Inputs!$C$18="No"),0,1)*G17*$C$5</f>
        <v>99482.985</v>
      </c>
      <c r="AE17" s="31" t="n">
        <f aca="false">$F17*INDEX(Escenarios!$L$12:$L$36,MATCH($A17,Escenarios!$A$12:$A$36,0))*IF(AND($C17="INVAP",Inputs!$C$18="No"),0,1)*H17*$C$5</f>
        <v>11053.665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110536.65</v>
      </c>
    </row>
    <row r="18" customFormat="false" ht="15" hidden="false" customHeight="false" outlineLevel="0" collapsed="false">
      <c r="A18" s="15" t="s">
        <v>83</v>
      </c>
      <c r="B18" s="4" t="s">
        <v>84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SUMIFS(Datos!$H$5:$H$291,Datos!$E$5:$E$291,$A18,Datos!$F$5:$F$291,"S3")</f>
        <v>490</v>
      </c>
      <c r="F18" s="31" t="n">
        <f aca="false">SUMIFS(Datos!$J$5:$J$291,Datos!$E$5:$E$291,$A18,Datos!$F$5:$F$291,"S3")</f>
        <v>112300.65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490</v>
      </c>
      <c r="L18" s="31" t="n">
        <f aca="false">$F18*INDEX(Escenarios!$I$12:$I$36,MATCH($A18,Escenarios!$A$12:$A$36,0))*IF(AND($C18="INVAP",Inputs!$C$18="No"),0,1)*G18*$C$5</f>
        <v>112300.65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112300.65</v>
      </c>
      <c r="Q18" s="31" t="n">
        <f aca="false">IF(INDEX(Escenarios!$J$12:$J$36,MATCH($A18,Escenarios!$A$12:$A$36,0))*IF(AND($C18="INVAP",Inputs!$C$18="No"),0,1)&gt;0,$E18*$C$5,0)</f>
        <v>490</v>
      </c>
      <c r="R18" s="31" t="n">
        <f aca="false">$F18*INDEX(Escenarios!$J$12:$J$36,MATCH($A18,Escenarios!$A$12:$A$36,0))*IF(AND($C18="INVAP",Inputs!$C$18="No"),0,1)*G18*$C$5</f>
        <v>112300.65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112300.65</v>
      </c>
      <c r="W18" s="31" t="n">
        <f aca="false">IF(INDEX(Escenarios!$K$12:$K$36,MATCH($A18,Escenarios!$A$12:$A$36,0))*IF(AND($C18="INVAP",Inputs!$C$18="No"),0,1)&gt;0,$E18*$C$5,0)</f>
        <v>490</v>
      </c>
      <c r="X18" s="31" t="n">
        <f aca="false">$F18*INDEX(Escenarios!$K$12:$K$36,MATCH($A18,Escenarios!$A$12:$A$36,0))*IF(AND($C18="INVAP",Inputs!$C$18="No"),0,1)*G18*$C$5</f>
        <v>112300.65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112300.65</v>
      </c>
      <c r="AC18" s="31" t="n">
        <f aca="false">IF(INDEX(Escenarios!$L$12:$L$36,MATCH($A18,Escenarios!$A$12:$A$36,0))*IF(AND($C18="INVAP",Inputs!$C$18="No"),0,1)&gt;0,$E18*$C$5,0)</f>
        <v>490</v>
      </c>
      <c r="AD18" s="31" t="n">
        <f aca="false">$F18*INDEX(Escenarios!$L$12:$L$36,MATCH($A18,Escenarios!$A$12:$A$36,0))*IF(AND($C18="INVAP",Inputs!$C$18="No"),0,1)*G18*$C$5</f>
        <v>112300.65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112300.65</v>
      </c>
    </row>
    <row r="19" customFormat="false" ht="15" hidden="false" customHeight="false" outlineLevel="0" collapsed="false">
      <c r="A19" s="15" t="s">
        <v>85</v>
      </c>
      <c r="B19" s="4" t="s">
        <v>86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SUMIFS(Datos!$H$5:$H$291,Datos!$E$5:$E$291,$A19,Datos!$F$5:$F$291,"S3")</f>
        <v>0</v>
      </c>
      <c r="F19" s="31" t="n">
        <f aca="false">SUMIFS(Datos!$J$5:$J$291,Datos!$E$5:$E$291,$A19,Datos!$F$5:$F$291,"S3")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87</v>
      </c>
      <c r="B20" s="4" t="s">
        <v>88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SUMIFS(Datos!$H$5:$H$291,Datos!$E$5:$E$291,$A20,Datos!$F$5:$F$291,"S3")</f>
        <v>470</v>
      </c>
      <c r="F20" s="31" t="n">
        <f aca="false">SUMIFS(Datos!$J$5:$J$291,Datos!$E$5:$E$291,$A20,Datos!$F$5:$F$291,"S3")</f>
        <v>108941.7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470</v>
      </c>
      <c r="L20" s="31" t="n">
        <f aca="false">$F20*INDEX(Escenarios!$I$12:$I$36,MATCH($A20,Escenarios!$A$12:$A$36,0))*IF(AND($C20="INVAP",Inputs!$C$18="No"),0,1)*G20*$C$5</f>
        <v>108941.7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108941.7</v>
      </c>
      <c r="Q20" s="31" t="n">
        <f aca="false">IF(INDEX(Escenarios!$J$12:$J$36,MATCH($A20,Escenarios!$A$12:$A$36,0))*IF(AND($C20="INVAP",Inputs!$C$18="No"),0,1)&gt;0,$E20*$C$5,0)</f>
        <v>470</v>
      </c>
      <c r="R20" s="31" t="n">
        <f aca="false">$F20*INDEX(Escenarios!$J$12:$J$36,MATCH($A20,Escenarios!$A$12:$A$36,0))*IF(AND($C20="INVAP",Inputs!$C$18="No"),0,1)*G20*$C$5</f>
        <v>108941.7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108941.7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89</v>
      </c>
      <c r="B21" s="4" t="s">
        <v>90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SUMIFS(Datos!$H$5:$H$291,Datos!$E$5:$E$291,$A21,Datos!$F$5:$F$291,"S3")</f>
        <v>395</v>
      </c>
      <c r="F21" s="31" t="n">
        <f aca="false">SUMIFS(Datos!$J$5:$J$291,Datos!$E$5:$E$291,$A21,Datos!$F$5:$F$291,"S3")</f>
        <v>89100.375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395</v>
      </c>
      <c r="L21" s="31" t="n">
        <f aca="false">$F21*INDEX(Escenarios!$I$12:$I$36,MATCH($A21,Escenarios!$A$12:$A$36,0))*IF(AND($C21="INVAP",Inputs!$C$18="No"),0,1)*G21*$C$5</f>
        <v>89100.375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89100.375</v>
      </c>
      <c r="Q21" s="31" t="n">
        <f aca="false">IF(INDEX(Escenarios!$J$12:$J$36,MATCH($A21,Escenarios!$A$12:$A$36,0))*IF(AND($C21="INVAP",Inputs!$C$18="No"),0,1)&gt;0,$E21*$C$5,0)</f>
        <v>395</v>
      </c>
      <c r="R21" s="31" t="n">
        <f aca="false">$F21*INDEX(Escenarios!$J$12:$J$36,MATCH($A21,Escenarios!$A$12:$A$36,0))*IF(AND($C21="INVAP",Inputs!$C$18="No"),0,1)*G21*$C$5</f>
        <v>89100.375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89100.375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91</v>
      </c>
      <c r="B22" s="4" t="s">
        <v>92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SUMIFS(Datos!$H$5:$H$291,Datos!$E$5:$E$291,$A22,Datos!$F$5:$F$291,"S3")</f>
        <v>0</v>
      </c>
      <c r="F22" s="31" t="n">
        <f aca="false">SUMIFS(Datos!$J$5:$J$291,Datos!$E$5:$E$291,$A22,Datos!$F$5:$F$291,"S3")</f>
        <v>0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0</v>
      </c>
      <c r="L22" s="31" t="n">
        <f aca="false">$F22*INDEX(Escenarios!$I$12:$I$36,MATCH($A22,Escenarios!$A$12:$A$36,0))*IF(AND($C22="INVAP",Inputs!$C$18="No"),0,1)*G22*$C$5</f>
        <v>0</v>
      </c>
      <c r="M22" s="31" t="n">
        <f aca="false">$F22*INDEX(Escenarios!$I$12:$I$36,MATCH($A22,Escenarios!$A$12:$A$36,0))*IF(AND($C22="INVAP",Inputs!$C$18="No"),0,1)*H22*$C$5</f>
        <v>0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0</v>
      </c>
      <c r="Q22" s="31" t="n">
        <f aca="false">IF(INDEX(Escenarios!$J$12:$J$36,MATCH($A22,Escenarios!$A$12:$A$36,0))*IF(AND($C22="INVAP",Inputs!$C$18="No"),0,1)&gt;0,$E22*$C$5,0)</f>
        <v>0</v>
      </c>
      <c r="R22" s="31" t="n">
        <f aca="false">$F22*INDEX(Escenarios!$J$12:$J$36,MATCH($A22,Escenarios!$A$12:$A$36,0))*IF(AND($C22="INVAP",Inputs!$C$18="No"),0,1)*G22*$C$5</f>
        <v>0</v>
      </c>
      <c r="S22" s="31" t="n">
        <f aca="false">$F22*INDEX(Escenarios!$J$12:$J$36,MATCH($A22,Escenarios!$A$12:$A$36,0))*IF(AND($C22="INVAP",Inputs!$C$18="No"),0,1)*H22*$C$5</f>
        <v>0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0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93</v>
      </c>
      <c r="B23" s="4" t="s">
        <v>94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SUMIFS(Datos!$H$5:$H$291,Datos!$E$5:$E$291,$A23,Datos!$F$5:$F$291,"S3")</f>
        <v>350</v>
      </c>
      <c r="F23" s="31" t="n">
        <f aca="false">SUMIFS(Datos!$J$5:$J$291,Datos!$E$5:$E$291,$A23,Datos!$F$5:$F$291,"S3")</f>
        <v>80445.75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350</v>
      </c>
      <c r="L23" s="31" t="n">
        <f aca="false">$F23*INDEX(Escenarios!$I$12:$I$36,MATCH($A23,Escenarios!$A$12:$A$36,0))*IF(AND($C23="INVAP",Inputs!$C$18="No"),0,1)*G23*$C$5</f>
        <v>72401.175</v>
      </c>
      <c r="M23" s="31" t="n">
        <f aca="false">$F23*INDEX(Escenarios!$I$12:$I$36,MATCH($A23,Escenarios!$A$12:$A$36,0))*IF(AND($C23="INVAP",Inputs!$C$18="No"),0,1)*H23*$C$5</f>
        <v>8044.575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80445.75</v>
      </c>
      <c r="Q23" s="31" t="n">
        <f aca="false">IF(INDEX(Escenarios!$J$12:$J$36,MATCH($A23,Escenarios!$A$12:$A$36,0))*IF(AND($C23="INVAP",Inputs!$C$18="No"),0,1)&gt;0,$E23*$C$5,0)</f>
        <v>350</v>
      </c>
      <c r="R23" s="31" t="n">
        <f aca="false">$F23*INDEX(Escenarios!$J$12:$J$36,MATCH($A23,Escenarios!$A$12:$A$36,0))*IF(AND($C23="INVAP",Inputs!$C$18="No"),0,1)*G23*$C$5</f>
        <v>72401.175</v>
      </c>
      <c r="S23" s="31" t="n">
        <f aca="false">$F23*INDEX(Escenarios!$J$12:$J$36,MATCH($A23,Escenarios!$A$12:$A$36,0))*IF(AND($C23="INVAP",Inputs!$C$18="No"),0,1)*H23*$C$5</f>
        <v>8044.575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80445.75</v>
      </c>
      <c r="W23" s="31" t="n">
        <f aca="false">IF(INDEX(Escenarios!$K$12:$K$36,MATCH($A23,Escenarios!$A$12:$A$36,0))*IF(AND($C23="INVAP",Inputs!$C$18="No"),0,1)&gt;0,$E23*$C$5,0)</f>
        <v>350</v>
      </c>
      <c r="X23" s="31" t="n">
        <f aca="false">$F23*INDEX(Escenarios!$K$12:$K$36,MATCH($A23,Escenarios!$A$12:$A$36,0))*IF(AND($C23="INVAP",Inputs!$C$18="No"),0,1)*G23*$C$5</f>
        <v>72401.175</v>
      </c>
      <c r="Y23" s="31" t="n">
        <f aca="false">$F23*INDEX(Escenarios!$K$12:$K$36,MATCH($A23,Escenarios!$A$12:$A$36,0))*IF(AND($C23="INVAP",Inputs!$C$18="No"),0,1)*H23*$C$5</f>
        <v>8044.575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80445.75</v>
      </c>
      <c r="AC23" s="31" t="n">
        <f aca="false">IF(INDEX(Escenarios!$L$12:$L$36,MATCH($A23,Escenarios!$A$12:$A$36,0))*IF(AND($C23="INVAP",Inputs!$C$18="No"),0,1)&gt;0,$E23*$C$5,0)</f>
        <v>350</v>
      </c>
      <c r="AD23" s="31" t="n">
        <f aca="false">$F23*INDEX(Escenarios!$L$12:$L$36,MATCH($A23,Escenarios!$A$12:$A$36,0))*IF(AND($C23="INVAP",Inputs!$C$18="No"),0,1)*G23*$C$5</f>
        <v>72401.175</v>
      </c>
      <c r="AE23" s="31" t="n">
        <f aca="false">$F23*INDEX(Escenarios!$L$12:$L$36,MATCH($A23,Escenarios!$A$12:$A$36,0))*IF(AND($C23="INVAP",Inputs!$C$18="No"),0,1)*H23*$C$5</f>
        <v>8044.575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80445.75</v>
      </c>
    </row>
    <row r="24" customFormat="false" ht="15" hidden="false" customHeight="false" outlineLevel="0" collapsed="false">
      <c r="A24" s="15" t="s">
        <v>95</v>
      </c>
      <c r="B24" s="4" t="s">
        <v>96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SUMIFS(Datos!$H$5:$H$291,Datos!$E$5:$E$291,$A24,Datos!$F$5:$F$291,"S3")</f>
        <v>0</v>
      </c>
      <c r="F24" s="31" t="n">
        <f aca="false">SUMIFS(Datos!$J$5:$J$291,Datos!$E$5:$E$291,$A24,Datos!$F$5:$F$291,"S3")</f>
        <v>0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0</v>
      </c>
      <c r="L24" s="31" t="n">
        <f aca="false">$F24*INDEX(Escenarios!$I$12:$I$36,MATCH($A24,Escenarios!$A$12:$A$36,0))*IF(AND($C24="INVAP",Inputs!$C$18="No"),0,1)*G24*$C$5</f>
        <v>0</v>
      </c>
      <c r="M24" s="31" t="n">
        <f aca="false">$F24*INDEX(Escenarios!$I$12:$I$36,MATCH($A24,Escenarios!$A$12:$A$36,0))*IF(AND($C24="INVAP",Inputs!$C$18="No"),0,1)*H24*$C$5</f>
        <v>0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0</v>
      </c>
      <c r="Q24" s="31" t="n">
        <f aca="false">IF(INDEX(Escenarios!$J$12:$J$36,MATCH($A24,Escenarios!$A$12:$A$36,0))*IF(AND($C24="INVAP",Inputs!$C$18="No"),0,1)&gt;0,$E24*$C$5,0)</f>
        <v>0</v>
      </c>
      <c r="R24" s="31" t="n">
        <f aca="false">$F24*INDEX(Escenarios!$J$12:$J$36,MATCH($A24,Escenarios!$A$12:$A$36,0))*IF(AND($C24="INVAP",Inputs!$C$18="No"),0,1)*G24*$C$5</f>
        <v>0</v>
      </c>
      <c r="S24" s="31" t="n">
        <f aca="false">$F24*INDEX(Escenarios!$J$12:$J$36,MATCH($A24,Escenarios!$A$12:$A$36,0))*IF(AND($C24="INVAP",Inputs!$C$18="No"),0,1)*H24*$C$5</f>
        <v>0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0</v>
      </c>
      <c r="W24" s="31" t="n">
        <f aca="false">IF(INDEX(Escenarios!$K$12:$K$36,MATCH($A24,Escenarios!$A$12:$A$36,0))*IF(AND($C24="INVAP",Inputs!$C$18="No"),0,1)&gt;0,$E24*$C$5,0)</f>
        <v>0</v>
      </c>
      <c r="X24" s="31" t="n">
        <f aca="false">$F24*INDEX(Escenarios!$K$12:$K$36,MATCH($A24,Escenarios!$A$12:$A$36,0))*IF(AND($C24="INVAP",Inputs!$C$18="No"),0,1)*G24*$C$5</f>
        <v>0</v>
      </c>
      <c r="Y24" s="31" t="n">
        <f aca="false">$F24*INDEX(Escenarios!$K$12:$K$36,MATCH($A24,Escenarios!$A$12:$A$36,0))*IF(AND($C24="INVAP",Inputs!$C$18="No"),0,1)*H24*$C$5</f>
        <v>0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0</v>
      </c>
      <c r="AC24" s="31" t="n">
        <f aca="false">IF(INDEX(Escenarios!$L$12:$L$36,MATCH($A24,Escenarios!$A$12:$A$36,0))*IF(AND($C24="INVAP",Inputs!$C$18="No"),0,1)&gt;0,$E24*$C$5,0)</f>
        <v>0</v>
      </c>
      <c r="AD24" s="31" t="n">
        <f aca="false">$F24*INDEX(Escenarios!$L$12:$L$36,MATCH($A24,Escenarios!$A$12:$A$36,0))*IF(AND($C24="INVAP",Inputs!$C$18="No"),0,1)*G24*$C$5</f>
        <v>0</v>
      </c>
      <c r="AE24" s="31" t="n">
        <f aca="false">$F24*INDEX(Escenarios!$L$12:$L$36,MATCH($A24,Escenarios!$A$12:$A$36,0))*IF(AND($C24="INVAP",Inputs!$C$18="No"),0,1)*H24*$C$5</f>
        <v>0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0</v>
      </c>
    </row>
    <row r="25" customFormat="false" ht="15" hidden="false" customHeight="false" outlineLevel="0" collapsed="false">
      <c r="A25" s="15" t="s">
        <v>97</v>
      </c>
      <c r="B25" s="4" t="s">
        <v>98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SUMIFS(Datos!$H$5:$H$291,Datos!$E$5:$E$291,$A25,Datos!$F$5:$F$291,"S3")</f>
        <v>0</v>
      </c>
      <c r="F25" s="31" t="n">
        <f aca="false">SUMIFS(Datos!$J$5:$J$291,Datos!$E$5:$E$291,$A25,Datos!$F$5:$F$291,"S3")</f>
        <v>0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0</v>
      </c>
      <c r="L25" s="31" t="n">
        <f aca="false">$F25*INDEX(Escenarios!$I$12:$I$36,MATCH($A25,Escenarios!$A$12:$A$36,0))*IF(AND($C25="INVAP",Inputs!$C$18="No"),0,1)*G25*$C$5</f>
        <v>0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0</v>
      </c>
      <c r="Q25" s="31" t="n">
        <f aca="false">IF(INDEX(Escenarios!$J$12:$J$36,MATCH($A25,Escenarios!$A$12:$A$36,0))*IF(AND($C25="INVAP",Inputs!$C$18="No"),0,1)&gt;0,$E25*$C$5,0)</f>
        <v>0</v>
      </c>
      <c r="R25" s="31" t="n">
        <f aca="false">$F25*INDEX(Escenarios!$J$12:$J$36,MATCH($A25,Escenarios!$A$12:$A$36,0))*IF(AND($C25="INVAP",Inputs!$C$18="No"),0,1)*G25*$C$5</f>
        <v>0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0</v>
      </c>
      <c r="W25" s="31" t="n">
        <f aca="false">IF(INDEX(Escenarios!$K$12:$K$36,MATCH($A25,Escenarios!$A$12:$A$36,0))*IF(AND($C25="INVAP",Inputs!$C$18="No"),0,1)&gt;0,$E25*$C$5,0)</f>
        <v>0</v>
      </c>
      <c r="X25" s="31" t="n">
        <f aca="false">$F25*INDEX(Escenarios!$K$12:$K$36,MATCH($A25,Escenarios!$A$12:$A$36,0))*IF(AND($C25="INVAP",Inputs!$C$18="No"),0,1)*G25*$C$5</f>
        <v>0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0</v>
      </c>
      <c r="AC25" s="31" t="n">
        <f aca="false">IF(INDEX(Escenarios!$L$12:$L$36,MATCH($A25,Escenarios!$A$12:$A$36,0))*IF(AND($C25="INVAP",Inputs!$C$18="No"),0,1)&gt;0,$E25*$C$5,0)</f>
        <v>0</v>
      </c>
      <c r="AD25" s="31" t="n">
        <f aca="false">$F25*INDEX(Escenarios!$L$12:$L$36,MATCH($A25,Escenarios!$A$12:$A$36,0))*IF(AND($C25="INVAP",Inputs!$C$18="No"),0,1)*G25*$C$5</f>
        <v>0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0</v>
      </c>
    </row>
    <row r="26" customFormat="false" ht="15" hidden="false" customHeight="false" outlineLevel="0" collapsed="false">
      <c r="A26" s="15" t="s">
        <v>99</v>
      </c>
      <c r="B26" s="4" t="s">
        <v>100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SUMIFS(Datos!$H$5:$H$291,Datos!$E$5:$E$291,$A26,Datos!$F$5:$F$291,"S3")</f>
        <v>0</v>
      </c>
      <c r="F26" s="31" t="n">
        <f aca="false">SUMIFS(Datos!$J$5:$J$291,Datos!$E$5:$E$291,$A26,Datos!$F$5:$F$291,"S3")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101</v>
      </c>
      <c r="B27" s="4" t="s">
        <v>102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SUMIFS(Datos!$H$5:$H$291,Datos!$E$5:$E$291,$A27,Datos!$F$5:$F$291,"S3")</f>
        <v>0</v>
      </c>
      <c r="F27" s="31" t="n">
        <f aca="false">SUMIFS(Datos!$J$5:$J$291,Datos!$E$5:$E$291,$A27,Datos!$F$5:$F$291,"S3")</f>
        <v>0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0</v>
      </c>
      <c r="L27" s="31" t="n">
        <f aca="false">$F27*INDEX(Escenarios!$I$12:$I$36,MATCH($A27,Escenarios!$A$12:$A$36,0))*IF(AND($C27="INVAP",Inputs!$C$18="No"),0,1)*G27*$C$5</f>
        <v>0</v>
      </c>
      <c r="M27" s="31" t="n">
        <f aca="false">$F27*INDEX(Escenarios!$I$12:$I$36,MATCH($A27,Escenarios!$A$12:$A$36,0))*IF(AND($C27="INVAP",Inputs!$C$18="No"),0,1)*H27*$C$5</f>
        <v>0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0</v>
      </c>
      <c r="Q27" s="31" t="n">
        <f aca="false">IF(INDEX(Escenarios!$J$12:$J$36,MATCH($A27,Escenarios!$A$12:$A$36,0))*IF(AND($C27="INVAP",Inputs!$C$18="No"),0,1)&gt;0,$E27*$C$5,0)</f>
        <v>0</v>
      </c>
      <c r="R27" s="31" t="n">
        <f aca="false">$F27*INDEX(Escenarios!$J$12:$J$36,MATCH($A27,Escenarios!$A$12:$A$36,0))*IF(AND($C27="INVAP",Inputs!$C$18="No"),0,1)*G27*$C$5</f>
        <v>0</v>
      </c>
      <c r="S27" s="31" t="n">
        <f aca="false">$F27*INDEX(Escenarios!$J$12:$J$36,MATCH($A27,Escenarios!$A$12:$A$36,0))*IF(AND($C27="INVAP",Inputs!$C$18="No"),0,1)*H27*$C$5</f>
        <v>0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0</v>
      </c>
      <c r="W27" s="31" t="n">
        <f aca="false">IF(INDEX(Escenarios!$K$12:$K$36,MATCH($A27,Escenarios!$A$12:$A$36,0))*IF(AND($C27="INVAP",Inputs!$C$18="No"),0,1)&gt;0,$E27*$C$5,0)</f>
        <v>0</v>
      </c>
      <c r="X27" s="31" t="n">
        <f aca="false">$F27*INDEX(Escenarios!$K$12:$K$36,MATCH($A27,Escenarios!$A$12:$A$36,0))*IF(AND($C27="INVAP",Inputs!$C$18="No"),0,1)*G27*$C$5</f>
        <v>0</v>
      </c>
      <c r="Y27" s="31" t="n">
        <f aca="false">$F27*INDEX(Escenarios!$K$12:$K$36,MATCH($A27,Escenarios!$A$12:$A$36,0))*IF(AND($C27="INVAP",Inputs!$C$18="No"),0,1)*H27*$C$5</f>
        <v>0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0</v>
      </c>
      <c r="AC27" s="31" t="n">
        <f aca="false">IF(INDEX(Escenarios!$L$12:$L$36,MATCH($A27,Escenarios!$A$12:$A$36,0))*IF(AND($C27="INVAP",Inputs!$C$18="No"),0,1)&gt;0,$E27*$C$5,0)</f>
        <v>0</v>
      </c>
      <c r="AD27" s="31" t="n">
        <f aca="false">$F27*INDEX(Escenarios!$L$12:$L$36,MATCH($A27,Escenarios!$A$12:$A$36,0))*IF(AND($C27="INVAP",Inputs!$C$18="No"),0,1)*G27*$C$5</f>
        <v>0</v>
      </c>
      <c r="AE27" s="31" t="n">
        <f aca="false">$F27*INDEX(Escenarios!$L$12:$L$36,MATCH($A27,Escenarios!$A$12:$A$36,0))*IF(AND($C27="INVAP",Inputs!$C$18="No"),0,1)*H27*$C$5</f>
        <v>0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0</v>
      </c>
    </row>
    <row r="28" customFormat="false" ht="15" hidden="false" customHeight="false" outlineLevel="0" collapsed="false">
      <c r="A28" s="15" t="s">
        <v>103</v>
      </c>
      <c r="B28" s="4" t="s">
        <v>104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SUMIFS(Datos!$H$5:$H$291,Datos!$E$5:$E$291,$A28,Datos!$F$5:$F$291,"S3")</f>
        <v>0</v>
      </c>
      <c r="F28" s="31" t="n">
        <f aca="false">SUMIFS(Datos!$J$5:$J$291,Datos!$E$5:$E$291,$A28,Datos!$F$5:$F$291,"S3")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105</v>
      </c>
      <c r="B29" s="4" t="s">
        <v>106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SUMIFS(Datos!$H$5:$H$291,Datos!$E$5:$E$291,$A29,Datos!$F$5:$F$291,"S3")</f>
        <v>0</v>
      </c>
      <c r="F29" s="31" t="n">
        <f aca="false">SUMIFS(Datos!$J$5:$J$291,Datos!$E$5:$E$291,$A29,Datos!$F$5:$F$291,"S3")</f>
        <v>0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0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0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0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0</v>
      </c>
    </row>
    <row r="30" customFormat="false" ht="15" hidden="false" customHeight="false" outlineLevel="0" collapsed="false">
      <c r="A30" s="15" t="s">
        <v>107</v>
      </c>
      <c r="B30" s="4" t="s">
        <v>108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SUMIFS(Datos!$H$5:$H$291,Datos!$E$5:$E$291,$A30,Datos!$F$5:$F$291,"S3")</f>
        <v>540</v>
      </c>
      <c r="F30" s="31" t="n">
        <f aca="false">SUMIFS(Datos!$J$5:$J$291,Datos!$E$5:$E$291,$A30,Datos!$F$5:$F$291,"S3")</f>
        <v>124531.05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540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124531.05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124531.05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540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62265.525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62265.525</v>
      </c>
    </row>
    <row r="31" customFormat="false" ht="15" hidden="false" customHeight="false" outlineLevel="0" collapsed="false">
      <c r="A31" s="15" t="s">
        <v>109</v>
      </c>
      <c r="B31" s="4" t="s">
        <v>110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SUMIFS(Datos!$H$5:$H$291,Datos!$E$5:$E$291,$A31,Datos!$F$5:$F$291,"S3")</f>
        <v>0</v>
      </c>
      <c r="F31" s="31" t="n">
        <f aca="false">SUMIFS(Datos!$J$5:$J$291,Datos!$E$5:$E$291,$A31,Datos!$F$5:$F$291,"S3")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111</v>
      </c>
      <c r="B32" s="4" t="s">
        <v>112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SUMIFS(Datos!$H$5:$H$291,Datos!$E$5:$E$291,$A32,Datos!$F$5:$F$291,"S3")</f>
        <v>285</v>
      </c>
      <c r="F32" s="31" t="n">
        <f aca="false">SUMIFS(Datos!$J$5:$J$291,Datos!$E$5:$E$291,$A32,Datos!$F$5:$F$291,"S3")</f>
        <v>65275.35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285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65275.35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65275.35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285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32637.675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32637.675</v>
      </c>
    </row>
    <row r="33" customFormat="false" ht="15" hidden="false" customHeight="false" outlineLevel="0" collapsed="false">
      <c r="A33" s="34"/>
      <c r="B33" s="35" t="s">
        <v>122</v>
      </c>
      <c r="C33" s="34"/>
      <c r="D33" s="34"/>
      <c r="E33" s="36" t="n">
        <f aca="false">SUM(E8:E32)</f>
        <v>6420</v>
      </c>
      <c r="F33" s="36" t="n">
        <f aca="false">SUM(F8:F32)</f>
        <v>1469323.8</v>
      </c>
      <c r="G33" s="34"/>
      <c r="H33" s="34"/>
      <c r="I33" s="34"/>
      <c r="J33" s="34"/>
      <c r="K33" s="36" t="n">
        <f aca="false">SUM(K8:K32)</f>
        <v>6420</v>
      </c>
      <c r="L33" s="36" t="n">
        <f aca="false">SUM(L8:L32)</f>
        <v>1212914.2725</v>
      </c>
      <c r="M33" s="36" t="n">
        <f aca="false">SUM(M8:M32)</f>
        <v>256409.5275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1469323.8</v>
      </c>
      <c r="Q33" s="36" t="n">
        <f aca="false">SUM(Q8:Q32)</f>
        <v>5595</v>
      </c>
      <c r="R33" s="36" t="n">
        <f aca="false">SUM(R8:R32)</f>
        <v>1212914.2725</v>
      </c>
      <c r="S33" s="36" t="n">
        <f aca="false">SUM(S8:S32)</f>
        <v>66603.1275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1279517.4</v>
      </c>
      <c r="W33" s="36" t="n">
        <f aca="false">SUM(W8:W32)</f>
        <v>4730</v>
      </c>
      <c r="X33" s="36" t="n">
        <f aca="false">SUM(X8:X32)</f>
        <v>1014872.1975</v>
      </c>
      <c r="Y33" s="36" t="n">
        <f aca="false">SUM(Y8:Y32)</f>
        <v>66603.1275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1081475.325</v>
      </c>
      <c r="AC33" s="36" t="n">
        <f aca="false">SUM(AC8:AC32)</f>
        <v>5555</v>
      </c>
      <c r="AD33" s="36" t="n">
        <f aca="false">SUM(AD8:AD32)</f>
        <v>1014872.1975</v>
      </c>
      <c r="AE33" s="36" t="n">
        <f aca="false">SUM(AE8:AE32)</f>
        <v>161506.3275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1176378.525</v>
      </c>
    </row>
    <row r="34" customFormat="false" ht="15" hidden="false" customHeight="false" outlineLevel="0" collapsed="false">
      <c r="B34" s="37" t="s">
        <v>123</v>
      </c>
      <c r="L34" s="38" t="n">
        <v>0</v>
      </c>
      <c r="M34" s="38" t="n">
        <v>0</v>
      </c>
      <c r="N34" s="38" t="n">
        <v>0</v>
      </c>
      <c r="O34" s="38" t="n">
        <v>0</v>
      </c>
      <c r="P34" s="38" t="n">
        <v>0</v>
      </c>
      <c r="R34" s="38" t="n">
        <v>0</v>
      </c>
      <c r="S34" s="38" t="n">
        <v>0</v>
      </c>
      <c r="T34" s="38" t="n">
        <v>0</v>
      </c>
      <c r="U34" s="38" t="n">
        <v>0</v>
      </c>
      <c r="V34" s="38" t="n">
        <v>0</v>
      </c>
      <c r="X34" s="38" t="n">
        <v>0</v>
      </c>
      <c r="Y34" s="38" t="n">
        <v>0</v>
      </c>
      <c r="Z34" s="38" t="n">
        <v>0</v>
      </c>
      <c r="AA34" s="38" t="n">
        <v>0</v>
      </c>
      <c r="AB34" s="38" t="n">
        <v>0</v>
      </c>
      <c r="AD34" s="38" t="n">
        <v>0</v>
      </c>
      <c r="AE34" s="38" t="n">
        <v>0</v>
      </c>
      <c r="AF34" s="38" t="n">
        <v>0</v>
      </c>
      <c r="AG34" s="38" t="n">
        <v>0</v>
      </c>
      <c r="AH34" s="38" t="n">
        <v>0</v>
      </c>
    </row>
    <row r="35" customFormat="false" ht="15" hidden="false" customHeight="false" outlineLevel="0" collapsed="false">
      <c r="A35" s="39"/>
      <c r="B35" s="3" t="s">
        <v>124</v>
      </c>
      <c r="C35" s="39"/>
      <c r="D35" s="39"/>
      <c r="E35" s="40" t="n">
        <f aca="false">E33</f>
        <v>6420</v>
      </c>
      <c r="F35" s="40" t="n">
        <f aca="false">F33</f>
        <v>1469323.8</v>
      </c>
      <c r="G35" s="39"/>
      <c r="H35" s="39"/>
      <c r="I35" s="39"/>
      <c r="J35" s="39"/>
      <c r="K35" s="40" t="n">
        <f aca="false">K33</f>
        <v>6420</v>
      </c>
      <c r="L35" s="40" t="n">
        <f aca="false">L33+L34</f>
        <v>1212914.2725</v>
      </c>
      <c r="M35" s="40" t="n">
        <f aca="false">M33+M34</f>
        <v>256409.5275</v>
      </c>
      <c r="N35" s="40" t="n">
        <f aca="false">N33+N34</f>
        <v>0</v>
      </c>
      <c r="O35" s="40" t="n">
        <f aca="false">O33+O34</f>
        <v>0</v>
      </c>
      <c r="P35" s="40" t="n">
        <f aca="false">P33+P34</f>
        <v>1469323.8</v>
      </c>
      <c r="Q35" s="40" t="n">
        <f aca="false">Q33</f>
        <v>5595</v>
      </c>
      <c r="R35" s="40" t="n">
        <f aca="false">R33+R34</f>
        <v>1212914.2725</v>
      </c>
      <c r="S35" s="40" t="n">
        <f aca="false">S33+S34</f>
        <v>66603.1275</v>
      </c>
      <c r="T35" s="40" t="n">
        <f aca="false">T33+T34</f>
        <v>0</v>
      </c>
      <c r="U35" s="40" t="n">
        <f aca="false">U33+U34</f>
        <v>0</v>
      </c>
      <c r="V35" s="40" t="n">
        <f aca="false">V33+V34</f>
        <v>1279517.4</v>
      </c>
      <c r="W35" s="40" t="n">
        <f aca="false">W33</f>
        <v>4730</v>
      </c>
      <c r="X35" s="40" t="n">
        <f aca="false">X33+X34</f>
        <v>1014872.1975</v>
      </c>
      <c r="Y35" s="40" t="n">
        <f aca="false">Y33+Y34</f>
        <v>66603.1275</v>
      </c>
      <c r="Z35" s="40" t="n">
        <f aca="false">Z33+Z34</f>
        <v>0</v>
      </c>
      <c r="AA35" s="40" t="n">
        <f aca="false">AA33+AA34</f>
        <v>0</v>
      </c>
      <c r="AB35" s="40" t="n">
        <f aca="false">AB33+AB34</f>
        <v>1081475.325</v>
      </c>
      <c r="AC35" s="40" t="n">
        <f aca="false">AC33</f>
        <v>5555</v>
      </c>
      <c r="AD35" s="40" t="n">
        <f aca="false">AD33+AD34</f>
        <v>1014872.1975</v>
      </c>
      <c r="AE35" s="40" t="n">
        <f aca="false">AE33+AE34</f>
        <v>161506.3275</v>
      </c>
      <c r="AF35" s="40" t="n">
        <f aca="false">AF33+AF34</f>
        <v>0</v>
      </c>
      <c r="AG35" s="40" t="n">
        <f aca="false">AG33+AG34</f>
        <v>0</v>
      </c>
      <c r="AH35" s="40" t="n">
        <f aca="false">AH33+AH34</f>
        <v>1176378.525</v>
      </c>
    </row>
    <row r="37" customFormat="false" ht="15" hidden="false" customHeight="false" outlineLevel="0" collapsed="false">
      <c r="B37" s="2" t="s">
        <v>115</v>
      </c>
      <c r="F37" s="41" t="n">
        <f aca="false">SUM(G37:J37)</f>
        <v>1469323.8</v>
      </c>
      <c r="G37" s="41" t="n">
        <f aca="false">SUMPRODUCT($F$8:$F$32,G$8:G$32)</f>
        <v>1212914.2725</v>
      </c>
      <c r="H37" s="41" t="n">
        <f aca="false">SUMPRODUCT($F$8:$F$32,H$8:H$32)</f>
        <v>256409.5275</v>
      </c>
      <c r="I37" s="41" t="n">
        <f aca="false">SUMPRODUCT($F$8:$F$32,I$8:I$32)</f>
        <v>0</v>
      </c>
      <c r="J37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125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5" customFormat="false" ht="15" hidden="false" customHeight="false" outlineLevel="0" collapsed="false">
      <c r="B5" s="15" t="s">
        <v>44</v>
      </c>
      <c r="C5" s="18" t="n">
        <f aca="false">IF(Inputs!$C$10="Todas las etapas",Inputs!$C$9,IF(AND(Inputs!$C$10="Solo diseño (S1–S5)",4&lt;=5),Inputs!$C$9,IF(AND(Inputs!$C$10="Solo lump sum (S1–S3)",4&lt;=3),Inputs!$C$9,1)))</f>
        <v>1</v>
      </c>
      <c r="D5" s="17" t="str">
        <f aca="false">Inputs!$C$7&amp;" loops"</f>
        <v>3 loops</v>
      </c>
      <c r="E5" s="2" t="s">
        <v>45</v>
      </c>
    </row>
    <row r="6" customFormat="false" ht="15" hidden="false" customHeight="false" outlineLevel="0" collapsed="false">
      <c r="A6" s="19" t="s">
        <v>46</v>
      </c>
      <c r="B6" s="19"/>
      <c r="C6" s="19"/>
      <c r="D6" s="19"/>
      <c r="E6" s="19"/>
      <c r="F6" s="19"/>
      <c r="G6" s="19" t="s">
        <v>47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48</v>
      </c>
      <c r="B7" s="23" t="s">
        <v>49</v>
      </c>
      <c r="C7" s="23" t="s">
        <v>50</v>
      </c>
      <c r="D7" s="23" t="s">
        <v>51</v>
      </c>
      <c r="E7" s="23" t="s">
        <v>52</v>
      </c>
      <c r="F7" s="23" t="s">
        <v>53</v>
      </c>
      <c r="G7" s="23" t="s">
        <v>54</v>
      </c>
      <c r="H7" s="23" t="s">
        <v>55</v>
      </c>
      <c r="I7" s="23" t="s">
        <v>56</v>
      </c>
      <c r="J7" s="23" t="s">
        <v>57</v>
      </c>
      <c r="K7" s="24" t="s">
        <v>58</v>
      </c>
      <c r="L7" s="25" t="s">
        <v>29</v>
      </c>
      <c r="M7" s="26" t="s">
        <v>59</v>
      </c>
      <c r="N7" s="27" t="s">
        <v>60</v>
      </c>
      <c r="O7" s="28" t="s">
        <v>61</v>
      </c>
      <c r="P7" s="24" t="s">
        <v>62</v>
      </c>
      <c r="Q7" s="24" t="s">
        <v>58</v>
      </c>
      <c r="R7" s="25" t="s">
        <v>29</v>
      </c>
      <c r="S7" s="26" t="s">
        <v>59</v>
      </c>
      <c r="T7" s="27" t="s">
        <v>60</v>
      </c>
      <c r="U7" s="28" t="s">
        <v>61</v>
      </c>
      <c r="V7" s="24" t="s">
        <v>62</v>
      </c>
      <c r="W7" s="24" t="s">
        <v>58</v>
      </c>
      <c r="X7" s="25" t="s">
        <v>29</v>
      </c>
      <c r="Y7" s="26" t="s">
        <v>59</v>
      </c>
      <c r="Z7" s="27" t="s">
        <v>60</v>
      </c>
      <c r="AA7" s="28" t="s">
        <v>61</v>
      </c>
      <c r="AB7" s="24" t="s">
        <v>62</v>
      </c>
      <c r="AC7" s="24" t="s">
        <v>58</v>
      </c>
      <c r="AD7" s="25" t="s">
        <v>29</v>
      </c>
      <c r="AE7" s="26" t="s">
        <v>59</v>
      </c>
      <c r="AF7" s="27" t="s">
        <v>60</v>
      </c>
      <c r="AG7" s="28" t="s">
        <v>61</v>
      </c>
      <c r="AH7" s="24" t="s">
        <v>62</v>
      </c>
    </row>
    <row r="8" customFormat="false" ht="15" hidden="false" customHeight="false" outlineLevel="0" collapsed="false">
      <c r="A8" s="15" t="s">
        <v>63</v>
      </c>
      <c r="B8" s="4" t="s">
        <v>64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SUMIFS(Datos!$H$5:$H$291,Datos!$E$5:$E$291,$A8,Datos!$F$5:$F$291,"S4")</f>
        <v>430</v>
      </c>
      <c r="F8" s="31" t="n">
        <f aca="false">SUMIFS(Datos!$J$5:$J$291,Datos!$E$5:$E$291,$A8,Datos!$F$5:$F$291,"S4")</f>
        <v>85451.1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430</v>
      </c>
      <c r="L8" s="31" t="n">
        <f aca="false">$F8*INDEX(Escenarios!$I$12:$I$36,MATCH($A8,Escenarios!$A$12:$A$36,0))*IF(AND($C8="INVAP",Inputs!$C$18="No"),0,1)*G8*$C$5</f>
        <v>85451.1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85451.1</v>
      </c>
      <c r="Q8" s="31" t="n">
        <f aca="false">IF(INDEX(Escenarios!$J$12:$J$36,MATCH($A8,Escenarios!$A$12:$A$36,0))*IF(AND($C8="INVAP",Inputs!$C$18="No"),0,1)&gt;0,$E8*$C$5,0)</f>
        <v>430</v>
      </c>
      <c r="R8" s="31" t="n">
        <f aca="false">$F8*INDEX(Escenarios!$J$12:$J$36,MATCH($A8,Escenarios!$A$12:$A$36,0))*IF(AND($C8="INVAP",Inputs!$C$18="No"),0,1)*G8*$C$5</f>
        <v>85451.1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85451.1</v>
      </c>
      <c r="W8" s="31" t="n">
        <f aca="false">IF(INDEX(Escenarios!$K$12:$K$36,MATCH($A8,Escenarios!$A$12:$A$36,0))*IF(AND($C8="INVAP",Inputs!$C$18="No"),0,1)&gt;0,$E8*$C$5,0)</f>
        <v>430</v>
      </c>
      <c r="X8" s="31" t="n">
        <f aca="false">$F8*INDEX(Escenarios!$K$12:$K$36,MATCH($A8,Escenarios!$A$12:$A$36,0))*IF(AND($C8="INVAP",Inputs!$C$18="No"),0,1)*G8*$C$5</f>
        <v>85451.1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85451.1</v>
      </c>
      <c r="AC8" s="31" t="n">
        <f aca="false">IF(INDEX(Escenarios!$L$12:$L$36,MATCH($A8,Escenarios!$A$12:$A$36,0))*IF(AND($C8="INVAP",Inputs!$C$18="No"),0,1)&gt;0,$E8*$C$5,0)</f>
        <v>430</v>
      </c>
      <c r="AD8" s="31" t="n">
        <f aca="false">$F8*INDEX(Escenarios!$L$12:$L$36,MATCH($A8,Escenarios!$A$12:$A$36,0))*IF(AND($C8="INVAP",Inputs!$C$18="No"),0,1)*G8*$C$5</f>
        <v>85451.1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85451.1</v>
      </c>
    </row>
    <row r="9" customFormat="false" ht="15" hidden="false" customHeight="false" outlineLevel="0" collapsed="false">
      <c r="A9" s="15" t="s">
        <v>65</v>
      </c>
      <c r="B9" s="4" t="s">
        <v>66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SUMIFS(Datos!$H$5:$H$291,Datos!$E$5:$E$291,$A9,Datos!$F$5:$F$291,"S4")</f>
        <v>0</v>
      </c>
      <c r="F9" s="31" t="n">
        <f aca="false">SUMIFS(Datos!$J$5:$J$291,Datos!$E$5:$E$291,$A9,Datos!$F$5:$F$291,"S4")</f>
        <v>0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0</v>
      </c>
      <c r="L9" s="31" t="n">
        <f aca="false">$F9*INDEX(Escenarios!$I$12:$I$36,MATCH($A9,Escenarios!$A$12:$A$36,0))*IF(AND($C9="INVAP",Inputs!$C$18="No"),0,1)*G9*$C$5</f>
        <v>0</v>
      </c>
      <c r="M9" s="31" t="n">
        <f aca="false">$F9*INDEX(Escenarios!$I$12:$I$36,MATCH($A9,Escenarios!$A$12:$A$36,0))*IF(AND($C9="INVAP",Inputs!$C$18="No"),0,1)*H9*$C$5</f>
        <v>0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0</v>
      </c>
      <c r="Q9" s="31" t="n">
        <f aca="false">IF(INDEX(Escenarios!$J$12:$J$36,MATCH($A9,Escenarios!$A$12:$A$36,0))*IF(AND($C9="INVAP",Inputs!$C$18="No"),0,1)&gt;0,$E9*$C$5,0)</f>
        <v>0</v>
      </c>
      <c r="R9" s="31" t="n">
        <f aca="false">$F9*INDEX(Escenarios!$J$12:$J$36,MATCH($A9,Escenarios!$A$12:$A$36,0))*IF(AND($C9="INVAP",Inputs!$C$18="No"),0,1)*G9*$C$5</f>
        <v>0</v>
      </c>
      <c r="S9" s="31" t="n">
        <f aca="false">$F9*INDEX(Escenarios!$J$12:$J$36,MATCH($A9,Escenarios!$A$12:$A$36,0))*IF(AND($C9="INVAP",Inputs!$C$18="No"),0,1)*H9*$C$5</f>
        <v>0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0</v>
      </c>
      <c r="W9" s="31" t="n">
        <f aca="false">IF(INDEX(Escenarios!$K$12:$K$36,MATCH($A9,Escenarios!$A$12:$A$36,0))*IF(AND($C9="INVAP",Inputs!$C$18="No"),0,1)&gt;0,$E9*$C$5,0)</f>
        <v>0</v>
      </c>
      <c r="X9" s="31" t="n">
        <f aca="false">$F9*INDEX(Escenarios!$K$12:$K$36,MATCH($A9,Escenarios!$A$12:$A$36,0))*IF(AND($C9="INVAP",Inputs!$C$18="No"),0,1)*G9*$C$5</f>
        <v>0</v>
      </c>
      <c r="Y9" s="31" t="n">
        <f aca="false">$F9*INDEX(Escenarios!$K$12:$K$36,MATCH($A9,Escenarios!$A$12:$A$36,0))*IF(AND($C9="INVAP",Inputs!$C$18="No"),0,1)*H9*$C$5</f>
        <v>0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0</v>
      </c>
      <c r="AC9" s="31" t="n">
        <f aca="false">IF(INDEX(Escenarios!$L$12:$L$36,MATCH($A9,Escenarios!$A$12:$A$36,0))*IF(AND($C9="INVAP",Inputs!$C$18="No"),0,1)&gt;0,$E9*$C$5,0)</f>
        <v>0</v>
      </c>
      <c r="AD9" s="31" t="n">
        <f aca="false">$F9*INDEX(Escenarios!$L$12:$L$36,MATCH($A9,Escenarios!$A$12:$A$36,0))*IF(AND($C9="INVAP",Inputs!$C$18="No"),0,1)*G9*$C$5</f>
        <v>0</v>
      </c>
      <c r="AE9" s="31" t="n">
        <f aca="false">$F9*INDEX(Escenarios!$L$12:$L$36,MATCH($A9,Escenarios!$A$12:$A$36,0))*IF(AND($C9="INVAP",Inputs!$C$18="No"),0,1)*H9*$C$5</f>
        <v>0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0</v>
      </c>
    </row>
    <row r="10" customFormat="false" ht="15" hidden="false" customHeight="false" outlineLevel="0" collapsed="false">
      <c r="A10" s="15" t="s">
        <v>67</v>
      </c>
      <c r="B10" s="4" t="s">
        <v>68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SUMIFS(Datos!$H$5:$H$291,Datos!$E$5:$E$291,$A10,Datos!$F$5:$F$291,"S4")</f>
        <v>1015</v>
      </c>
      <c r="F10" s="31" t="n">
        <f aca="false">SUMIFS(Datos!$J$5:$J$291,Datos!$E$5:$E$291,$A10,Datos!$F$5:$F$291,"S4")</f>
        <v>237629.175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1015</v>
      </c>
      <c r="L10" s="31" t="n">
        <f aca="false">$F10*INDEX(Escenarios!$I$12:$I$36,MATCH($A10,Escenarios!$A$12:$A$36,0))*IF(AND($C10="INVAP",Inputs!$C$18="No"),0,1)*G10*$C$5</f>
        <v>213866.2575</v>
      </c>
      <c r="M10" s="31" t="n">
        <f aca="false">$F10*INDEX(Escenarios!$I$12:$I$36,MATCH($A10,Escenarios!$A$12:$A$36,0))*IF(AND($C10="INVAP",Inputs!$C$18="No"),0,1)*H10*$C$5</f>
        <v>23762.9175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237629.175</v>
      </c>
      <c r="Q10" s="31" t="n">
        <f aca="false">IF(INDEX(Escenarios!$J$12:$J$36,MATCH($A10,Escenarios!$A$12:$A$36,0))*IF(AND($C10="INVAP",Inputs!$C$18="No"),0,1)&gt;0,$E10*$C$5,0)</f>
        <v>1015</v>
      </c>
      <c r="R10" s="31" t="n">
        <f aca="false">$F10*INDEX(Escenarios!$J$12:$J$36,MATCH($A10,Escenarios!$A$12:$A$36,0))*IF(AND($C10="INVAP",Inputs!$C$18="No"),0,1)*G10*$C$5</f>
        <v>213866.2575</v>
      </c>
      <c r="S10" s="31" t="n">
        <f aca="false">$F10*INDEX(Escenarios!$J$12:$J$36,MATCH($A10,Escenarios!$A$12:$A$36,0))*IF(AND($C10="INVAP",Inputs!$C$18="No"),0,1)*H10*$C$5</f>
        <v>23762.9175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237629.175</v>
      </c>
      <c r="W10" s="31" t="n">
        <f aca="false">IF(INDEX(Escenarios!$K$12:$K$36,MATCH($A10,Escenarios!$A$12:$A$36,0))*IF(AND($C10="INVAP",Inputs!$C$18="No"),0,1)&gt;0,$E10*$C$5,0)</f>
        <v>1015</v>
      </c>
      <c r="X10" s="31" t="n">
        <f aca="false">$F10*INDEX(Escenarios!$K$12:$K$36,MATCH($A10,Escenarios!$A$12:$A$36,0))*IF(AND($C10="INVAP",Inputs!$C$18="No"),0,1)*G10*$C$5</f>
        <v>213866.2575</v>
      </c>
      <c r="Y10" s="31" t="n">
        <f aca="false">$F10*INDEX(Escenarios!$K$12:$K$36,MATCH($A10,Escenarios!$A$12:$A$36,0))*IF(AND($C10="INVAP",Inputs!$C$18="No"),0,1)*H10*$C$5</f>
        <v>23762.9175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237629.175</v>
      </c>
      <c r="AC10" s="31" t="n">
        <f aca="false">IF(INDEX(Escenarios!$L$12:$L$36,MATCH($A10,Escenarios!$A$12:$A$36,0))*IF(AND($C10="INVAP",Inputs!$C$18="No"),0,1)&gt;0,$E10*$C$5,0)</f>
        <v>1015</v>
      </c>
      <c r="AD10" s="31" t="n">
        <f aca="false">$F10*INDEX(Escenarios!$L$12:$L$36,MATCH($A10,Escenarios!$A$12:$A$36,0))*IF(AND($C10="INVAP",Inputs!$C$18="No"),0,1)*G10*$C$5</f>
        <v>213866.2575</v>
      </c>
      <c r="AE10" s="31" t="n">
        <f aca="false">$F10*INDEX(Escenarios!$L$12:$L$36,MATCH($A10,Escenarios!$A$12:$A$36,0))*IF(AND($C10="INVAP",Inputs!$C$18="No"),0,1)*H10*$C$5</f>
        <v>23762.9175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237629.175</v>
      </c>
    </row>
    <row r="11" customFormat="false" ht="15" hidden="false" customHeight="false" outlineLevel="0" collapsed="false">
      <c r="A11" s="15" t="s">
        <v>69</v>
      </c>
      <c r="B11" s="4" t="s">
        <v>70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SUMIFS(Datos!$H$5:$H$291,Datos!$E$5:$E$291,$A11,Datos!$F$5:$F$291,"S4")</f>
        <v>950</v>
      </c>
      <c r="F11" s="31" t="n">
        <f aca="false">SUMIFS(Datos!$J$5:$J$291,Datos!$E$5:$E$291,$A11,Datos!$F$5:$F$291,"S4")</f>
        <v>222212.55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950</v>
      </c>
      <c r="L11" s="31" t="n">
        <f aca="false">$F11*INDEX(Escenarios!$I$12:$I$36,MATCH($A11,Escenarios!$A$12:$A$36,0))*IF(AND($C11="INVAP",Inputs!$C$18="No"),0,1)*G11*$C$5</f>
        <v>199991.295</v>
      </c>
      <c r="M11" s="31" t="n">
        <f aca="false">$F11*INDEX(Escenarios!$I$12:$I$36,MATCH($A11,Escenarios!$A$12:$A$36,0))*IF(AND($C11="INVAP",Inputs!$C$18="No"),0,1)*H11*$C$5</f>
        <v>22221.255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222212.55</v>
      </c>
      <c r="Q11" s="31" t="n">
        <f aca="false">IF(INDEX(Escenarios!$J$12:$J$36,MATCH($A11,Escenarios!$A$12:$A$36,0))*IF(AND($C11="INVAP",Inputs!$C$18="No"),0,1)&gt;0,$E11*$C$5,0)</f>
        <v>950</v>
      </c>
      <c r="R11" s="31" t="n">
        <f aca="false">$F11*INDEX(Escenarios!$J$12:$J$36,MATCH($A11,Escenarios!$A$12:$A$36,0))*IF(AND($C11="INVAP",Inputs!$C$18="No"),0,1)*G11*$C$5</f>
        <v>199991.295</v>
      </c>
      <c r="S11" s="31" t="n">
        <f aca="false">$F11*INDEX(Escenarios!$J$12:$J$36,MATCH($A11,Escenarios!$A$12:$A$36,0))*IF(AND($C11="INVAP",Inputs!$C$18="No"),0,1)*H11*$C$5</f>
        <v>22221.255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222212.55</v>
      </c>
      <c r="W11" s="31" t="n">
        <f aca="false">IF(INDEX(Escenarios!$K$12:$K$36,MATCH($A11,Escenarios!$A$12:$A$36,0))*IF(AND($C11="INVAP",Inputs!$C$18="No"),0,1)&gt;0,$E11*$C$5,0)</f>
        <v>950</v>
      </c>
      <c r="X11" s="31" t="n">
        <f aca="false">$F11*INDEX(Escenarios!$K$12:$K$36,MATCH($A11,Escenarios!$A$12:$A$36,0))*IF(AND($C11="INVAP",Inputs!$C$18="No"),0,1)*G11*$C$5</f>
        <v>199991.295</v>
      </c>
      <c r="Y11" s="31" t="n">
        <f aca="false">$F11*INDEX(Escenarios!$K$12:$K$36,MATCH($A11,Escenarios!$A$12:$A$36,0))*IF(AND($C11="INVAP",Inputs!$C$18="No"),0,1)*H11*$C$5</f>
        <v>22221.255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222212.55</v>
      </c>
      <c r="AC11" s="31" t="n">
        <f aca="false">IF(INDEX(Escenarios!$L$12:$L$36,MATCH($A11,Escenarios!$A$12:$A$36,0))*IF(AND($C11="INVAP",Inputs!$C$18="No"),0,1)&gt;0,$E11*$C$5,0)</f>
        <v>950</v>
      </c>
      <c r="AD11" s="31" t="n">
        <f aca="false">$F11*INDEX(Escenarios!$L$12:$L$36,MATCH($A11,Escenarios!$A$12:$A$36,0))*IF(AND($C11="INVAP",Inputs!$C$18="No"),0,1)*G11*$C$5</f>
        <v>199991.295</v>
      </c>
      <c r="AE11" s="31" t="n">
        <f aca="false">$F11*INDEX(Escenarios!$L$12:$L$36,MATCH($A11,Escenarios!$A$12:$A$36,0))*IF(AND($C11="INVAP",Inputs!$C$18="No"),0,1)*H11*$C$5</f>
        <v>22221.255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222212.55</v>
      </c>
    </row>
    <row r="12" customFormat="false" ht="15" hidden="false" customHeight="false" outlineLevel="0" collapsed="false">
      <c r="A12" s="15" t="s">
        <v>71</v>
      </c>
      <c r="B12" s="4" t="s">
        <v>72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SUMIFS(Datos!$H$5:$H$291,Datos!$E$5:$E$291,$A12,Datos!$F$5:$F$291,"S4")</f>
        <v>905</v>
      </c>
      <c r="F12" s="31" t="n">
        <f aca="false">SUMIFS(Datos!$J$5:$J$291,Datos!$E$5:$E$291,$A12,Datos!$F$5:$F$291,"S4")</f>
        <v>211896.825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905</v>
      </c>
      <c r="L12" s="31" t="n">
        <f aca="false">$F12*INDEX(Escenarios!$I$12:$I$36,MATCH($A12,Escenarios!$A$12:$A$36,0))*IF(AND($C12="INVAP",Inputs!$C$18="No"),0,1)*G12*$C$5</f>
        <v>190707.1425</v>
      </c>
      <c r="M12" s="31" t="n">
        <f aca="false">$F12*INDEX(Escenarios!$I$12:$I$36,MATCH($A12,Escenarios!$A$12:$A$36,0))*IF(AND($C12="INVAP",Inputs!$C$18="No"),0,1)*H12*$C$5</f>
        <v>21189.6825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211896.825</v>
      </c>
      <c r="Q12" s="31" t="n">
        <f aca="false">IF(INDEX(Escenarios!$J$12:$J$36,MATCH($A12,Escenarios!$A$12:$A$36,0))*IF(AND($C12="INVAP",Inputs!$C$18="No"),0,1)&gt;0,$E12*$C$5,0)</f>
        <v>905</v>
      </c>
      <c r="R12" s="31" t="n">
        <f aca="false">$F12*INDEX(Escenarios!$J$12:$J$36,MATCH($A12,Escenarios!$A$12:$A$36,0))*IF(AND($C12="INVAP",Inputs!$C$18="No"),0,1)*G12*$C$5</f>
        <v>190707.1425</v>
      </c>
      <c r="S12" s="31" t="n">
        <f aca="false">$F12*INDEX(Escenarios!$J$12:$J$36,MATCH($A12,Escenarios!$A$12:$A$36,0))*IF(AND($C12="INVAP",Inputs!$C$18="No"),0,1)*H12*$C$5</f>
        <v>21189.6825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211896.825</v>
      </c>
      <c r="W12" s="31" t="n">
        <f aca="false">IF(INDEX(Escenarios!$K$12:$K$36,MATCH($A12,Escenarios!$A$12:$A$36,0))*IF(AND($C12="INVAP",Inputs!$C$18="No"),0,1)&gt;0,$E12*$C$5,0)</f>
        <v>905</v>
      </c>
      <c r="X12" s="31" t="n">
        <f aca="false">$F12*INDEX(Escenarios!$K$12:$K$36,MATCH($A12,Escenarios!$A$12:$A$36,0))*IF(AND($C12="INVAP",Inputs!$C$18="No"),0,1)*G12*$C$5</f>
        <v>190707.1425</v>
      </c>
      <c r="Y12" s="31" t="n">
        <f aca="false">$F12*INDEX(Escenarios!$K$12:$K$36,MATCH($A12,Escenarios!$A$12:$A$36,0))*IF(AND($C12="INVAP",Inputs!$C$18="No"),0,1)*H12*$C$5</f>
        <v>21189.6825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211896.825</v>
      </c>
      <c r="AC12" s="31" t="n">
        <f aca="false">IF(INDEX(Escenarios!$L$12:$L$36,MATCH($A12,Escenarios!$A$12:$A$36,0))*IF(AND($C12="INVAP",Inputs!$C$18="No"),0,1)&gt;0,$E12*$C$5,0)</f>
        <v>905</v>
      </c>
      <c r="AD12" s="31" t="n">
        <f aca="false">$F12*INDEX(Escenarios!$L$12:$L$36,MATCH($A12,Escenarios!$A$12:$A$36,0))*IF(AND($C12="INVAP",Inputs!$C$18="No"),0,1)*G12*$C$5</f>
        <v>190707.1425</v>
      </c>
      <c r="AE12" s="31" t="n">
        <f aca="false">$F12*INDEX(Escenarios!$L$12:$L$36,MATCH($A12,Escenarios!$A$12:$A$36,0))*IF(AND($C12="INVAP",Inputs!$C$18="No"),0,1)*H12*$C$5</f>
        <v>21189.6825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211896.825</v>
      </c>
    </row>
    <row r="13" customFormat="false" ht="15" hidden="false" customHeight="false" outlineLevel="0" collapsed="false">
      <c r="A13" s="15" t="s">
        <v>73</v>
      </c>
      <c r="B13" s="4" t="s">
        <v>74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SUMIFS(Datos!$H$5:$H$291,Datos!$E$5:$E$291,$A13,Datos!$F$5:$F$291,"S4")</f>
        <v>610</v>
      </c>
      <c r="F13" s="31" t="n">
        <f aca="false">SUMIFS(Datos!$J$5:$J$291,Datos!$E$5:$E$291,$A13,Datos!$F$5:$F$291,"S4")</f>
        <v>142939.125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610</v>
      </c>
      <c r="L13" s="31" t="n">
        <f aca="false">$F13*INDEX(Escenarios!$I$12:$I$36,MATCH($A13,Escenarios!$A$12:$A$36,0))*IF(AND($C13="INVAP",Inputs!$C$18="No"),0,1)*G13*$C$5</f>
        <v>128645.2125</v>
      </c>
      <c r="M13" s="31" t="n">
        <f aca="false">$F13*INDEX(Escenarios!$I$12:$I$36,MATCH($A13,Escenarios!$A$12:$A$36,0))*IF(AND($C13="INVAP",Inputs!$C$18="No"),0,1)*H13*$C$5</f>
        <v>14293.9125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142939.125</v>
      </c>
      <c r="Q13" s="31" t="n">
        <f aca="false">IF(INDEX(Escenarios!$J$12:$J$36,MATCH($A13,Escenarios!$A$12:$A$36,0))*IF(AND($C13="INVAP",Inputs!$C$18="No"),0,1)&gt;0,$E13*$C$5,0)</f>
        <v>610</v>
      </c>
      <c r="R13" s="31" t="n">
        <f aca="false">$F13*INDEX(Escenarios!$J$12:$J$36,MATCH($A13,Escenarios!$A$12:$A$36,0))*IF(AND($C13="INVAP",Inputs!$C$18="No"),0,1)*G13*$C$5</f>
        <v>128645.2125</v>
      </c>
      <c r="S13" s="31" t="n">
        <f aca="false">$F13*INDEX(Escenarios!$J$12:$J$36,MATCH($A13,Escenarios!$A$12:$A$36,0))*IF(AND($C13="INVAP",Inputs!$C$18="No"),0,1)*H13*$C$5</f>
        <v>14293.9125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142939.125</v>
      </c>
      <c r="W13" s="31" t="n">
        <f aca="false">IF(INDEX(Escenarios!$K$12:$K$36,MATCH($A13,Escenarios!$A$12:$A$36,0))*IF(AND($C13="INVAP",Inputs!$C$18="No"),0,1)&gt;0,$E13*$C$5,0)</f>
        <v>610</v>
      </c>
      <c r="X13" s="31" t="n">
        <f aca="false">$F13*INDEX(Escenarios!$K$12:$K$36,MATCH($A13,Escenarios!$A$12:$A$36,0))*IF(AND($C13="INVAP",Inputs!$C$18="No"),0,1)*G13*$C$5</f>
        <v>128645.2125</v>
      </c>
      <c r="Y13" s="31" t="n">
        <f aca="false">$F13*INDEX(Escenarios!$K$12:$K$36,MATCH($A13,Escenarios!$A$12:$A$36,0))*IF(AND($C13="INVAP",Inputs!$C$18="No"),0,1)*H13*$C$5</f>
        <v>14293.9125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142939.125</v>
      </c>
      <c r="AC13" s="31" t="n">
        <f aca="false">IF(INDEX(Escenarios!$L$12:$L$36,MATCH($A13,Escenarios!$A$12:$A$36,0))*IF(AND($C13="INVAP",Inputs!$C$18="No"),0,1)&gt;0,$E13*$C$5,0)</f>
        <v>610</v>
      </c>
      <c r="AD13" s="31" t="n">
        <f aca="false">$F13*INDEX(Escenarios!$L$12:$L$36,MATCH($A13,Escenarios!$A$12:$A$36,0))*IF(AND($C13="INVAP",Inputs!$C$18="No"),0,1)*G13*$C$5</f>
        <v>128645.2125</v>
      </c>
      <c r="AE13" s="31" t="n">
        <f aca="false">$F13*INDEX(Escenarios!$L$12:$L$36,MATCH($A13,Escenarios!$A$12:$A$36,0))*IF(AND($C13="INVAP",Inputs!$C$18="No"),0,1)*H13*$C$5</f>
        <v>14293.9125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142939.125</v>
      </c>
    </row>
    <row r="14" customFormat="false" ht="15" hidden="false" customHeight="false" outlineLevel="0" collapsed="false">
      <c r="A14" s="15" t="s">
        <v>75</v>
      </c>
      <c r="B14" s="4" t="s">
        <v>76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SUMIFS(Datos!$H$5:$H$291,Datos!$E$5:$E$291,$A14,Datos!$F$5:$F$291,"S4")</f>
        <v>565</v>
      </c>
      <c r="F14" s="31" t="n">
        <f aca="false">SUMIFS(Datos!$J$5:$J$291,Datos!$E$5:$E$291,$A14,Datos!$F$5:$F$291,"S4")</f>
        <v>129334.275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565</v>
      </c>
      <c r="L14" s="31" t="n">
        <f aca="false">$F14*INDEX(Escenarios!$I$12:$I$36,MATCH($A14,Escenarios!$A$12:$A$36,0))*IF(AND($C14="INVAP",Inputs!$C$18="No"),0,1)*G14*$C$5</f>
        <v>129334.275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129334.275</v>
      </c>
      <c r="Q14" s="31" t="n">
        <f aca="false">IF(INDEX(Escenarios!$J$12:$J$36,MATCH($A14,Escenarios!$A$12:$A$36,0))*IF(AND($C14="INVAP",Inputs!$C$18="No"),0,1)&gt;0,$E14*$C$5,0)</f>
        <v>565</v>
      </c>
      <c r="R14" s="31" t="n">
        <f aca="false">$F14*INDEX(Escenarios!$J$12:$J$36,MATCH($A14,Escenarios!$A$12:$A$36,0))*IF(AND($C14="INVAP",Inputs!$C$18="No"),0,1)*G14*$C$5</f>
        <v>129334.275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129334.275</v>
      </c>
      <c r="W14" s="31" t="n">
        <f aca="false">IF(INDEX(Escenarios!$K$12:$K$36,MATCH($A14,Escenarios!$A$12:$A$36,0))*IF(AND($C14="INVAP",Inputs!$C$18="No"),0,1)&gt;0,$E14*$C$5,0)</f>
        <v>565</v>
      </c>
      <c r="X14" s="31" t="n">
        <f aca="false">$F14*INDEX(Escenarios!$K$12:$K$36,MATCH($A14,Escenarios!$A$12:$A$36,0))*IF(AND($C14="INVAP",Inputs!$C$18="No"),0,1)*G14*$C$5</f>
        <v>129334.275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129334.275</v>
      </c>
      <c r="AC14" s="31" t="n">
        <f aca="false">IF(INDEX(Escenarios!$L$12:$L$36,MATCH($A14,Escenarios!$A$12:$A$36,0))*IF(AND($C14="INVAP",Inputs!$C$18="No"),0,1)&gt;0,$E14*$C$5,0)</f>
        <v>565</v>
      </c>
      <c r="AD14" s="31" t="n">
        <f aca="false">$F14*INDEX(Escenarios!$L$12:$L$36,MATCH($A14,Escenarios!$A$12:$A$36,0))*IF(AND($C14="INVAP",Inputs!$C$18="No"),0,1)*G14*$C$5</f>
        <v>129334.275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129334.275</v>
      </c>
    </row>
    <row r="15" customFormat="false" ht="15" hidden="false" customHeight="false" outlineLevel="0" collapsed="false">
      <c r="A15" s="15" t="s">
        <v>77</v>
      </c>
      <c r="B15" s="4" t="s">
        <v>78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SUMIFS(Datos!$H$5:$H$291,Datos!$E$5:$E$291,$A15,Datos!$F$5:$F$291,"S4")</f>
        <v>465</v>
      </c>
      <c r="F15" s="31" t="n">
        <f aca="false">SUMIFS(Datos!$J$5:$J$291,Datos!$E$5:$E$291,$A15,Datos!$F$5:$F$291,"S4")</f>
        <v>107835.525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465</v>
      </c>
      <c r="L15" s="31" t="n">
        <f aca="false">$F15*INDEX(Escenarios!$I$12:$I$36,MATCH($A15,Escenarios!$A$12:$A$36,0))*IF(AND($C15="INVAP",Inputs!$C$18="No"),0,1)*G15*$C$5</f>
        <v>107835.525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107835.525</v>
      </c>
      <c r="Q15" s="31" t="n">
        <f aca="false">IF(INDEX(Escenarios!$J$12:$J$36,MATCH($A15,Escenarios!$A$12:$A$36,0))*IF(AND($C15="INVAP",Inputs!$C$18="No"),0,1)&gt;0,$E15*$C$5,0)</f>
        <v>465</v>
      </c>
      <c r="R15" s="31" t="n">
        <f aca="false">$F15*INDEX(Escenarios!$J$12:$J$36,MATCH($A15,Escenarios!$A$12:$A$36,0))*IF(AND($C15="INVAP",Inputs!$C$18="No"),0,1)*G15*$C$5</f>
        <v>107835.525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107835.525</v>
      </c>
      <c r="W15" s="31" t="n">
        <f aca="false">IF(INDEX(Escenarios!$K$12:$K$36,MATCH($A15,Escenarios!$A$12:$A$36,0))*IF(AND($C15="INVAP",Inputs!$C$18="No"),0,1)&gt;0,$E15*$C$5,0)</f>
        <v>465</v>
      </c>
      <c r="X15" s="31" t="n">
        <f aca="false">$F15*INDEX(Escenarios!$K$12:$K$36,MATCH($A15,Escenarios!$A$12:$A$36,0))*IF(AND($C15="INVAP",Inputs!$C$18="No"),0,1)*G15*$C$5</f>
        <v>107835.525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107835.525</v>
      </c>
      <c r="AC15" s="31" t="n">
        <f aca="false">IF(INDEX(Escenarios!$L$12:$L$36,MATCH($A15,Escenarios!$A$12:$A$36,0))*IF(AND($C15="INVAP",Inputs!$C$18="No"),0,1)&gt;0,$E15*$C$5,0)</f>
        <v>465</v>
      </c>
      <c r="AD15" s="31" t="n">
        <f aca="false">$F15*INDEX(Escenarios!$L$12:$L$36,MATCH($A15,Escenarios!$A$12:$A$36,0))*IF(AND($C15="INVAP",Inputs!$C$18="No"),0,1)*G15*$C$5</f>
        <v>107835.525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107835.525</v>
      </c>
    </row>
    <row r="16" customFormat="false" ht="15" hidden="false" customHeight="false" outlineLevel="0" collapsed="false">
      <c r="A16" s="15" t="s">
        <v>79</v>
      </c>
      <c r="B16" s="4" t="s">
        <v>80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SUMIFS(Datos!$H$5:$H$291,Datos!$E$5:$E$291,$A16,Datos!$F$5:$F$291,"S4")</f>
        <v>1300</v>
      </c>
      <c r="F16" s="31" t="n">
        <f aca="false">SUMIFS(Datos!$J$5:$J$291,Datos!$E$5:$E$291,$A16,Datos!$F$5:$F$291,"S4")</f>
        <v>298608.45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1300</v>
      </c>
      <c r="L16" s="31" t="n">
        <f aca="false">$F16*INDEX(Escenarios!$I$12:$I$36,MATCH($A16,Escenarios!$A$12:$A$36,0))*IF(AND($C16="INVAP",Inputs!$C$18="No"),0,1)*G16*$C$5</f>
        <v>298608.45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298608.45</v>
      </c>
      <c r="Q16" s="31" t="n">
        <f aca="false">IF(INDEX(Escenarios!$J$12:$J$36,MATCH($A16,Escenarios!$A$12:$A$36,0))*IF(AND($C16="INVAP",Inputs!$C$18="No"),0,1)&gt;0,$E16*$C$5,0)</f>
        <v>1300</v>
      </c>
      <c r="R16" s="31" t="n">
        <f aca="false">$F16*INDEX(Escenarios!$J$12:$J$36,MATCH($A16,Escenarios!$A$12:$A$36,0))*IF(AND($C16="INVAP",Inputs!$C$18="No"),0,1)*G16*$C$5</f>
        <v>298608.45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298608.45</v>
      </c>
      <c r="W16" s="31" t="n">
        <f aca="false">IF(INDEX(Escenarios!$K$12:$K$36,MATCH($A16,Escenarios!$A$12:$A$36,0))*IF(AND($C16="INVAP",Inputs!$C$18="No"),0,1)&gt;0,$E16*$C$5,0)</f>
        <v>1300</v>
      </c>
      <c r="X16" s="31" t="n">
        <f aca="false">$F16*INDEX(Escenarios!$K$12:$K$36,MATCH($A16,Escenarios!$A$12:$A$36,0))*IF(AND($C16="INVAP",Inputs!$C$18="No"),0,1)*G16*$C$5</f>
        <v>298608.45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298608.45</v>
      </c>
      <c r="AC16" s="31" t="n">
        <f aca="false">IF(INDEX(Escenarios!$L$12:$L$36,MATCH($A16,Escenarios!$A$12:$A$36,0))*IF(AND($C16="INVAP",Inputs!$C$18="No"),0,1)&gt;0,$E16*$C$5,0)</f>
        <v>1300</v>
      </c>
      <c r="AD16" s="31" t="n">
        <f aca="false">$F16*INDEX(Escenarios!$L$12:$L$36,MATCH($A16,Escenarios!$A$12:$A$36,0))*IF(AND($C16="INVAP",Inputs!$C$18="No"),0,1)*G16*$C$5</f>
        <v>298608.45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298608.45</v>
      </c>
    </row>
    <row r="17" customFormat="false" ht="15" hidden="false" customHeight="false" outlineLevel="0" collapsed="false">
      <c r="A17" s="15" t="s">
        <v>81</v>
      </c>
      <c r="B17" s="4" t="s">
        <v>82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SUMIFS(Datos!$H$5:$H$291,Datos!$E$5:$E$291,$A17,Datos!$F$5:$F$291,"S4")</f>
        <v>670</v>
      </c>
      <c r="F17" s="31" t="n">
        <f aca="false">SUMIFS(Datos!$J$5:$J$291,Datos!$E$5:$E$291,$A17,Datos!$F$5:$F$291,"S4")</f>
        <v>154383.075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670</v>
      </c>
      <c r="L17" s="31" t="n">
        <f aca="false">$F17*INDEX(Escenarios!$I$12:$I$36,MATCH($A17,Escenarios!$A$12:$A$36,0))*IF(AND($C17="INVAP",Inputs!$C$18="No"),0,1)*G17*$C$5</f>
        <v>138944.7675</v>
      </c>
      <c r="M17" s="31" t="n">
        <f aca="false">$F17*INDEX(Escenarios!$I$12:$I$36,MATCH($A17,Escenarios!$A$12:$A$36,0))*IF(AND($C17="INVAP",Inputs!$C$18="No"),0,1)*H17*$C$5</f>
        <v>15438.3075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154383.075</v>
      </c>
      <c r="Q17" s="31" t="n">
        <f aca="false">IF(INDEX(Escenarios!$J$12:$J$36,MATCH($A17,Escenarios!$A$12:$A$36,0))*IF(AND($C17="INVAP",Inputs!$C$18="No"),0,1)&gt;0,$E17*$C$5,0)</f>
        <v>670</v>
      </c>
      <c r="R17" s="31" t="n">
        <f aca="false">$F17*INDEX(Escenarios!$J$12:$J$36,MATCH($A17,Escenarios!$A$12:$A$36,0))*IF(AND($C17="INVAP",Inputs!$C$18="No"),0,1)*G17*$C$5</f>
        <v>138944.7675</v>
      </c>
      <c r="S17" s="31" t="n">
        <f aca="false">$F17*INDEX(Escenarios!$J$12:$J$36,MATCH($A17,Escenarios!$A$12:$A$36,0))*IF(AND($C17="INVAP",Inputs!$C$18="No"),0,1)*H17*$C$5</f>
        <v>15438.3075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154383.075</v>
      </c>
      <c r="W17" s="31" t="n">
        <f aca="false">IF(INDEX(Escenarios!$K$12:$K$36,MATCH($A17,Escenarios!$A$12:$A$36,0))*IF(AND($C17="INVAP",Inputs!$C$18="No"),0,1)&gt;0,$E17*$C$5,0)</f>
        <v>670</v>
      </c>
      <c r="X17" s="31" t="n">
        <f aca="false">$F17*INDEX(Escenarios!$K$12:$K$36,MATCH($A17,Escenarios!$A$12:$A$36,0))*IF(AND($C17="INVAP",Inputs!$C$18="No"),0,1)*G17*$C$5</f>
        <v>138944.7675</v>
      </c>
      <c r="Y17" s="31" t="n">
        <f aca="false">$F17*INDEX(Escenarios!$K$12:$K$36,MATCH($A17,Escenarios!$A$12:$A$36,0))*IF(AND($C17="INVAP",Inputs!$C$18="No"),0,1)*H17*$C$5</f>
        <v>15438.3075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154383.075</v>
      </c>
      <c r="AC17" s="31" t="n">
        <f aca="false">IF(INDEX(Escenarios!$L$12:$L$36,MATCH($A17,Escenarios!$A$12:$A$36,0))*IF(AND($C17="INVAP",Inputs!$C$18="No"),0,1)&gt;0,$E17*$C$5,0)</f>
        <v>670</v>
      </c>
      <c r="AD17" s="31" t="n">
        <f aca="false">$F17*INDEX(Escenarios!$L$12:$L$36,MATCH($A17,Escenarios!$A$12:$A$36,0))*IF(AND($C17="INVAP",Inputs!$C$18="No"),0,1)*G17*$C$5</f>
        <v>138944.7675</v>
      </c>
      <c r="AE17" s="31" t="n">
        <f aca="false">$F17*INDEX(Escenarios!$L$12:$L$36,MATCH($A17,Escenarios!$A$12:$A$36,0))*IF(AND($C17="INVAP",Inputs!$C$18="No"),0,1)*H17*$C$5</f>
        <v>15438.3075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154383.075</v>
      </c>
    </row>
    <row r="18" customFormat="false" ht="15" hidden="false" customHeight="false" outlineLevel="0" collapsed="false">
      <c r="A18" s="15" t="s">
        <v>83</v>
      </c>
      <c r="B18" s="4" t="s">
        <v>84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SUMIFS(Datos!$H$5:$H$291,Datos!$E$5:$E$291,$A18,Datos!$F$5:$F$291,"S4")</f>
        <v>695</v>
      </c>
      <c r="F18" s="31" t="n">
        <f aca="false">SUMIFS(Datos!$J$5:$J$291,Datos!$E$5:$E$291,$A18,Datos!$F$5:$F$291,"S4")</f>
        <v>159322.275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695</v>
      </c>
      <c r="L18" s="31" t="n">
        <f aca="false">$F18*INDEX(Escenarios!$I$12:$I$36,MATCH($A18,Escenarios!$A$12:$A$36,0))*IF(AND($C18="INVAP",Inputs!$C$18="No"),0,1)*G18*$C$5</f>
        <v>159322.275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159322.275</v>
      </c>
      <c r="Q18" s="31" t="n">
        <f aca="false">IF(INDEX(Escenarios!$J$12:$J$36,MATCH($A18,Escenarios!$A$12:$A$36,0))*IF(AND($C18="INVAP",Inputs!$C$18="No"),0,1)&gt;0,$E18*$C$5,0)</f>
        <v>695</v>
      </c>
      <c r="R18" s="31" t="n">
        <f aca="false">$F18*INDEX(Escenarios!$J$12:$J$36,MATCH($A18,Escenarios!$A$12:$A$36,0))*IF(AND($C18="INVAP",Inputs!$C$18="No"),0,1)*G18*$C$5</f>
        <v>159322.275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159322.275</v>
      </c>
      <c r="W18" s="31" t="n">
        <f aca="false">IF(INDEX(Escenarios!$K$12:$K$36,MATCH($A18,Escenarios!$A$12:$A$36,0))*IF(AND($C18="INVAP",Inputs!$C$18="No"),0,1)&gt;0,$E18*$C$5,0)</f>
        <v>695</v>
      </c>
      <c r="X18" s="31" t="n">
        <f aca="false">$F18*INDEX(Escenarios!$K$12:$K$36,MATCH($A18,Escenarios!$A$12:$A$36,0))*IF(AND($C18="INVAP",Inputs!$C$18="No"),0,1)*G18*$C$5</f>
        <v>159322.275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159322.275</v>
      </c>
      <c r="AC18" s="31" t="n">
        <f aca="false">IF(INDEX(Escenarios!$L$12:$L$36,MATCH($A18,Escenarios!$A$12:$A$36,0))*IF(AND($C18="INVAP",Inputs!$C$18="No"),0,1)&gt;0,$E18*$C$5,0)</f>
        <v>695</v>
      </c>
      <c r="AD18" s="31" t="n">
        <f aca="false">$F18*INDEX(Escenarios!$L$12:$L$36,MATCH($A18,Escenarios!$A$12:$A$36,0))*IF(AND($C18="INVAP",Inputs!$C$18="No"),0,1)*G18*$C$5</f>
        <v>159322.275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159322.275</v>
      </c>
    </row>
    <row r="19" customFormat="false" ht="15" hidden="false" customHeight="false" outlineLevel="0" collapsed="false">
      <c r="A19" s="15" t="s">
        <v>85</v>
      </c>
      <c r="B19" s="4" t="s">
        <v>86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SUMIFS(Datos!$H$5:$H$291,Datos!$E$5:$E$291,$A19,Datos!$F$5:$F$291,"S4")</f>
        <v>665</v>
      </c>
      <c r="F19" s="31" t="n">
        <f aca="false">SUMIFS(Datos!$J$5:$J$291,Datos!$E$5:$E$291,$A19,Datos!$F$5:$F$291,"S4")</f>
        <v>152615.4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665</v>
      </c>
      <c r="L19" s="31" t="n">
        <f aca="false">$F19*INDEX(Escenarios!$I$12:$I$36,MATCH($A19,Escenarios!$A$12:$A$36,0))*IF(AND($C19="INVAP",Inputs!$C$18="No"),0,1)*G19*$C$5</f>
        <v>152615.4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152615.4</v>
      </c>
      <c r="Q19" s="31" t="n">
        <f aca="false">IF(INDEX(Escenarios!$J$12:$J$36,MATCH($A19,Escenarios!$A$12:$A$36,0))*IF(AND($C19="INVAP",Inputs!$C$18="No"),0,1)&gt;0,$E19*$C$5,0)</f>
        <v>665</v>
      </c>
      <c r="R19" s="31" t="n">
        <f aca="false">$F19*INDEX(Escenarios!$J$12:$J$36,MATCH($A19,Escenarios!$A$12:$A$36,0))*IF(AND($C19="INVAP",Inputs!$C$18="No"),0,1)*G19*$C$5</f>
        <v>152615.4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152615.4</v>
      </c>
      <c r="W19" s="31" t="n">
        <f aca="false">IF(INDEX(Escenarios!$K$12:$K$36,MATCH($A19,Escenarios!$A$12:$A$36,0))*IF(AND($C19="INVAP",Inputs!$C$18="No"),0,1)&gt;0,$E19*$C$5,0)</f>
        <v>665</v>
      </c>
      <c r="X19" s="31" t="n">
        <f aca="false">$F19*INDEX(Escenarios!$K$12:$K$36,MATCH($A19,Escenarios!$A$12:$A$36,0))*IF(AND($C19="INVAP",Inputs!$C$18="No"),0,1)*G19*$C$5</f>
        <v>152615.4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152615.4</v>
      </c>
      <c r="AC19" s="31" t="n">
        <f aca="false">IF(INDEX(Escenarios!$L$12:$L$36,MATCH($A19,Escenarios!$A$12:$A$36,0))*IF(AND($C19="INVAP",Inputs!$C$18="No"),0,1)&gt;0,$E19*$C$5,0)</f>
        <v>665</v>
      </c>
      <c r="AD19" s="31" t="n">
        <f aca="false">$F19*INDEX(Escenarios!$L$12:$L$36,MATCH($A19,Escenarios!$A$12:$A$36,0))*IF(AND($C19="INVAP",Inputs!$C$18="No"),0,1)*G19*$C$5</f>
        <v>152615.4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152615.4</v>
      </c>
    </row>
    <row r="20" customFormat="false" ht="15" hidden="false" customHeight="false" outlineLevel="0" collapsed="false">
      <c r="A20" s="15" t="s">
        <v>87</v>
      </c>
      <c r="B20" s="4" t="s">
        <v>88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SUMIFS(Datos!$H$5:$H$291,Datos!$E$5:$E$291,$A20,Datos!$F$5:$F$291,"S4")</f>
        <v>735</v>
      </c>
      <c r="F20" s="31" t="n">
        <f aca="false">SUMIFS(Datos!$J$5:$J$291,Datos!$E$5:$E$291,$A20,Datos!$F$5:$F$291,"S4")</f>
        <v>170461.2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735</v>
      </c>
      <c r="L20" s="31" t="n">
        <f aca="false">$F20*INDEX(Escenarios!$I$12:$I$36,MATCH($A20,Escenarios!$A$12:$A$36,0))*IF(AND($C20="INVAP",Inputs!$C$18="No"),0,1)*G20*$C$5</f>
        <v>170461.2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170461.2</v>
      </c>
      <c r="Q20" s="31" t="n">
        <f aca="false">IF(INDEX(Escenarios!$J$12:$J$36,MATCH($A20,Escenarios!$A$12:$A$36,0))*IF(AND($C20="INVAP",Inputs!$C$18="No"),0,1)&gt;0,$E20*$C$5,0)</f>
        <v>735</v>
      </c>
      <c r="R20" s="31" t="n">
        <f aca="false">$F20*INDEX(Escenarios!$J$12:$J$36,MATCH($A20,Escenarios!$A$12:$A$36,0))*IF(AND($C20="INVAP",Inputs!$C$18="No"),0,1)*G20*$C$5</f>
        <v>170461.2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170461.2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89</v>
      </c>
      <c r="B21" s="4" t="s">
        <v>90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SUMIFS(Datos!$H$5:$H$291,Datos!$E$5:$E$291,$A21,Datos!$F$5:$F$291,"S4")</f>
        <v>575</v>
      </c>
      <c r="F21" s="31" t="n">
        <f aca="false">SUMIFS(Datos!$J$5:$J$291,Datos!$E$5:$E$291,$A21,Datos!$F$5:$F$291,"S4")</f>
        <v>129984.75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575</v>
      </c>
      <c r="L21" s="31" t="n">
        <f aca="false">$F21*INDEX(Escenarios!$I$12:$I$36,MATCH($A21,Escenarios!$A$12:$A$36,0))*IF(AND($C21="INVAP",Inputs!$C$18="No"),0,1)*G21*$C$5</f>
        <v>129984.75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129984.75</v>
      </c>
      <c r="Q21" s="31" t="n">
        <f aca="false">IF(INDEX(Escenarios!$J$12:$J$36,MATCH($A21,Escenarios!$A$12:$A$36,0))*IF(AND($C21="INVAP",Inputs!$C$18="No"),0,1)&gt;0,$E21*$C$5,0)</f>
        <v>575</v>
      </c>
      <c r="R21" s="31" t="n">
        <f aca="false">$F21*INDEX(Escenarios!$J$12:$J$36,MATCH($A21,Escenarios!$A$12:$A$36,0))*IF(AND($C21="INVAP",Inputs!$C$18="No"),0,1)*G21*$C$5</f>
        <v>129984.75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129984.75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91</v>
      </c>
      <c r="B22" s="4" t="s">
        <v>92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SUMIFS(Datos!$H$5:$H$291,Datos!$E$5:$E$291,$A22,Datos!$F$5:$F$291,"S4")</f>
        <v>595</v>
      </c>
      <c r="F22" s="31" t="n">
        <f aca="false">SUMIFS(Datos!$J$5:$J$291,Datos!$E$5:$E$291,$A22,Datos!$F$5:$F$291,"S4")</f>
        <v>137110.575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595</v>
      </c>
      <c r="L22" s="31" t="n">
        <f aca="false">$F22*INDEX(Escenarios!$I$12:$I$36,MATCH($A22,Escenarios!$A$12:$A$36,0))*IF(AND($C22="INVAP",Inputs!$C$18="No"),0,1)*G22*$C$5</f>
        <v>123399.5175</v>
      </c>
      <c r="M22" s="31" t="n">
        <f aca="false">$F22*INDEX(Escenarios!$I$12:$I$36,MATCH($A22,Escenarios!$A$12:$A$36,0))*IF(AND($C22="INVAP",Inputs!$C$18="No"),0,1)*H22*$C$5</f>
        <v>13711.0575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137110.575</v>
      </c>
      <c r="Q22" s="31" t="n">
        <f aca="false">IF(INDEX(Escenarios!$J$12:$J$36,MATCH($A22,Escenarios!$A$12:$A$36,0))*IF(AND($C22="INVAP",Inputs!$C$18="No"),0,1)&gt;0,$E22*$C$5,0)</f>
        <v>595</v>
      </c>
      <c r="R22" s="31" t="n">
        <f aca="false">$F22*INDEX(Escenarios!$J$12:$J$36,MATCH($A22,Escenarios!$A$12:$A$36,0))*IF(AND($C22="INVAP",Inputs!$C$18="No"),0,1)*G22*$C$5</f>
        <v>123399.5175</v>
      </c>
      <c r="S22" s="31" t="n">
        <f aca="false">$F22*INDEX(Escenarios!$J$12:$J$36,MATCH($A22,Escenarios!$A$12:$A$36,0))*IF(AND($C22="INVAP",Inputs!$C$18="No"),0,1)*H22*$C$5</f>
        <v>13711.0575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137110.575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93</v>
      </c>
      <c r="B23" s="4" t="s">
        <v>94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SUMIFS(Datos!$H$5:$H$291,Datos!$E$5:$E$291,$A23,Datos!$F$5:$F$291,"S4")</f>
        <v>815</v>
      </c>
      <c r="F23" s="31" t="n">
        <f aca="false">SUMIFS(Datos!$J$5:$J$291,Datos!$E$5:$E$291,$A23,Datos!$F$5:$F$291,"S4")</f>
        <v>187292.7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815</v>
      </c>
      <c r="L23" s="31" t="n">
        <f aca="false">$F23*INDEX(Escenarios!$I$12:$I$36,MATCH($A23,Escenarios!$A$12:$A$36,0))*IF(AND($C23="INVAP",Inputs!$C$18="No"),0,1)*G23*$C$5</f>
        <v>168563.43</v>
      </c>
      <c r="M23" s="31" t="n">
        <f aca="false">$F23*INDEX(Escenarios!$I$12:$I$36,MATCH($A23,Escenarios!$A$12:$A$36,0))*IF(AND($C23="INVAP",Inputs!$C$18="No"),0,1)*H23*$C$5</f>
        <v>18729.27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187292.7</v>
      </c>
      <c r="Q23" s="31" t="n">
        <f aca="false">IF(INDEX(Escenarios!$J$12:$J$36,MATCH($A23,Escenarios!$A$12:$A$36,0))*IF(AND($C23="INVAP",Inputs!$C$18="No"),0,1)&gt;0,$E23*$C$5,0)</f>
        <v>815</v>
      </c>
      <c r="R23" s="31" t="n">
        <f aca="false">$F23*INDEX(Escenarios!$J$12:$J$36,MATCH($A23,Escenarios!$A$12:$A$36,0))*IF(AND($C23="INVAP",Inputs!$C$18="No"),0,1)*G23*$C$5</f>
        <v>168563.43</v>
      </c>
      <c r="S23" s="31" t="n">
        <f aca="false">$F23*INDEX(Escenarios!$J$12:$J$36,MATCH($A23,Escenarios!$A$12:$A$36,0))*IF(AND($C23="INVAP",Inputs!$C$18="No"),0,1)*H23*$C$5</f>
        <v>18729.27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187292.7</v>
      </c>
      <c r="W23" s="31" t="n">
        <f aca="false">IF(INDEX(Escenarios!$K$12:$K$36,MATCH($A23,Escenarios!$A$12:$A$36,0))*IF(AND($C23="INVAP",Inputs!$C$18="No"),0,1)&gt;0,$E23*$C$5,0)</f>
        <v>815</v>
      </c>
      <c r="X23" s="31" t="n">
        <f aca="false">$F23*INDEX(Escenarios!$K$12:$K$36,MATCH($A23,Escenarios!$A$12:$A$36,0))*IF(AND($C23="INVAP",Inputs!$C$18="No"),0,1)*G23*$C$5</f>
        <v>168563.43</v>
      </c>
      <c r="Y23" s="31" t="n">
        <f aca="false">$F23*INDEX(Escenarios!$K$12:$K$36,MATCH($A23,Escenarios!$A$12:$A$36,0))*IF(AND($C23="INVAP",Inputs!$C$18="No"),0,1)*H23*$C$5</f>
        <v>18729.27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187292.7</v>
      </c>
      <c r="AC23" s="31" t="n">
        <f aca="false">IF(INDEX(Escenarios!$L$12:$L$36,MATCH($A23,Escenarios!$A$12:$A$36,0))*IF(AND($C23="INVAP",Inputs!$C$18="No"),0,1)&gt;0,$E23*$C$5,0)</f>
        <v>815</v>
      </c>
      <c r="AD23" s="31" t="n">
        <f aca="false">$F23*INDEX(Escenarios!$L$12:$L$36,MATCH($A23,Escenarios!$A$12:$A$36,0))*IF(AND($C23="INVAP",Inputs!$C$18="No"),0,1)*G23*$C$5</f>
        <v>168563.43</v>
      </c>
      <c r="AE23" s="31" t="n">
        <f aca="false">$F23*INDEX(Escenarios!$L$12:$L$36,MATCH($A23,Escenarios!$A$12:$A$36,0))*IF(AND($C23="INVAP",Inputs!$C$18="No"),0,1)*H23*$C$5</f>
        <v>18729.27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187292.7</v>
      </c>
    </row>
    <row r="24" customFormat="false" ht="15" hidden="false" customHeight="false" outlineLevel="0" collapsed="false">
      <c r="A24" s="15" t="s">
        <v>95</v>
      </c>
      <c r="B24" s="4" t="s">
        <v>96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SUMIFS(Datos!$H$5:$H$291,Datos!$E$5:$E$291,$A24,Datos!$F$5:$F$291,"S4")</f>
        <v>400</v>
      </c>
      <c r="F24" s="31" t="n">
        <f aca="false">SUMIFS(Datos!$J$5:$J$291,Datos!$E$5:$E$291,$A24,Datos!$F$5:$F$291,"S4")</f>
        <v>92727.6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400</v>
      </c>
      <c r="L24" s="31" t="n">
        <f aca="false">$F24*INDEX(Escenarios!$I$12:$I$36,MATCH($A24,Escenarios!$A$12:$A$36,0))*IF(AND($C24="INVAP",Inputs!$C$18="No"),0,1)*G24*$C$5</f>
        <v>83454.84</v>
      </c>
      <c r="M24" s="31" t="n">
        <f aca="false">$F24*INDEX(Escenarios!$I$12:$I$36,MATCH($A24,Escenarios!$A$12:$A$36,0))*IF(AND($C24="INVAP",Inputs!$C$18="No"),0,1)*H24*$C$5</f>
        <v>9272.76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92727.6</v>
      </c>
      <c r="Q24" s="31" t="n">
        <f aca="false">IF(INDEX(Escenarios!$J$12:$J$36,MATCH($A24,Escenarios!$A$12:$A$36,0))*IF(AND($C24="INVAP",Inputs!$C$18="No"),0,1)&gt;0,$E24*$C$5,0)</f>
        <v>400</v>
      </c>
      <c r="R24" s="31" t="n">
        <f aca="false">$F24*INDEX(Escenarios!$J$12:$J$36,MATCH($A24,Escenarios!$A$12:$A$36,0))*IF(AND($C24="INVAP",Inputs!$C$18="No"),0,1)*G24*$C$5</f>
        <v>83454.84</v>
      </c>
      <c r="S24" s="31" t="n">
        <f aca="false">$F24*INDEX(Escenarios!$J$12:$J$36,MATCH($A24,Escenarios!$A$12:$A$36,0))*IF(AND($C24="INVAP",Inputs!$C$18="No"),0,1)*H24*$C$5</f>
        <v>9272.76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92727.6</v>
      </c>
      <c r="W24" s="31" t="n">
        <f aca="false">IF(INDEX(Escenarios!$K$12:$K$36,MATCH($A24,Escenarios!$A$12:$A$36,0))*IF(AND($C24="INVAP",Inputs!$C$18="No"),0,1)&gt;0,$E24*$C$5,0)</f>
        <v>400</v>
      </c>
      <c r="X24" s="31" t="n">
        <f aca="false">$F24*INDEX(Escenarios!$K$12:$K$36,MATCH($A24,Escenarios!$A$12:$A$36,0))*IF(AND($C24="INVAP",Inputs!$C$18="No"),0,1)*G24*$C$5</f>
        <v>83454.84</v>
      </c>
      <c r="Y24" s="31" t="n">
        <f aca="false">$F24*INDEX(Escenarios!$K$12:$K$36,MATCH($A24,Escenarios!$A$12:$A$36,0))*IF(AND($C24="INVAP",Inputs!$C$18="No"),0,1)*H24*$C$5</f>
        <v>9272.76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92727.6</v>
      </c>
      <c r="AC24" s="31" t="n">
        <f aca="false">IF(INDEX(Escenarios!$L$12:$L$36,MATCH($A24,Escenarios!$A$12:$A$36,0))*IF(AND($C24="INVAP",Inputs!$C$18="No"),0,1)&gt;0,$E24*$C$5,0)</f>
        <v>400</v>
      </c>
      <c r="AD24" s="31" t="n">
        <f aca="false">$F24*INDEX(Escenarios!$L$12:$L$36,MATCH($A24,Escenarios!$A$12:$A$36,0))*IF(AND($C24="INVAP",Inputs!$C$18="No"),0,1)*G24*$C$5</f>
        <v>83454.84</v>
      </c>
      <c r="AE24" s="31" t="n">
        <f aca="false">$F24*INDEX(Escenarios!$L$12:$L$36,MATCH($A24,Escenarios!$A$12:$A$36,0))*IF(AND($C24="INVAP",Inputs!$C$18="No"),0,1)*H24*$C$5</f>
        <v>9272.76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92727.6</v>
      </c>
    </row>
    <row r="25" customFormat="false" ht="15" hidden="false" customHeight="false" outlineLevel="0" collapsed="false">
      <c r="A25" s="15" t="s">
        <v>97</v>
      </c>
      <c r="B25" s="4" t="s">
        <v>98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SUMIFS(Datos!$H$5:$H$291,Datos!$E$5:$E$291,$A25,Datos!$F$5:$F$291,"S4")</f>
        <v>0</v>
      </c>
      <c r="F25" s="31" t="n">
        <f aca="false">SUMIFS(Datos!$J$5:$J$291,Datos!$E$5:$E$291,$A25,Datos!$F$5:$F$291,"S4")</f>
        <v>0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0</v>
      </c>
      <c r="L25" s="31" t="n">
        <f aca="false">$F25*INDEX(Escenarios!$I$12:$I$36,MATCH($A25,Escenarios!$A$12:$A$36,0))*IF(AND($C25="INVAP",Inputs!$C$18="No"),0,1)*G25*$C$5</f>
        <v>0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0</v>
      </c>
      <c r="Q25" s="31" t="n">
        <f aca="false">IF(INDEX(Escenarios!$J$12:$J$36,MATCH($A25,Escenarios!$A$12:$A$36,0))*IF(AND($C25="INVAP",Inputs!$C$18="No"),0,1)&gt;0,$E25*$C$5,0)</f>
        <v>0</v>
      </c>
      <c r="R25" s="31" t="n">
        <f aca="false">$F25*INDEX(Escenarios!$J$12:$J$36,MATCH($A25,Escenarios!$A$12:$A$36,0))*IF(AND($C25="INVAP",Inputs!$C$18="No"),0,1)*G25*$C$5</f>
        <v>0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0</v>
      </c>
      <c r="W25" s="31" t="n">
        <f aca="false">IF(INDEX(Escenarios!$K$12:$K$36,MATCH($A25,Escenarios!$A$12:$A$36,0))*IF(AND($C25="INVAP",Inputs!$C$18="No"),0,1)&gt;0,$E25*$C$5,0)</f>
        <v>0</v>
      </c>
      <c r="X25" s="31" t="n">
        <f aca="false">$F25*INDEX(Escenarios!$K$12:$K$36,MATCH($A25,Escenarios!$A$12:$A$36,0))*IF(AND($C25="INVAP",Inputs!$C$18="No"),0,1)*G25*$C$5</f>
        <v>0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0</v>
      </c>
      <c r="AC25" s="31" t="n">
        <f aca="false">IF(INDEX(Escenarios!$L$12:$L$36,MATCH($A25,Escenarios!$A$12:$A$36,0))*IF(AND($C25="INVAP",Inputs!$C$18="No"),0,1)&gt;0,$E25*$C$5,0)</f>
        <v>0</v>
      </c>
      <c r="AD25" s="31" t="n">
        <f aca="false">$F25*INDEX(Escenarios!$L$12:$L$36,MATCH($A25,Escenarios!$A$12:$A$36,0))*IF(AND($C25="INVAP",Inputs!$C$18="No"),0,1)*G25*$C$5</f>
        <v>0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0</v>
      </c>
    </row>
    <row r="26" customFormat="false" ht="15" hidden="false" customHeight="false" outlineLevel="0" collapsed="false">
      <c r="A26" s="15" t="s">
        <v>99</v>
      </c>
      <c r="B26" s="4" t="s">
        <v>100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SUMIFS(Datos!$H$5:$H$291,Datos!$E$5:$E$291,$A26,Datos!$F$5:$F$291,"S4")</f>
        <v>565</v>
      </c>
      <c r="F26" s="31" t="n">
        <f aca="false">SUMIFS(Datos!$J$5:$J$291,Datos!$E$5:$E$291,$A26,Datos!$F$5:$F$291,"S4")</f>
        <v>130973.325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565</v>
      </c>
      <c r="L26" s="31" t="n">
        <f aca="false">$F26*INDEX(Escenarios!$I$12:$I$36,MATCH($A26,Escenarios!$A$12:$A$36,0))*IF(AND($C26="INVAP",Inputs!$C$18="No"),0,1)*G26*$C$5</f>
        <v>117875.9925</v>
      </c>
      <c r="M26" s="31" t="n">
        <f aca="false">$F26*INDEX(Escenarios!$I$12:$I$36,MATCH($A26,Escenarios!$A$12:$A$36,0))*IF(AND($C26="INVAP",Inputs!$C$18="No"),0,1)*H26*$C$5</f>
        <v>13097.3325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130973.325</v>
      </c>
      <c r="Q26" s="31" t="n">
        <f aca="false">IF(INDEX(Escenarios!$J$12:$J$36,MATCH($A26,Escenarios!$A$12:$A$36,0))*IF(AND($C26="INVAP",Inputs!$C$18="No"),0,1)&gt;0,$E26*$C$5,0)</f>
        <v>565</v>
      </c>
      <c r="R26" s="31" t="n">
        <f aca="false">$F26*INDEX(Escenarios!$J$12:$J$36,MATCH($A26,Escenarios!$A$12:$A$36,0))*IF(AND($C26="INVAP",Inputs!$C$18="No"),0,1)*G26*$C$5</f>
        <v>117875.9925</v>
      </c>
      <c r="S26" s="31" t="n">
        <f aca="false">$F26*INDEX(Escenarios!$J$12:$J$36,MATCH($A26,Escenarios!$A$12:$A$36,0))*IF(AND($C26="INVAP",Inputs!$C$18="No"),0,1)*H26*$C$5</f>
        <v>13097.3325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130973.325</v>
      </c>
      <c r="W26" s="31" t="n">
        <f aca="false">IF(INDEX(Escenarios!$K$12:$K$36,MATCH($A26,Escenarios!$A$12:$A$36,0))*IF(AND($C26="INVAP",Inputs!$C$18="No"),0,1)&gt;0,$E26*$C$5,0)</f>
        <v>565</v>
      </c>
      <c r="X26" s="31" t="n">
        <f aca="false">$F26*INDEX(Escenarios!$K$12:$K$36,MATCH($A26,Escenarios!$A$12:$A$36,0))*IF(AND($C26="INVAP",Inputs!$C$18="No"),0,1)*G26*$C$5</f>
        <v>117875.9925</v>
      </c>
      <c r="Y26" s="31" t="n">
        <f aca="false">$F26*INDEX(Escenarios!$K$12:$K$36,MATCH($A26,Escenarios!$A$12:$A$36,0))*IF(AND($C26="INVAP",Inputs!$C$18="No"),0,1)*H26*$C$5</f>
        <v>13097.3325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130973.325</v>
      </c>
      <c r="AC26" s="31" t="n">
        <f aca="false">IF(INDEX(Escenarios!$L$12:$L$36,MATCH($A26,Escenarios!$A$12:$A$36,0))*IF(AND($C26="INVAP",Inputs!$C$18="No"),0,1)&gt;0,$E26*$C$5,0)</f>
        <v>565</v>
      </c>
      <c r="AD26" s="31" t="n">
        <f aca="false">$F26*INDEX(Escenarios!$L$12:$L$36,MATCH($A26,Escenarios!$A$12:$A$36,0))*IF(AND($C26="INVAP",Inputs!$C$18="No"),0,1)*G26*$C$5</f>
        <v>117875.9925</v>
      </c>
      <c r="AE26" s="31" t="n">
        <f aca="false">$F26*INDEX(Escenarios!$L$12:$L$36,MATCH($A26,Escenarios!$A$12:$A$36,0))*IF(AND($C26="INVAP",Inputs!$C$18="No"),0,1)*H26*$C$5</f>
        <v>13097.3325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130973.325</v>
      </c>
    </row>
    <row r="27" customFormat="false" ht="15" hidden="false" customHeight="false" outlineLevel="0" collapsed="false">
      <c r="A27" s="15" t="s">
        <v>101</v>
      </c>
      <c r="B27" s="4" t="s">
        <v>102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SUMIFS(Datos!$H$5:$H$291,Datos!$E$5:$E$291,$A27,Datos!$F$5:$F$291,"S4")</f>
        <v>0</v>
      </c>
      <c r="F27" s="31" t="n">
        <f aca="false">SUMIFS(Datos!$J$5:$J$291,Datos!$E$5:$E$291,$A27,Datos!$F$5:$F$291,"S4")</f>
        <v>0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0</v>
      </c>
      <c r="L27" s="31" t="n">
        <f aca="false">$F27*INDEX(Escenarios!$I$12:$I$36,MATCH($A27,Escenarios!$A$12:$A$36,0))*IF(AND($C27="INVAP",Inputs!$C$18="No"),0,1)*G27*$C$5</f>
        <v>0</v>
      </c>
      <c r="M27" s="31" t="n">
        <f aca="false">$F27*INDEX(Escenarios!$I$12:$I$36,MATCH($A27,Escenarios!$A$12:$A$36,0))*IF(AND($C27="INVAP",Inputs!$C$18="No"),0,1)*H27*$C$5</f>
        <v>0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0</v>
      </c>
      <c r="Q27" s="31" t="n">
        <f aca="false">IF(INDEX(Escenarios!$J$12:$J$36,MATCH($A27,Escenarios!$A$12:$A$36,0))*IF(AND($C27="INVAP",Inputs!$C$18="No"),0,1)&gt;0,$E27*$C$5,0)</f>
        <v>0</v>
      </c>
      <c r="R27" s="31" t="n">
        <f aca="false">$F27*INDEX(Escenarios!$J$12:$J$36,MATCH($A27,Escenarios!$A$12:$A$36,0))*IF(AND($C27="INVAP",Inputs!$C$18="No"),0,1)*G27*$C$5</f>
        <v>0</v>
      </c>
      <c r="S27" s="31" t="n">
        <f aca="false">$F27*INDEX(Escenarios!$J$12:$J$36,MATCH($A27,Escenarios!$A$12:$A$36,0))*IF(AND($C27="INVAP",Inputs!$C$18="No"),0,1)*H27*$C$5</f>
        <v>0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0</v>
      </c>
      <c r="W27" s="31" t="n">
        <f aca="false">IF(INDEX(Escenarios!$K$12:$K$36,MATCH($A27,Escenarios!$A$12:$A$36,0))*IF(AND($C27="INVAP",Inputs!$C$18="No"),0,1)&gt;0,$E27*$C$5,0)</f>
        <v>0</v>
      </c>
      <c r="X27" s="31" t="n">
        <f aca="false">$F27*INDEX(Escenarios!$K$12:$K$36,MATCH($A27,Escenarios!$A$12:$A$36,0))*IF(AND($C27="INVAP",Inputs!$C$18="No"),0,1)*G27*$C$5</f>
        <v>0</v>
      </c>
      <c r="Y27" s="31" t="n">
        <f aca="false">$F27*INDEX(Escenarios!$K$12:$K$36,MATCH($A27,Escenarios!$A$12:$A$36,0))*IF(AND($C27="INVAP",Inputs!$C$18="No"),0,1)*H27*$C$5</f>
        <v>0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0</v>
      </c>
      <c r="AC27" s="31" t="n">
        <f aca="false">IF(INDEX(Escenarios!$L$12:$L$36,MATCH($A27,Escenarios!$A$12:$A$36,0))*IF(AND($C27="INVAP",Inputs!$C$18="No"),0,1)&gt;0,$E27*$C$5,0)</f>
        <v>0</v>
      </c>
      <c r="AD27" s="31" t="n">
        <f aca="false">$F27*INDEX(Escenarios!$L$12:$L$36,MATCH($A27,Escenarios!$A$12:$A$36,0))*IF(AND($C27="INVAP",Inputs!$C$18="No"),0,1)*G27*$C$5</f>
        <v>0</v>
      </c>
      <c r="AE27" s="31" t="n">
        <f aca="false">$F27*INDEX(Escenarios!$L$12:$L$36,MATCH($A27,Escenarios!$A$12:$A$36,0))*IF(AND($C27="INVAP",Inputs!$C$18="No"),0,1)*H27*$C$5</f>
        <v>0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0</v>
      </c>
    </row>
    <row r="28" customFormat="false" ht="15" hidden="false" customHeight="false" outlineLevel="0" collapsed="false">
      <c r="A28" s="15" t="s">
        <v>103</v>
      </c>
      <c r="B28" s="4" t="s">
        <v>104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SUMIFS(Datos!$H$5:$H$291,Datos!$E$5:$E$291,$A28,Datos!$F$5:$F$291,"S4")</f>
        <v>0</v>
      </c>
      <c r="F28" s="31" t="n">
        <f aca="false">SUMIFS(Datos!$J$5:$J$291,Datos!$E$5:$E$291,$A28,Datos!$F$5:$F$291,"S4")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105</v>
      </c>
      <c r="B29" s="4" t="s">
        <v>106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SUMIFS(Datos!$H$5:$H$291,Datos!$E$5:$E$291,$A29,Datos!$F$5:$F$291,"S4")</f>
        <v>0</v>
      </c>
      <c r="F29" s="31" t="n">
        <f aca="false">SUMIFS(Datos!$J$5:$J$291,Datos!$E$5:$E$291,$A29,Datos!$F$5:$F$291,"S4")</f>
        <v>0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0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0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0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0</v>
      </c>
    </row>
    <row r="30" customFormat="false" ht="15" hidden="false" customHeight="false" outlineLevel="0" collapsed="false">
      <c r="A30" s="15" t="s">
        <v>107</v>
      </c>
      <c r="B30" s="4" t="s">
        <v>108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SUMIFS(Datos!$H$5:$H$291,Datos!$E$5:$E$291,$A30,Datos!$F$5:$F$291,"S4")</f>
        <v>630</v>
      </c>
      <c r="F30" s="31" t="n">
        <f aca="false">SUMIFS(Datos!$J$5:$J$291,Datos!$E$5:$E$291,$A30,Datos!$F$5:$F$291,"S4")</f>
        <v>145416.075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630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145416.075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145416.075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630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72708.0375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72708.0375</v>
      </c>
    </row>
    <row r="31" customFormat="false" ht="15" hidden="false" customHeight="false" outlineLevel="0" collapsed="false">
      <c r="A31" s="15" t="s">
        <v>109</v>
      </c>
      <c r="B31" s="4" t="s">
        <v>110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SUMIFS(Datos!$H$5:$H$291,Datos!$E$5:$E$291,$A31,Datos!$F$5:$F$291,"S4")</f>
        <v>597</v>
      </c>
      <c r="F31" s="31" t="n">
        <f aca="false">SUMIFS(Datos!$J$5:$J$291,Datos!$E$5:$E$291,$A31,Datos!$F$5:$F$291,"S4")</f>
        <v>135672.18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597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135672.18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135672.18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597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67836.09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67836.09</v>
      </c>
    </row>
    <row r="32" customFormat="false" ht="15" hidden="false" customHeight="false" outlineLevel="0" collapsed="false">
      <c r="A32" s="15" t="s">
        <v>111</v>
      </c>
      <c r="B32" s="4" t="s">
        <v>112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SUMIFS(Datos!$H$5:$H$291,Datos!$E$5:$E$291,$A32,Datos!$F$5:$F$291,"S4")</f>
        <v>660</v>
      </c>
      <c r="F32" s="31" t="n">
        <f aca="false">SUMIFS(Datos!$J$5:$J$291,Datos!$E$5:$E$291,$A32,Datos!$F$5:$F$291,"S4")</f>
        <v>152016.375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660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152016.375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152016.375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660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76008.1875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76008.1875</v>
      </c>
    </row>
    <row r="33" customFormat="false" ht="15" hidden="false" customHeight="false" outlineLevel="0" collapsed="false">
      <c r="A33" s="34"/>
      <c r="B33" s="35" t="s">
        <v>126</v>
      </c>
      <c r="C33" s="34"/>
      <c r="D33" s="34"/>
      <c r="E33" s="36" t="n">
        <f aca="false">SUM(E8:E32)</f>
        <v>13842</v>
      </c>
      <c r="F33" s="36" t="n">
        <f aca="false">SUM(F8:F32)</f>
        <v>3183882.555</v>
      </c>
      <c r="G33" s="34"/>
      <c r="H33" s="34"/>
      <c r="I33" s="34"/>
      <c r="J33" s="34"/>
      <c r="K33" s="36" t="n">
        <f aca="false">SUM(K8:K32)</f>
        <v>13842</v>
      </c>
      <c r="L33" s="36" t="n">
        <f aca="false">SUM(L8:L32)</f>
        <v>2599061.43</v>
      </c>
      <c r="M33" s="36" t="n">
        <f aca="false">SUM(M8:M32)</f>
        <v>584821.125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3183882.555</v>
      </c>
      <c r="Q33" s="36" t="n">
        <f aca="false">SUM(Q8:Q32)</f>
        <v>11955</v>
      </c>
      <c r="R33" s="36" t="n">
        <f aca="false">SUM(R8:R32)</f>
        <v>2599061.43</v>
      </c>
      <c r="S33" s="36" t="n">
        <f aca="false">SUM(S8:S32)</f>
        <v>151716.495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2750777.925</v>
      </c>
      <c r="W33" s="36" t="n">
        <f aca="false">SUM(W8:W32)</f>
        <v>10050</v>
      </c>
      <c r="X33" s="36" t="n">
        <f aca="false">SUM(X8:X32)</f>
        <v>2175215.9625</v>
      </c>
      <c r="Y33" s="36" t="n">
        <f aca="false">SUM(Y8:Y32)</f>
        <v>138005.4375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2313221.4</v>
      </c>
      <c r="AC33" s="36" t="n">
        <f aca="false">SUM(AC8:AC32)</f>
        <v>11937</v>
      </c>
      <c r="AD33" s="36" t="n">
        <f aca="false">SUM(AD8:AD32)</f>
        <v>2175215.9625</v>
      </c>
      <c r="AE33" s="36" t="n">
        <f aca="false">SUM(AE8:AE32)</f>
        <v>354557.7525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2529773.715</v>
      </c>
    </row>
    <row r="34" customFormat="false" ht="15" hidden="false" customHeight="false" outlineLevel="0" collapsed="false">
      <c r="B34" s="37" t="s">
        <v>123</v>
      </c>
      <c r="L34" s="38" t="n">
        <v>0</v>
      </c>
      <c r="M34" s="38" t="n">
        <v>0</v>
      </c>
      <c r="N34" s="38" t="n">
        <v>0</v>
      </c>
      <c r="O34" s="38" t="n">
        <v>0</v>
      </c>
      <c r="P34" s="38" t="n">
        <v>0</v>
      </c>
      <c r="R34" s="38" t="n">
        <v>0</v>
      </c>
      <c r="S34" s="38" t="n">
        <v>0</v>
      </c>
      <c r="T34" s="38" t="n">
        <v>0</v>
      </c>
      <c r="U34" s="38" t="n">
        <v>0</v>
      </c>
      <c r="V34" s="38" t="n">
        <v>0</v>
      </c>
      <c r="X34" s="38" t="n">
        <v>0</v>
      </c>
      <c r="Y34" s="38" t="n">
        <v>0</v>
      </c>
      <c r="Z34" s="38" t="n">
        <v>0</v>
      </c>
      <c r="AA34" s="38" t="n">
        <v>0</v>
      </c>
      <c r="AB34" s="38" t="n">
        <v>0</v>
      </c>
      <c r="AD34" s="38" t="n">
        <v>0</v>
      </c>
      <c r="AE34" s="38" t="n">
        <v>0</v>
      </c>
      <c r="AF34" s="38" t="n">
        <v>0</v>
      </c>
      <c r="AG34" s="38" t="n">
        <v>0</v>
      </c>
      <c r="AH34" s="38" t="n">
        <v>0</v>
      </c>
    </row>
    <row r="35" customFormat="false" ht="15" hidden="false" customHeight="false" outlineLevel="0" collapsed="false">
      <c r="A35" s="39"/>
      <c r="B35" s="3" t="s">
        <v>127</v>
      </c>
      <c r="C35" s="39"/>
      <c r="D35" s="39"/>
      <c r="E35" s="40" t="n">
        <f aca="false">E33</f>
        <v>13842</v>
      </c>
      <c r="F35" s="40" t="n">
        <f aca="false">F33</f>
        <v>3183882.555</v>
      </c>
      <c r="G35" s="39"/>
      <c r="H35" s="39"/>
      <c r="I35" s="39"/>
      <c r="J35" s="39"/>
      <c r="K35" s="40" t="n">
        <f aca="false">K33</f>
        <v>13842</v>
      </c>
      <c r="L35" s="40" t="n">
        <f aca="false">L33+L34</f>
        <v>2599061.43</v>
      </c>
      <c r="M35" s="40" t="n">
        <f aca="false">M33+M34</f>
        <v>584821.125</v>
      </c>
      <c r="N35" s="40" t="n">
        <f aca="false">N33+N34</f>
        <v>0</v>
      </c>
      <c r="O35" s="40" t="n">
        <f aca="false">O33+O34</f>
        <v>0</v>
      </c>
      <c r="P35" s="40" t="n">
        <f aca="false">P33+P34</f>
        <v>3183882.555</v>
      </c>
      <c r="Q35" s="40" t="n">
        <f aca="false">Q33</f>
        <v>11955</v>
      </c>
      <c r="R35" s="40" t="n">
        <f aca="false">R33+R34</f>
        <v>2599061.43</v>
      </c>
      <c r="S35" s="40" t="n">
        <f aca="false">S33+S34</f>
        <v>151716.495</v>
      </c>
      <c r="T35" s="40" t="n">
        <f aca="false">T33+T34</f>
        <v>0</v>
      </c>
      <c r="U35" s="40" t="n">
        <f aca="false">U33+U34</f>
        <v>0</v>
      </c>
      <c r="V35" s="40" t="n">
        <f aca="false">V33+V34</f>
        <v>2750777.925</v>
      </c>
      <c r="W35" s="40" t="n">
        <f aca="false">W33</f>
        <v>10050</v>
      </c>
      <c r="X35" s="40" t="n">
        <f aca="false">X33+X34</f>
        <v>2175215.9625</v>
      </c>
      <c r="Y35" s="40" t="n">
        <f aca="false">Y33+Y34</f>
        <v>138005.4375</v>
      </c>
      <c r="Z35" s="40" t="n">
        <f aca="false">Z33+Z34</f>
        <v>0</v>
      </c>
      <c r="AA35" s="40" t="n">
        <f aca="false">AA33+AA34</f>
        <v>0</v>
      </c>
      <c r="AB35" s="40" t="n">
        <f aca="false">AB33+AB34</f>
        <v>2313221.4</v>
      </c>
      <c r="AC35" s="40" t="n">
        <f aca="false">AC33</f>
        <v>11937</v>
      </c>
      <c r="AD35" s="40" t="n">
        <f aca="false">AD33+AD34</f>
        <v>2175215.9625</v>
      </c>
      <c r="AE35" s="40" t="n">
        <f aca="false">AE33+AE34</f>
        <v>354557.7525</v>
      </c>
      <c r="AF35" s="40" t="n">
        <f aca="false">AF33+AF34</f>
        <v>0</v>
      </c>
      <c r="AG35" s="40" t="n">
        <f aca="false">AG33+AG34</f>
        <v>0</v>
      </c>
      <c r="AH35" s="40" t="n">
        <f aca="false">AH33+AH34</f>
        <v>2529773.715</v>
      </c>
    </row>
    <row r="37" customFormat="false" ht="15" hidden="false" customHeight="false" outlineLevel="0" collapsed="false">
      <c r="B37" s="2" t="s">
        <v>115</v>
      </c>
      <c r="F37" s="41" t="n">
        <f aca="false">SUM(G37:J37)</f>
        <v>3183882.555</v>
      </c>
      <c r="G37" s="41" t="n">
        <f aca="false">SUMPRODUCT($F$8:$F$32,G$8:G$32)</f>
        <v>2599061.43</v>
      </c>
      <c r="H37" s="41" t="n">
        <f aca="false">SUMPRODUCT($F$8:$F$32,H$8:H$32)</f>
        <v>584821.125</v>
      </c>
      <c r="I37" s="41" t="n">
        <f aca="false">SUMPRODUCT($F$8:$F$32,I$8:I$32)</f>
        <v>0</v>
      </c>
      <c r="J37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128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5" customFormat="false" ht="15" hidden="false" customHeight="false" outlineLevel="0" collapsed="false">
      <c r="B5" s="15" t="s">
        <v>44</v>
      </c>
      <c r="C5" s="18" t="n">
        <f aca="false">IF(Inputs!$C$10="Todas las etapas",Inputs!$C$9,IF(AND(Inputs!$C$10="Solo diseño (S1–S5)",5&lt;=5),Inputs!$C$9,IF(AND(Inputs!$C$10="Solo lump sum (S1–S3)",5&lt;=3),Inputs!$C$9,1)))</f>
        <v>1</v>
      </c>
      <c r="D5" s="17" t="str">
        <f aca="false">Inputs!$C$7&amp;" loops"</f>
        <v>3 loops</v>
      </c>
      <c r="E5" s="2" t="s">
        <v>45</v>
      </c>
    </row>
    <row r="6" customFormat="false" ht="15" hidden="false" customHeight="false" outlineLevel="0" collapsed="false">
      <c r="A6" s="19" t="s">
        <v>46</v>
      </c>
      <c r="B6" s="19"/>
      <c r="C6" s="19"/>
      <c r="D6" s="19"/>
      <c r="E6" s="19"/>
      <c r="F6" s="19"/>
      <c r="G6" s="19" t="s">
        <v>47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48</v>
      </c>
      <c r="B7" s="23" t="s">
        <v>49</v>
      </c>
      <c r="C7" s="23" t="s">
        <v>50</v>
      </c>
      <c r="D7" s="23" t="s">
        <v>51</v>
      </c>
      <c r="E7" s="23" t="s">
        <v>52</v>
      </c>
      <c r="F7" s="23" t="s">
        <v>53</v>
      </c>
      <c r="G7" s="23" t="s">
        <v>54</v>
      </c>
      <c r="H7" s="23" t="s">
        <v>55</v>
      </c>
      <c r="I7" s="23" t="s">
        <v>56</v>
      </c>
      <c r="J7" s="23" t="s">
        <v>57</v>
      </c>
      <c r="K7" s="24" t="s">
        <v>58</v>
      </c>
      <c r="L7" s="25" t="s">
        <v>29</v>
      </c>
      <c r="M7" s="26" t="s">
        <v>59</v>
      </c>
      <c r="N7" s="27" t="s">
        <v>60</v>
      </c>
      <c r="O7" s="28" t="s">
        <v>61</v>
      </c>
      <c r="P7" s="24" t="s">
        <v>62</v>
      </c>
      <c r="Q7" s="24" t="s">
        <v>58</v>
      </c>
      <c r="R7" s="25" t="s">
        <v>29</v>
      </c>
      <c r="S7" s="26" t="s">
        <v>59</v>
      </c>
      <c r="T7" s="27" t="s">
        <v>60</v>
      </c>
      <c r="U7" s="28" t="s">
        <v>61</v>
      </c>
      <c r="V7" s="24" t="s">
        <v>62</v>
      </c>
      <c r="W7" s="24" t="s">
        <v>58</v>
      </c>
      <c r="X7" s="25" t="s">
        <v>29</v>
      </c>
      <c r="Y7" s="26" t="s">
        <v>59</v>
      </c>
      <c r="Z7" s="27" t="s">
        <v>60</v>
      </c>
      <c r="AA7" s="28" t="s">
        <v>61</v>
      </c>
      <c r="AB7" s="24" t="s">
        <v>62</v>
      </c>
      <c r="AC7" s="24" t="s">
        <v>58</v>
      </c>
      <c r="AD7" s="25" t="s">
        <v>29</v>
      </c>
      <c r="AE7" s="26" t="s">
        <v>59</v>
      </c>
      <c r="AF7" s="27" t="s">
        <v>60</v>
      </c>
      <c r="AG7" s="28" t="s">
        <v>61</v>
      </c>
      <c r="AH7" s="24" t="s">
        <v>62</v>
      </c>
    </row>
    <row r="8" customFormat="false" ht="15" hidden="false" customHeight="false" outlineLevel="0" collapsed="false">
      <c r="A8" s="15" t="s">
        <v>63</v>
      </c>
      <c r="B8" s="4" t="s">
        <v>64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SUMIFS(Datos!$H$5:$H$291,Datos!$E$5:$E$291,$A8,Datos!$F$5:$F$291,"S5")</f>
        <v>0</v>
      </c>
      <c r="F8" s="31" t="n">
        <f aca="false">SUMIFS(Datos!$J$5:$J$291,Datos!$E$5:$E$291,$A8,Datos!$F$5:$F$291,"S5")</f>
        <v>0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0</v>
      </c>
      <c r="L8" s="31" t="n">
        <f aca="false">$F8*INDEX(Escenarios!$I$12:$I$36,MATCH($A8,Escenarios!$A$12:$A$36,0))*IF(AND($C8="INVAP",Inputs!$C$18="No"),0,1)*G8*$C$5</f>
        <v>0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0</v>
      </c>
      <c r="Q8" s="31" t="n">
        <f aca="false">IF(INDEX(Escenarios!$J$12:$J$36,MATCH($A8,Escenarios!$A$12:$A$36,0))*IF(AND($C8="INVAP",Inputs!$C$18="No"),0,1)&gt;0,$E8*$C$5,0)</f>
        <v>0</v>
      </c>
      <c r="R8" s="31" t="n">
        <f aca="false">$F8*INDEX(Escenarios!$J$12:$J$36,MATCH($A8,Escenarios!$A$12:$A$36,0))*IF(AND($C8="INVAP",Inputs!$C$18="No"),0,1)*G8*$C$5</f>
        <v>0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0</v>
      </c>
      <c r="W8" s="31" t="n">
        <f aca="false">IF(INDEX(Escenarios!$K$12:$K$36,MATCH($A8,Escenarios!$A$12:$A$36,0))*IF(AND($C8="INVAP",Inputs!$C$18="No"),0,1)&gt;0,$E8*$C$5,0)</f>
        <v>0</v>
      </c>
      <c r="X8" s="31" t="n">
        <f aca="false">$F8*INDEX(Escenarios!$K$12:$K$36,MATCH($A8,Escenarios!$A$12:$A$36,0))*IF(AND($C8="INVAP",Inputs!$C$18="No"),0,1)*G8*$C$5</f>
        <v>0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0</v>
      </c>
      <c r="AC8" s="31" t="n">
        <f aca="false">IF(INDEX(Escenarios!$L$12:$L$36,MATCH($A8,Escenarios!$A$12:$A$36,0))*IF(AND($C8="INVAP",Inputs!$C$18="No"),0,1)&gt;0,$E8*$C$5,0)</f>
        <v>0</v>
      </c>
      <c r="AD8" s="31" t="n">
        <f aca="false">$F8*INDEX(Escenarios!$L$12:$L$36,MATCH($A8,Escenarios!$A$12:$A$36,0))*IF(AND($C8="INVAP",Inputs!$C$18="No"),0,1)*G8*$C$5</f>
        <v>0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0</v>
      </c>
    </row>
    <row r="9" customFormat="false" ht="15" hidden="false" customHeight="false" outlineLevel="0" collapsed="false">
      <c r="A9" s="15" t="s">
        <v>65</v>
      </c>
      <c r="B9" s="4" t="s">
        <v>66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SUMIFS(Datos!$H$5:$H$291,Datos!$E$5:$E$291,$A9,Datos!$F$5:$F$291,"S5")</f>
        <v>0</v>
      </c>
      <c r="F9" s="31" t="n">
        <f aca="false">SUMIFS(Datos!$J$5:$J$291,Datos!$E$5:$E$291,$A9,Datos!$F$5:$F$291,"S5")</f>
        <v>0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0</v>
      </c>
      <c r="L9" s="31" t="n">
        <f aca="false">$F9*INDEX(Escenarios!$I$12:$I$36,MATCH($A9,Escenarios!$A$12:$A$36,0))*IF(AND($C9="INVAP",Inputs!$C$18="No"),0,1)*G9*$C$5</f>
        <v>0</v>
      </c>
      <c r="M9" s="31" t="n">
        <f aca="false">$F9*INDEX(Escenarios!$I$12:$I$36,MATCH($A9,Escenarios!$A$12:$A$36,0))*IF(AND($C9="INVAP",Inputs!$C$18="No"),0,1)*H9*$C$5</f>
        <v>0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0</v>
      </c>
      <c r="Q9" s="31" t="n">
        <f aca="false">IF(INDEX(Escenarios!$J$12:$J$36,MATCH($A9,Escenarios!$A$12:$A$36,0))*IF(AND($C9="INVAP",Inputs!$C$18="No"),0,1)&gt;0,$E9*$C$5,0)</f>
        <v>0</v>
      </c>
      <c r="R9" s="31" t="n">
        <f aca="false">$F9*INDEX(Escenarios!$J$12:$J$36,MATCH($A9,Escenarios!$A$12:$A$36,0))*IF(AND($C9="INVAP",Inputs!$C$18="No"),0,1)*G9*$C$5</f>
        <v>0</v>
      </c>
      <c r="S9" s="31" t="n">
        <f aca="false">$F9*INDEX(Escenarios!$J$12:$J$36,MATCH($A9,Escenarios!$A$12:$A$36,0))*IF(AND($C9="INVAP",Inputs!$C$18="No"),0,1)*H9*$C$5</f>
        <v>0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0</v>
      </c>
      <c r="W9" s="31" t="n">
        <f aca="false">IF(INDEX(Escenarios!$K$12:$K$36,MATCH($A9,Escenarios!$A$12:$A$36,0))*IF(AND($C9="INVAP",Inputs!$C$18="No"),0,1)&gt;0,$E9*$C$5,0)</f>
        <v>0</v>
      </c>
      <c r="X9" s="31" t="n">
        <f aca="false">$F9*INDEX(Escenarios!$K$12:$K$36,MATCH($A9,Escenarios!$A$12:$A$36,0))*IF(AND($C9="INVAP",Inputs!$C$18="No"),0,1)*G9*$C$5</f>
        <v>0</v>
      </c>
      <c r="Y9" s="31" t="n">
        <f aca="false">$F9*INDEX(Escenarios!$K$12:$K$36,MATCH($A9,Escenarios!$A$12:$A$36,0))*IF(AND($C9="INVAP",Inputs!$C$18="No"),0,1)*H9*$C$5</f>
        <v>0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0</v>
      </c>
      <c r="AC9" s="31" t="n">
        <f aca="false">IF(INDEX(Escenarios!$L$12:$L$36,MATCH($A9,Escenarios!$A$12:$A$36,0))*IF(AND($C9="INVAP",Inputs!$C$18="No"),0,1)&gt;0,$E9*$C$5,0)</f>
        <v>0</v>
      </c>
      <c r="AD9" s="31" t="n">
        <f aca="false">$F9*INDEX(Escenarios!$L$12:$L$36,MATCH($A9,Escenarios!$A$12:$A$36,0))*IF(AND($C9="INVAP",Inputs!$C$18="No"),0,1)*G9*$C$5</f>
        <v>0</v>
      </c>
      <c r="AE9" s="31" t="n">
        <f aca="false">$F9*INDEX(Escenarios!$L$12:$L$36,MATCH($A9,Escenarios!$A$12:$A$36,0))*IF(AND($C9="INVAP",Inputs!$C$18="No"),0,1)*H9*$C$5</f>
        <v>0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0</v>
      </c>
    </row>
    <row r="10" customFormat="false" ht="15" hidden="false" customHeight="false" outlineLevel="0" collapsed="false">
      <c r="A10" s="15" t="s">
        <v>67</v>
      </c>
      <c r="B10" s="4" t="s">
        <v>68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SUMIFS(Datos!$H$5:$H$291,Datos!$E$5:$E$291,$A10,Datos!$F$5:$F$291,"S5")</f>
        <v>0</v>
      </c>
      <c r="F10" s="31" t="n">
        <f aca="false">SUMIFS(Datos!$J$5:$J$291,Datos!$E$5:$E$291,$A10,Datos!$F$5:$F$291,"S5")</f>
        <v>0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0</v>
      </c>
      <c r="L10" s="31" t="n">
        <f aca="false">$F10*INDEX(Escenarios!$I$12:$I$36,MATCH($A10,Escenarios!$A$12:$A$36,0))*IF(AND($C10="INVAP",Inputs!$C$18="No"),0,1)*G10*$C$5</f>
        <v>0</v>
      </c>
      <c r="M10" s="31" t="n">
        <f aca="false">$F10*INDEX(Escenarios!$I$12:$I$36,MATCH($A10,Escenarios!$A$12:$A$36,0))*IF(AND($C10="INVAP",Inputs!$C$18="No"),0,1)*H10*$C$5</f>
        <v>0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0</v>
      </c>
      <c r="Q10" s="31" t="n">
        <f aca="false">IF(INDEX(Escenarios!$J$12:$J$36,MATCH($A10,Escenarios!$A$12:$A$36,0))*IF(AND($C10="INVAP",Inputs!$C$18="No"),0,1)&gt;0,$E10*$C$5,0)</f>
        <v>0</v>
      </c>
      <c r="R10" s="31" t="n">
        <f aca="false">$F10*INDEX(Escenarios!$J$12:$J$36,MATCH($A10,Escenarios!$A$12:$A$36,0))*IF(AND($C10="INVAP",Inputs!$C$18="No"),0,1)*G10*$C$5</f>
        <v>0</v>
      </c>
      <c r="S10" s="31" t="n">
        <f aca="false">$F10*INDEX(Escenarios!$J$12:$J$36,MATCH($A10,Escenarios!$A$12:$A$36,0))*IF(AND($C10="INVAP",Inputs!$C$18="No"),0,1)*H10*$C$5</f>
        <v>0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0</v>
      </c>
      <c r="W10" s="31" t="n">
        <f aca="false">IF(INDEX(Escenarios!$K$12:$K$36,MATCH($A10,Escenarios!$A$12:$A$36,0))*IF(AND($C10="INVAP",Inputs!$C$18="No"),0,1)&gt;0,$E10*$C$5,0)</f>
        <v>0</v>
      </c>
      <c r="X10" s="31" t="n">
        <f aca="false">$F10*INDEX(Escenarios!$K$12:$K$36,MATCH($A10,Escenarios!$A$12:$A$36,0))*IF(AND($C10="INVAP",Inputs!$C$18="No"),0,1)*G10*$C$5</f>
        <v>0</v>
      </c>
      <c r="Y10" s="31" t="n">
        <f aca="false">$F10*INDEX(Escenarios!$K$12:$K$36,MATCH($A10,Escenarios!$A$12:$A$36,0))*IF(AND($C10="INVAP",Inputs!$C$18="No"),0,1)*H10*$C$5</f>
        <v>0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0</v>
      </c>
      <c r="AC10" s="31" t="n">
        <f aca="false">IF(INDEX(Escenarios!$L$12:$L$36,MATCH($A10,Escenarios!$A$12:$A$36,0))*IF(AND($C10="INVAP",Inputs!$C$18="No"),0,1)&gt;0,$E10*$C$5,0)</f>
        <v>0</v>
      </c>
      <c r="AD10" s="31" t="n">
        <f aca="false">$F10*INDEX(Escenarios!$L$12:$L$36,MATCH($A10,Escenarios!$A$12:$A$36,0))*IF(AND($C10="INVAP",Inputs!$C$18="No"),0,1)*G10*$C$5</f>
        <v>0</v>
      </c>
      <c r="AE10" s="31" t="n">
        <f aca="false">$F10*INDEX(Escenarios!$L$12:$L$36,MATCH($A10,Escenarios!$A$12:$A$36,0))*IF(AND($C10="INVAP",Inputs!$C$18="No"),0,1)*H10*$C$5</f>
        <v>0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0</v>
      </c>
    </row>
    <row r="11" customFormat="false" ht="15" hidden="false" customHeight="false" outlineLevel="0" collapsed="false">
      <c r="A11" s="15" t="s">
        <v>69</v>
      </c>
      <c r="B11" s="4" t="s">
        <v>70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SUMIFS(Datos!$H$5:$H$291,Datos!$E$5:$E$291,$A11,Datos!$F$5:$F$291,"S5")</f>
        <v>0</v>
      </c>
      <c r="F11" s="31" t="n">
        <f aca="false">SUMIFS(Datos!$J$5:$J$291,Datos!$E$5:$E$291,$A11,Datos!$F$5:$F$291,"S5")</f>
        <v>0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0</v>
      </c>
      <c r="L11" s="31" t="n">
        <f aca="false">$F11*INDEX(Escenarios!$I$12:$I$36,MATCH($A11,Escenarios!$A$12:$A$36,0))*IF(AND($C11="INVAP",Inputs!$C$18="No"),0,1)*G11*$C$5</f>
        <v>0</v>
      </c>
      <c r="M11" s="31" t="n">
        <f aca="false">$F11*INDEX(Escenarios!$I$12:$I$36,MATCH($A11,Escenarios!$A$12:$A$36,0))*IF(AND($C11="INVAP",Inputs!$C$18="No"),0,1)*H11*$C$5</f>
        <v>0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0</v>
      </c>
      <c r="Q11" s="31" t="n">
        <f aca="false">IF(INDEX(Escenarios!$J$12:$J$36,MATCH($A11,Escenarios!$A$12:$A$36,0))*IF(AND($C11="INVAP",Inputs!$C$18="No"),0,1)&gt;0,$E11*$C$5,0)</f>
        <v>0</v>
      </c>
      <c r="R11" s="31" t="n">
        <f aca="false">$F11*INDEX(Escenarios!$J$12:$J$36,MATCH($A11,Escenarios!$A$12:$A$36,0))*IF(AND($C11="INVAP",Inputs!$C$18="No"),0,1)*G11*$C$5</f>
        <v>0</v>
      </c>
      <c r="S11" s="31" t="n">
        <f aca="false">$F11*INDEX(Escenarios!$J$12:$J$36,MATCH($A11,Escenarios!$A$12:$A$36,0))*IF(AND($C11="INVAP",Inputs!$C$18="No"),0,1)*H11*$C$5</f>
        <v>0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0</v>
      </c>
      <c r="W11" s="31" t="n">
        <f aca="false">IF(INDEX(Escenarios!$K$12:$K$36,MATCH($A11,Escenarios!$A$12:$A$36,0))*IF(AND($C11="INVAP",Inputs!$C$18="No"),0,1)&gt;0,$E11*$C$5,0)</f>
        <v>0</v>
      </c>
      <c r="X11" s="31" t="n">
        <f aca="false">$F11*INDEX(Escenarios!$K$12:$K$36,MATCH($A11,Escenarios!$A$12:$A$36,0))*IF(AND($C11="INVAP",Inputs!$C$18="No"),0,1)*G11*$C$5</f>
        <v>0</v>
      </c>
      <c r="Y11" s="31" t="n">
        <f aca="false">$F11*INDEX(Escenarios!$K$12:$K$36,MATCH($A11,Escenarios!$A$12:$A$36,0))*IF(AND($C11="INVAP",Inputs!$C$18="No"),0,1)*H11*$C$5</f>
        <v>0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0</v>
      </c>
      <c r="AC11" s="31" t="n">
        <f aca="false">IF(INDEX(Escenarios!$L$12:$L$36,MATCH($A11,Escenarios!$A$12:$A$36,0))*IF(AND($C11="INVAP",Inputs!$C$18="No"),0,1)&gt;0,$E11*$C$5,0)</f>
        <v>0</v>
      </c>
      <c r="AD11" s="31" t="n">
        <f aca="false">$F11*INDEX(Escenarios!$L$12:$L$36,MATCH($A11,Escenarios!$A$12:$A$36,0))*IF(AND($C11="INVAP",Inputs!$C$18="No"),0,1)*G11*$C$5</f>
        <v>0</v>
      </c>
      <c r="AE11" s="31" t="n">
        <f aca="false">$F11*INDEX(Escenarios!$L$12:$L$36,MATCH($A11,Escenarios!$A$12:$A$36,0))*IF(AND($C11="INVAP",Inputs!$C$18="No"),0,1)*H11*$C$5</f>
        <v>0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0</v>
      </c>
    </row>
    <row r="12" customFormat="false" ht="15" hidden="false" customHeight="false" outlineLevel="0" collapsed="false">
      <c r="A12" s="15" t="s">
        <v>71</v>
      </c>
      <c r="B12" s="4" t="s">
        <v>72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SUMIFS(Datos!$H$5:$H$291,Datos!$E$5:$E$291,$A12,Datos!$F$5:$F$291,"S5")</f>
        <v>0</v>
      </c>
      <c r="F12" s="31" t="n">
        <f aca="false">SUMIFS(Datos!$J$5:$J$291,Datos!$E$5:$E$291,$A12,Datos!$F$5:$F$291,"S5")</f>
        <v>0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0</v>
      </c>
      <c r="L12" s="31" t="n">
        <f aca="false">$F12*INDEX(Escenarios!$I$12:$I$36,MATCH($A12,Escenarios!$A$12:$A$36,0))*IF(AND($C12="INVAP",Inputs!$C$18="No"),0,1)*G12*$C$5</f>
        <v>0</v>
      </c>
      <c r="M12" s="31" t="n">
        <f aca="false">$F12*INDEX(Escenarios!$I$12:$I$36,MATCH($A12,Escenarios!$A$12:$A$36,0))*IF(AND($C12="INVAP",Inputs!$C$18="No"),0,1)*H12*$C$5</f>
        <v>0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0</v>
      </c>
      <c r="Q12" s="31" t="n">
        <f aca="false">IF(INDEX(Escenarios!$J$12:$J$36,MATCH($A12,Escenarios!$A$12:$A$36,0))*IF(AND($C12="INVAP",Inputs!$C$18="No"),0,1)&gt;0,$E12*$C$5,0)</f>
        <v>0</v>
      </c>
      <c r="R12" s="31" t="n">
        <f aca="false">$F12*INDEX(Escenarios!$J$12:$J$36,MATCH($A12,Escenarios!$A$12:$A$36,0))*IF(AND($C12="INVAP",Inputs!$C$18="No"),0,1)*G12*$C$5</f>
        <v>0</v>
      </c>
      <c r="S12" s="31" t="n">
        <f aca="false">$F12*INDEX(Escenarios!$J$12:$J$36,MATCH($A12,Escenarios!$A$12:$A$36,0))*IF(AND($C12="INVAP",Inputs!$C$18="No"),0,1)*H12*$C$5</f>
        <v>0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0</v>
      </c>
      <c r="W12" s="31" t="n">
        <f aca="false">IF(INDEX(Escenarios!$K$12:$K$36,MATCH($A12,Escenarios!$A$12:$A$36,0))*IF(AND($C12="INVAP",Inputs!$C$18="No"),0,1)&gt;0,$E12*$C$5,0)</f>
        <v>0</v>
      </c>
      <c r="X12" s="31" t="n">
        <f aca="false">$F12*INDEX(Escenarios!$K$12:$K$36,MATCH($A12,Escenarios!$A$12:$A$36,0))*IF(AND($C12="INVAP",Inputs!$C$18="No"),0,1)*G12*$C$5</f>
        <v>0</v>
      </c>
      <c r="Y12" s="31" t="n">
        <f aca="false">$F12*INDEX(Escenarios!$K$12:$K$36,MATCH($A12,Escenarios!$A$12:$A$36,0))*IF(AND($C12="INVAP",Inputs!$C$18="No"),0,1)*H12*$C$5</f>
        <v>0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0</v>
      </c>
      <c r="AC12" s="31" t="n">
        <f aca="false">IF(INDEX(Escenarios!$L$12:$L$36,MATCH($A12,Escenarios!$A$12:$A$36,0))*IF(AND($C12="INVAP",Inputs!$C$18="No"),0,1)&gt;0,$E12*$C$5,0)</f>
        <v>0</v>
      </c>
      <c r="AD12" s="31" t="n">
        <f aca="false">$F12*INDEX(Escenarios!$L$12:$L$36,MATCH($A12,Escenarios!$A$12:$A$36,0))*IF(AND($C12="INVAP",Inputs!$C$18="No"),0,1)*G12*$C$5</f>
        <v>0</v>
      </c>
      <c r="AE12" s="31" t="n">
        <f aca="false">$F12*INDEX(Escenarios!$L$12:$L$36,MATCH($A12,Escenarios!$A$12:$A$36,0))*IF(AND($C12="INVAP",Inputs!$C$18="No"),0,1)*H12*$C$5</f>
        <v>0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0</v>
      </c>
    </row>
    <row r="13" customFormat="false" ht="15" hidden="false" customHeight="false" outlineLevel="0" collapsed="false">
      <c r="A13" s="15" t="s">
        <v>73</v>
      </c>
      <c r="B13" s="4" t="s">
        <v>74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SUMIFS(Datos!$H$5:$H$291,Datos!$E$5:$E$291,$A13,Datos!$F$5:$F$291,"S5")</f>
        <v>0</v>
      </c>
      <c r="F13" s="31" t="n">
        <f aca="false">SUMIFS(Datos!$J$5:$J$291,Datos!$E$5:$E$291,$A13,Datos!$F$5:$F$291,"S5")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75</v>
      </c>
      <c r="B14" s="4" t="s">
        <v>76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SUMIFS(Datos!$H$5:$H$291,Datos!$E$5:$E$291,$A14,Datos!$F$5:$F$291,"S5")</f>
        <v>0</v>
      </c>
      <c r="F14" s="31" t="n">
        <f aca="false">SUMIFS(Datos!$J$5:$J$291,Datos!$E$5:$E$291,$A14,Datos!$F$5:$F$291,"S5")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77</v>
      </c>
      <c r="B15" s="4" t="s">
        <v>78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SUMIFS(Datos!$H$5:$H$291,Datos!$E$5:$E$291,$A15,Datos!$F$5:$F$291,"S5")</f>
        <v>0</v>
      </c>
      <c r="F15" s="31" t="n">
        <f aca="false">SUMIFS(Datos!$J$5:$J$291,Datos!$E$5:$E$291,$A15,Datos!$F$5:$F$291,"S5")</f>
        <v>0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0</v>
      </c>
      <c r="L15" s="31" t="n">
        <f aca="false">$F15*INDEX(Escenarios!$I$12:$I$36,MATCH($A15,Escenarios!$A$12:$A$36,0))*IF(AND($C15="INVAP",Inputs!$C$18="No"),0,1)*G15*$C$5</f>
        <v>0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0</v>
      </c>
      <c r="Q15" s="31" t="n">
        <f aca="false">IF(INDEX(Escenarios!$J$12:$J$36,MATCH($A15,Escenarios!$A$12:$A$36,0))*IF(AND($C15="INVAP",Inputs!$C$18="No"),0,1)&gt;0,$E15*$C$5,0)</f>
        <v>0</v>
      </c>
      <c r="R15" s="31" t="n">
        <f aca="false">$F15*INDEX(Escenarios!$J$12:$J$36,MATCH($A15,Escenarios!$A$12:$A$36,0))*IF(AND($C15="INVAP",Inputs!$C$18="No"),0,1)*G15*$C$5</f>
        <v>0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0</v>
      </c>
      <c r="W15" s="31" t="n">
        <f aca="false">IF(INDEX(Escenarios!$K$12:$K$36,MATCH($A15,Escenarios!$A$12:$A$36,0))*IF(AND($C15="INVAP",Inputs!$C$18="No"),0,1)&gt;0,$E15*$C$5,0)</f>
        <v>0</v>
      </c>
      <c r="X15" s="31" t="n">
        <f aca="false">$F15*INDEX(Escenarios!$K$12:$K$36,MATCH($A15,Escenarios!$A$12:$A$36,0))*IF(AND($C15="INVAP",Inputs!$C$18="No"),0,1)*G15*$C$5</f>
        <v>0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0</v>
      </c>
      <c r="AC15" s="31" t="n">
        <f aca="false">IF(INDEX(Escenarios!$L$12:$L$36,MATCH($A15,Escenarios!$A$12:$A$36,0))*IF(AND($C15="INVAP",Inputs!$C$18="No"),0,1)&gt;0,$E15*$C$5,0)</f>
        <v>0</v>
      </c>
      <c r="AD15" s="31" t="n">
        <f aca="false">$F15*INDEX(Escenarios!$L$12:$L$36,MATCH($A15,Escenarios!$A$12:$A$36,0))*IF(AND($C15="INVAP",Inputs!$C$18="No"),0,1)*G15*$C$5</f>
        <v>0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0</v>
      </c>
    </row>
    <row r="16" customFormat="false" ht="15" hidden="false" customHeight="false" outlineLevel="0" collapsed="false">
      <c r="A16" s="15" t="s">
        <v>79</v>
      </c>
      <c r="B16" s="4" t="s">
        <v>80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SUMIFS(Datos!$H$5:$H$291,Datos!$E$5:$E$291,$A16,Datos!$F$5:$F$291,"S5")</f>
        <v>0</v>
      </c>
      <c r="F16" s="31" t="n">
        <f aca="false">SUMIFS(Datos!$J$5:$J$291,Datos!$E$5:$E$291,$A16,Datos!$F$5:$F$291,"S5")</f>
        <v>0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0</v>
      </c>
      <c r="L16" s="31" t="n">
        <f aca="false">$F16*INDEX(Escenarios!$I$12:$I$36,MATCH($A16,Escenarios!$A$12:$A$36,0))*IF(AND($C16="INVAP",Inputs!$C$18="No"),0,1)*G16*$C$5</f>
        <v>0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0</v>
      </c>
      <c r="Q16" s="31" t="n">
        <f aca="false">IF(INDEX(Escenarios!$J$12:$J$36,MATCH($A16,Escenarios!$A$12:$A$36,0))*IF(AND($C16="INVAP",Inputs!$C$18="No"),0,1)&gt;0,$E16*$C$5,0)</f>
        <v>0</v>
      </c>
      <c r="R16" s="31" t="n">
        <f aca="false">$F16*INDEX(Escenarios!$J$12:$J$36,MATCH($A16,Escenarios!$A$12:$A$36,0))*IF(AND($C16="INVAP",Inputs!$C$18="No"),0,1)*G16*$C$5</f>
        <v>0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0</v>
      </c>
      <c r="W16" s="31" t="n">
        <f aca="false">IF(INDEX(Escenarios!$K$12:$K$36,MATCH($A16,Escenarios!$A$12:$A$36,0))*IF(AND($C16="INVAP",Inputs!$C$18="No"),0,1)&gt;0,$E16*$C$5,0)</f>
        <v>0</v>
      </c>
      <c r="X16" s="31" t="n">
        <f aca="false">$F16*INDEX(Escenarios!$K$12:$K$36,MATCH($A16,Escenarios!$A$12:$A$36,0))*IF(AND($C16="INVAP",Inputs!$C$18="No"),0,1)*G16*$C$5</f>
        <v>0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0</v>
      </c>
      <c r="AC16" s="31" t="n">
        <f aca="false">IF(INDEX(Escenarios!$L$12:$L$36,MATCH($A16,Escenarios!$A$12:$A$36,0))*IF(AND($C16="INVAP",Inputs!$C$18="No"),0,1)&gt;0,$E16*$C$5,0)</f>
        <v>0</v>
      </c>
      <c r="AD16" s="31" t="n">
        <f aca="false">$F16*INDEX(Escenarios!$L$12:$L$36,MATCH($A16,Escenarios!$A$12:$A$36,0))*IF(AND($C16="INVAP",Inputs!$C$18="No"),0,1)*G16*$C$5</f>
        <v>0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0</v>
      </c>
    </row>
    <row r="17" customFormat="false" ht="15" hidden="false" customHeight="false" outlineLevel="0" collapsed="false">
      <c r="A17" s="15" t="s">
        <v>81</v>
      </c>
      <c r="B17" s="4" t="s">
        <v>82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SUMIFS(Datos!$H$5:$H$291,Datos!$E$5:$E$291,$A17,Datos!$F$5:$F$291,"S5")</f>
        <v>0</v>
      </c>
      <c r="F17" s="31" t="n">
        <f aca="false">SUMIFS(Datos!$J$5:$J$291,Datos!$E$5:$E$291,$A17,Datos!$F$5:$F$291,"S5")</f>
        <v>0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0</v>
      </c>
      <c r="L17" s="31" t="n">
        <f aca="false">$F17*INDEX(Escenarios!$I$12:$I$36,MATCH($A17,Escenarios!$A$12:$A$36,0))*IF(AND($C17="INVAP",Inputs!$C$18="No"),0,1)*G17*$C$5</f>
        <v>0</v>
      </c>
      <c r="M17" s="31" t="n">
        <f aca="false">$F17*INDEX(Escenarios!$I$12:$I$36,MATCH($A17,Escenarios!$A$12:$A$36,0))*IF(AND($C17="INVAP",Inputs!$C$18="No"),0,1)*H17*$C$5</f>
        <v>0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0</v>
      </c>
      <c r="Q17" s="31" t="n">
        <f aca="false">IF(INDEX(Escenarios!$J$12:$J$36,MATCH($A17,Escenarios!$A$12:$A$36,0))*IF(AND($C17="INVAP",Inputs!$C$18="No"),0,1)&gt;0,$E17*$C$5,0)</f>
        <v>0</v>
      </c>
      <c r="R17" s="31" t="n">
        <f aca="false">$F17*INDEX(Escenarios!$J$12:$J$36,MATCH($A17,Escenarios!$A$12:$A$36,0))*IF(AND($C17="INVAP",Inputs!$C$18="No"),0,1)*G17*$C$5</f>
        <v>0</v>
      </c>
      <c r="S17" s="31" t="n">
        <f aca="false">$F17*INDEX(Escenarios!$J$12:$J$36,MATCH($A17,Escenarios!$A$12:$A$36,0))*IF(AND($C17="INVAP",Inputs!$C$18="No"),0,1)*H17*$C$5</f>
        <v>0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0</v>
      </c>
      <c r="W17" s="31" t="n">
        <f aca="false">IF(INDEX(Escenarios!$K$12:$K$36,MATCH($A17,Escenarios!$A$12:$A$36,0))*IF(AND($C17="INVAP",Inputs!$C$18="No"),0,1)&gt;0,$E17*$C$5,0)</f>
        <v>0</v>
      </c>
      <c r="X17" s="31" t="n">
        <f aca="false">$F17*INDEX(Escenarios!$K$12:$K$36,MATCH($A17,Escenarios!$A$12:$A$36,0))*IF(AND($C17="INVAP",Inputs!$C$18="No"),0,1)*G17*$C$5</f>
        <v>0</v>
      </c>
      <c r="Y17" s="31" t="n">
        <f aca="false">$F17*INDEX(Escenarios!$K$12:$K$36,MATCH($A17,Escenarios!$A$12:$A$36,0))*IF(AND($C17="INVAP",Inputs!$C$18="No"),0,1)*H17*$C$5</f>
        <v>0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0</v>
      </c>
      <c r="AC17" s="31" t="n">
        <f aca="false">IF(INDEX(Escenarios!$L$12:$L$36,MATCH($A17,Escenarios!$A$12:$A$36,0))*IF(AND($C17="INVAP",Inputs!$C$18="No"),0,1)&gt;0,$E17*$C$5,0)</f>
        <v>0</v>
      </c>
      <c r="AD17" s="31" t="n">
        <f aca="false">$F17*INDEX(Escenarios!$L$12:$L$36,MATCH($A17,Escenarios!$A$12:$A$36,0))*IF(AND($C17="INVAP",Inputs!$C$18="No"),0,1)*G17*$C$5</f>
        <v>0</v>
      </c>
      <c r="AE17" s="31" t="n">
        <f aca="false">$F17*INDEX(Escenarios!$L$12:$L$36,MATCH($A17,Escenarios!$A$12:$A$36,0))*IF(AND($C17="INVAP",Inputs!$C$18="No"),0,1)*H17*$C$5</f>
        <v>0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0</v>
      </c>
    </row>
    <row r="18" customFormat="false" ht="15" hidden="false" customHeight="false" outlineLevel="0" collapsed="false">
      <c r="A18" s="15" t="s">
        <v>83</v>
      </c>
      <c r="B18" s="4" t="s">
        <v>84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SUMIFS(Datos!$H$5:$H$291,Datos!$E$5:$E$291,$A18,Datos!$F$5:$F$291,"S5")</f>
        <v>0</v>
      </c>
      <c r="F18" s="31" t="n">
        <f aca="false">SUMIFS(Datos!$J$5:$J$291,Datos!$E$5:$E$291,$A18,Datos!$F$5:$F$291,"S5")</f>
        <v>0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0</v>
      </c>
      <c r="L18" s="31" t="n">
        <f aca="false">$F18*INDEX(Escenarios!$I$12:$I$36,MATCH($A18,Escenarios!$A$12:$A$36,0))*IF(AND($C18="INVAP",Inputs!$C$18="No"),0,1)*G18*$C$5</f>
        <v>0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0</v>
      </c>
      <c r="Q18" s="31" t="n">
        <f aca="false">IF(INDEX(Escenarios!$J$12:$J$36,MATCH($A18,Escenarios!$A$12:$A$36,0))*IF(AND($C18="INVAP",Inputs!$C$18="No"),0,1)&gt;0,$E18*$C$5,0)</f>
        <v>0</v>
      </c>
      <c r="R18" s="31" t="n">
        <f aca="false">$F18*INDEX(Escenarios!$J$12:$J$36,MATCH($A18,Escenarios!$A$12:$A$36,0))*IF(AND($C18="INVAP",Inputs!$C$18="No"),0,1)*G18*$C$5</f>
        <v>0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0</v>
      </c>
      <c r="W18" s="31" t="n">
        <f aca="false">IF(INDEX(Escenarios!$K$12:$K$36,MATCH($A18,Escenarios!$A$12:$A$36,0))*IF(AND($C18="INVAP",Inputs!$C$18="No"),0,1)&gt;0,$E18*$C$5,0)</f>
        <v>0</v>
      </c>
      <c r="X18" s="31" t="n">
        <f aca="false">$F18*INDEX(Escenarios!$K$12:$K$36,MATCH($A18,Escenarios!$A$12:$A$36,0))*IF(AND($C18="INVAP",Inputs!$C$18="No"),0,1)*G18*$C$5</f>
        <v>0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0</v>
      </c>
      <c r="AC18" s="31" t="n">
        <f aca="false">IF(INDEX(Escenarios!$L$12:$L$36,MATCH($A18,Escenarios!$A$12:$A$36,0))*IF(AND($C18="INVAP",Inputs!$C$18="No"),0,1)&gt;0,$E18*$C$5,0)</f>
        <v>0</v>
      </c>
      <c r="AD18" s="31" t="n">
        <f aca="false">$F18*INDEX(Escenarios!$L$12:$L$36,MATCH($A18,Escenarios!$A$12:$A$36,0))*IF(AND($C18="INVAP",Inputs!$C$18="No"),0,1)*G18*$C$5</f>
        <v>0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0</v>
      </c>
    </row>
    <row r="19" customFormat="false" ht="15" hidden="false" customHeight="false" outlineLevel="0" collapsed="false">
      <c r="A19" s="15" t="s">
        <v>85</v>
      </c>
      <c r="B19" s="4" t="s">
        <v>86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SUMIFS(Datos!$H$5:$H$291,Datos!$E$5:$E$291,$A19,Datos!$F$5:$F$291,"S5")</f>
        <v>0</v>
      </c>
      <c r="F19" s="31" t="n">
        <f aca="false">SUMIFS(Datos!$J$5:$J$291,Datos!$E$5:$E$291,$A19,Datos!$F$5:$F$291,"S5")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87</v>
      </c>
      <c r="B20" s="4" t="s">
        <v>88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SUMIFS(Datos!$H$5:$H$291,Datos!$E$5:$E$291,$A20,Datos!$F$5:$F$291,"S5")</f>
        <v>240</v>
      </c>
      <c r="F20" s="31" t="n">
        <f aca="false">SUMIFS(Datos!$J$5:$J$291,Datos!$E$5:$E$291,$A20,Datos!$F$5:$F$291,"S5")</f>
        <v>55701.975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240</v>
      </c>
      <c r="L20" s="31" t="n">
        <f aca="false">$F20*INDEX(Escenarios!$I$12:$I$36,MATCH($A20,Escenarios!$A$12:$A$36,0))*IF(AND($C20="INVAP",Inputs!$C$18="No"),0,1)*G20*$C$5</f>
        <v>55701.975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55701.975</v>
      </c>
      <c r="Q20" s="31" t="n">
        <f aca="false">IF(INDEX(Escenarios!$J$12:$J$36,MATCH($A20,Escenarios!$A$12:$A$36,0))*IF(AND($C20="INVAP",Inputs!$C$18="No"),0,1)&gt;0,$E20*$C$5,0)</f>
        <v>240</v>
      </c>
      <c r="R20" s="31" t="n">
        <f aca="false">$F20*INDEX(Escenarios!$J$12:$J$36,MATCH($A20,Escenarios!$A$12:$A$36,0))*IF(AND($C20="INVAP",Inputs!$C$18="No"),0,1)*G20*$C$5</f>
        <v>55701.975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55701.975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89</v>
      </c>
      <c r="B21" s="4" t="s">
        <v>90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SUMIFS(Datos!$H$5:$H$291,Datos!$E$5:$E$291,$A21,Datos!$F$5:$F$291,"S5")</f>
        <v>165</v>
      </c>
      <c r="F21" s="31" t="n">
        <f aca="false">SUMIFS(Datos!$J$5:$J$291,Datos!$E$5:$E$291,$A21,Datos!$F$5:$F$291,"S5")</f>
        <v>36944.775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165</v>
      </c>
      <c r="L21" s="31" t="n">
        <f aca="false">$F21*INDEX(Escenarios!$I$12:$I$36,MATCH($A21,Escenarios!$A$12:$A$36,0))*IF(AND($C21="INVAP",Inputs!$C$18="No"),0,1)*G21*$C$5</f>
        <v>36944.775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36944.775</v>
      </c>
      <c r="Q21" s="31" t="n">
        <f aca="false">IF(INDEX(Escenarios!$J$12:$J$36,MATCH($A21,Escenarios!$A$12:$A$36,0))*IF(AND($C21="INVAP",Inputs!$C$18="No"),0,1)&gt;0,$E21*$C$5,0)</f>
        <v>165</v>
      </c>
      <c r="R21" s="31" t="n">
        <f aca="false">$F21*INDEX(Escenarios!$J$12:$J$36,MATCH($A21,Escenarios!$A$12:$A$36,0))*IF(AND($C21="INVAP",Inputs!$C$18="No"),0,1)*G21*$C$5</f>
        <v>36944.775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36944.775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91</v>
      </c>
      <c r="B22" s="4" t="s">
        <v>92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SUMIFS(Datos!$H$5:$H$291,Datos!$E$5:$E$291,$A22,Datos!$F$5:$F$291,"S5")</f>
        <v>305</v>
      </c>
      <c r="F22" s="31" t="n">
        <f aca="false">SUMIFS(Datos!$J$5:$J$291,Datos!$E$5:$E$291,$A22,Datos!$F$5:$F$291,"S5")</f>
        <v>70122.675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305</v>
      </c>
      <c r="L22" s="31" t="n">
        <f aca="false">$F22*INDEX(Escenarios!$I$12:$I$36,MATCH($A22,Escenarios!$A$12:$A$36,0))*IF(AND($C22="INVAP",Inputs!$C$18="No"),0,1)*G22*$C$5</f>
        <v>63110.4075</v>
      </c>
      <c r="M22" s="31" t="n">
        <f aca="false">$F22*INDEX(Escenarios!$I$12:$I$36,MATCH($A22,Escenarios!$A$12:$A$36,0))*IF(AND($C22="INVAP",Inputs!$C$18="No"),0,1)*H22*$C$5</f>
        <v>7012.2675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70122.675</v>
      </c>
      <c r="Q22" s="31" t="n">
        <f aca="false">IF(INDEX(Escenarios!$J$12:$J$36,MATCH($A22,Escenarios!$A$12:$A$36,0))*IF(AND($C22="INVAP",Inputs!$C$18="No"),0,1)&gt;0,$E22*$C$5,0)</f>
        <v>305</v>
      </c>
      <c r="R22" s="31" t="n">
        <f aca="false">$F22*INDEX(Escenarios!$J$12:$J$36,MATCH($A22,Escenarios!$A$12:$A$36,0))*IF(AND($C22="INVAP",Inputs!$C$18="No"),0,1)*G22*$C$5</f>
        <v>63110.4075</v>
      </c>
      <c r="S22" s="31" t="n">
        <f aca="false">$F22*INDEX(Escenarios!$J$12:$J$36,MATCH($A22,Escenarios!$A$12:$A$36,0))*IF(AND($C22="INVAP",Inputs!$C$18="No"),0,1)*H22*$C$5</f>
        <v>7012.2675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70122.675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93</v>
      </c>
      <c r="B23" s="4" t="s">
        <v>94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SUMIFS(Datos!$H$5:$H$291,Datos!$E$5:$E$291,$A23,Datos!$F$5:$F$291,"S5")</f>
        <v>370</v>
      </c>
      <c r="F23" s="31" t="n">
        <f aca="false">SUMIFS(Datos!$J$5:$J$291,Datos!$E$5:$E$291,$A23,Datos!$F$5:$F$291,"S5")</f>
        <v>84815.325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370</v>
      </c>
      <c r="L23" s="31" t="n">
        <f aca="false">$F23*INDEX(Escenarios!$I$12:$I$36,MATCH($A23,Escenarios!$A$12:$A$36,0))*IF(AND($C23="INVAP",Inputs!$C$18="No"),0,1)*G23*$C$5</f>
        <v>76333.7925</v>
      </c>
      <c r="M23" s="31" t="n">
        <f aca="false">$F23*INDEX(Escenarios!$I$12:$I$36,MATCH($A23,Escenarios!$A$12:$A$36,0))*IF(AND($C23="INVAP",Inputs!$C$18="No"),0,1)*H23*$C$5</f>
        <v>8481.5325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84815.325</v>
      </c>
      <c r="Q23" s="31" t="n">
        <f aca="false">IF(INDEX(Escenarios!$J$12:$J$36,MATCH($A23,Escenarios!$A$12:$A$36,0))*IF(AND($C23="INVAP",Inputs!$C$18="No"),0,1)&gt;0,$E23*$C$5,0)</f>
        <v>370</v>
      </c>
      <c r="R23" s="31" t="n">
        <f aca="false">$F23*INDEX(Escenarios!$J$12:$J$36,MATCH($A23,Escenarios!$A$12:$A$36,0))*IF(AND($C23="INVAP",Inputs!$C$18="No"),0,1)*G23*$C$5</f>
        <v>76333.7925</v>
      </c>
      <c r="S23" s="31" t="n">
        <f aca="false">$F23*INDEX(Escenarios!$J$12:$J$36,MATCH($A23,Escenarios!$A$12:$A$36,0))*IF(AND($C23="INVAP",Inputs!$C$18="No"),0,1)*H23*$C$5</f>
        <v>8481.5325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84815.325</v>
      </c>
      <c r="W23" s="31" t="n">
        <f aca="false">IF(INDEX(Escenarios!$K$12:$K$36,MATCH($A23,Escenarios!$A$12:$A$36,0))*IF(AND($C23="INVAP",Inputs!$C$18="No"),0,1)&gt;0,$E23*$C$5,0)</f>
        <v>370</v>
      </c>
      <c r="X23" s="31" t="n">
        <f aca="false">$F23*INDEX(Escenarios!$K$12:$K$36,MATCH($A23,Escenarios!$A$12:$A$36,0))*IF(AND($C23="INVAP",Inputs!$C$18="No"),0,1)*G23*$C$5</f>
        <v>76333.7925</v>
      </c>
      <c r="Y23" s="31" t="n">
        <f aca="false">$F23*INDEX(Escenarios!$K$12:$K$36,MATCH($A23,Escenarios!$A$12:$A$36,0))*IF(AND($C23="INVAP",Inputs!$C$18="No"),0,1)*H23*$C$5</f>
        <v>8481.5325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84815.325</v>
      </c>
      <c r="AC23" s="31" t="n">
        <f aca="false">IF(INDEX(Escenarios!$L$12:$L$36,MATCH($A23,Escenarios!$A$12:$A$36,0))*IF(AND($C23="INVAP",Inputs!$C$18="No"),0,1)&gt;0,$E23*$C$5,0)</f>
        <v>370</v>
      </c>
      <c r="AD23" s="31" t="n">
        <f aca="false">$F23*INDEX(Escenarios!$L$12:$L$36,MATCH($A23,Escenarios!$A$12:$A$36,0))*IF(AND($C23="INVAP",Inputs!$C$18="No"),0,1)*G23*$C$5</f>
        <v>76333.7925</v>
      </c>
      <c r="AE23" s="31" t="n">
        <f aca="false">$F23*INDEX(Escenarios!$L$12:$L$36,MATCH($A23,Escenarios!$A$12:$A$36,0))*IF(AND($C23="INVAP",Inputs!$C$18="No"),0,1)*H23*$C$5</f>
        <v>8481.5325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84815.325</v>
      </c>
    </row>
    <row r="24" customFormat="false" ht="15" hidden="false" customHeight="false" outlineLevel="0" collapsed="false">
      <c r="A24" s="15" t="s">
        <v>95</v>
      </c>
      <c r="B24" s="4" t="s">
        <v>96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SUMIFS(Datos!$H$5:$H$291,Datos!$E$5:$E$291,$A24,Datos!$F$5:$F$291,"S5")</f>
        <v>265</v>
      </c>
      <c r="F24" s="31" t="n">
        <f aca="false">SUMIFS(Datos!$J$5:$J$291,Datos!$E$5:$E$291,$A24,Datos!$F$5:$F$291,"S5")</f>
        <v>60968.25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265</v>
      </c>
      <c r="L24" s="31" t="n">
        <f aca="false">$F24*INDEX(Escenarios!$I$12:$I$36,MATCH($A24,Escenarios!$A$12:$A$36,0))*IF(AND($C24="INVAP",Inputs!$C$18="No"),0,1)*G24*$C$5</f>
        <v>54871.425</v>
      </c>
      <c r="M24" s="31" t="n">
        <f aca="false">$F24*INDEX(Escenarios!$I$12:$I$36,MATCH($A24,Escenarios!$A$12:$A$36,0))*IF(AND($C24="INVAP",Inputs!$C$18="No"),0,1)*H24*$C$5</f>
        <v>6096.825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60968.25</v>
      </c>
      <c r="Q24" s="31" t="n">
        <f aca="false">IF(INDEX(Escenarios!$J$12:$J$36,MATCH($A24,Escenarios!$A$12:$A$36,0))*IF(AND($C24="INVAP",Inputs!$C$18="No"),0,1)&gt;0,$E24*$C$5,0)</f>
        <v>265</v>
      </c>
      <c r="R24" s="31" t="n">
        <f aca="false">$F24*INDEX(Escenarios!$J$12:$J$36,MATCH($A24,Escenarios!$A$12:$A$36,0))*IF(AND($C24="INVAP",Inputs!$C$18="No"),0,1)*G24*$C$5</f>
        <v>54871.425</v>
      </c>
      <c r="S24" s="31" t="n">
        <f aca="false">$F24*INDEX(Escenarios!$J$12:$J$36,MATCH($A24,Escenarios!$A$12:$A$36,0))*IF(AND($C24="INVAP",Inputs!$C$18="No"),0,1)*H24*$C$5</f>
        <v>6096.825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60968.25</v>
      </c>
      <c r="W24" s="31" t="n">
        <f aca="false">IF(INDEX(Escenarios!$K$12:$K$36,MATCH($A24,Escenarios!$A$12:$A$36,0))*IF(AND($C24="INVAP",Inputs!$C$18="No"),0,1)&gt;0,$E24*$C$5,0)</f>
        <v>265</v>
      </c>
      <c r="X24" s="31" t="n">
        <f aca="false">$F24*INDEX(Escenarios!$K$12:$K$36,MATCH($A24,Escenarios!$A$12:$A$36,0))*IF(AND($C24="INVAP",Inputs!$C$18="No"),0,1)*G24*$C$5</f>
        <v>54871.425</v>
      </c>
      <c r="Y24" s="31" t="n">
        <f aca="false">$F24*INDEX(Escenarios!$K$12:$K$36,MATCH($A24,Escenarios!$A$12:$A$36,0))*IF(AND($C24="INVAP",Inputs!$C$18="No"),0,1)*H24*$C$5</f>
        <v>6096.825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60968.25</v>
      </c>
      <c r="AC24" s="31" t="n">
        <f aca="false">IF(INDEX(Escenarios!$L$12:$L$36,MATCH($A24,Escenarios!$A$12:$A$36,0))*IF(AND($C24="INVAP",Inputs!$C$18="No"),0,1)&gt;0,$E24*$C$5,0)</f>
        <v>265</v>
      </c>
      <c r="AD24" s="31" t="n">
        <f aca="false">$F24*INDEX(Escenarios!$L$12:$L$36,MATCH($A24,Escenarios!$A$12:$A$36,0))*IF(AND($C24="INVAP",Inputs!$C$18="No"),0,1)*G24*$C$5</f>
        <v>54871.425</v>
      </c>
      <c r="AE24" s="31" t="n">
        <f aca="false">$F24*INDEX(Escenarios!$L$12:$L$36,MATCH($A24,Escenarios!$A$12:$A$36,0))*IF(AND($C24="INVAP",Inputs!$C$18="No"),0,1)*H24*$C$5</f>
        <v>6096.825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60968.25</v>
      </c>
    </row>
    <row r="25" customFormat="false" ht="15" hidden="false" customHeight="false" outlineLevel="0" collapsed="false">
      <c r="A25" s="15" t="s">
        <v>97</v>
      </c>
      <c r="B25" s="4" t="s">
        <v>98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SUMIFS(Datos!$H$5:$H$291,Datos!$E$5:$E$291,$A25,Datos!$F$5:$F$291,"S5")</f>
        <v>0</v>
      </c>
      <c r="F25" s="31" t="n">
        <f aca="false">SUMIFS(Datos!$J$5:$J$291,Datos!$E$5:$E$291,$A25,Datos!$F$5:$F$291,"S5")</f>
        <v>0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0</v>
      </c>
      <c r="L25" s="31" t="n">
        <f aca="false">$F25*INDEX(Escenarios!$I$12:$I$36,MATCH($A25,Escenarios!$A$12:$A$36,0))*IF(AND($C25="INVAP",Inputs!$C$18="No"),0,1)*G25*$C$5</f>
        <v>0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0</v>
      </c>
      <c r="Q25" s="31" t="n">
        <f aca="false">IF(INDEX(Escenarios!$J$12:$J$36,MATCH($A25,Escenarios!$A$12:$A$36,0))*IF(AND($C25="INVAP",Inputs!$C$18="No"),0,1)&gt;0,$E25*$C$5,0)</f>
        <v>0</v>
      </c>
      <c r="R25" s="31" t="n">
        <f aca="false">$F25*INDEX(Escenarios!$J$12:$J$36,MATCH($A25,Escenarios!$A$12:$A$36,0))*IF(AND($C25="INVAP",Inputs!$C$18="No"),0,1)*G25*$C$5</f>
        <v>0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0</v>
      </c>
      <c r="W25" s="31" t="n">
        <f aca="false">IF(INDEX(Escenarios!$K$12:$K$36,MATCH($A25,Escenarios!$A$12:$A$36,0))*IF(AND($C25="INVAP",Inputs!$C$18="No"),0,1)&gt;0,$E25*$C$5,0)</f>
        <v>0</v>
      </c>
      <c r="X25" s="31" t="n">
        <f aca="false">$F25*INDEX(Escenarios!$K$12:$K$36,MATCH($A25,Escenarios!$A$12:$A$36,0))*IF(AND($C25="INVAP",Inputs!$C$18="No"),0,1)*G25*$C$5</f>
        <v>0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0</v>
      </c>
      <c r="AC25" s="31" t="n">
        <f aca="false">IF(INDEX(Escenarios!$L$12:$L$36,MATCH($A25,Escenarios!$A$12:$A$36,0))*IF(AND($C25="INVAP",Inputs!$C$18="No"),0,1)&gt;0,$E25*$C$5,0)</f>
        <v>0</v>
      </c>
      <c r="AD25" s="31" t="n">
        <f aca="false">$F25*INDEX(Escenarios!$L$12:$L$36,MATCH($A25,Escenarios!$A$12:$A$36,0))*IF(AND($C25="INVAP",Inputs!$C$18="No"),0,1)*G25*$C$5</f>
        <v>0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0</v>
      </c>
    </row>
    <row r="26" customFormat="false" ht="15" hidden="false" customHeight="false" outlineLevel="0" collapsed="false">
      <c r="A26" s="15" t="s">
        <v>99</v>
      </c>
      <c r="B26" s="4" t="s">
        <v>100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SUMIFS(Datos!$H$5:$H$291,Datos!$E$5:$E$291,$A26,Datos!$F$5:$F$291,"S5")</f>
        <v>0</v>
      </c>
      <c r="F26" s="31" t="n">
        <f aca="false">SUMIFS(Datos!$J$5:$J$291,Datos!$E$5:$E$291,$A26,Datos!$F$5:$F$291,"S5")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101</v>
      </c>
      <c r="B27" s="4" t="s">
        <v>102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SUMIFS(Datos!$H$5:$H$291,Datos!$E$5:$E$291,$A27,Datos!$F$5:$F$291,"S5")</f>
        <v>450</v>
      </c>
      <c r="F27" s="31" t="n">
        <f aca="false">SUMIFS(Datos!$J$5:$J$291,Datos!$E$5:$E$291,$A27,Datos!$F$5:$F$291,"S5")</f>
        <v>103524.75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450</v>
      </c>
      <c r="L27" s="31" t="n">
        <f aca="false">$F27*INDEX(Escenarios!$I$12:$I$36,MATCH($A27,Escenarios!$A$12:$A$36,0))*IF(AND($C27="INVAP",Inputs!$C$18="No"),0,1)*G27*$C$5</f>
        <v>93172.275</v>
      </c>
      <c r="M27" s="31" t="n">
        <f aca="false">$F27*INDEX(Escenarios!$I$12:$I$36,MATCH($A27,Escenarios!$A$12:$A$36,0))*IF(AND($C27="INVAP",Inputs!$C$18="No"),0,1)*H27*$C$5</f>
        <v>10352.475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103524.75</v>
      </c>
      <c r="Q27" s="31" t="n">
        <f aca="false">IF(INDEX(Escenarios!$J$12:$J$36,MATCH($A27,Escenarios!$A$12:$A$36,0))*IF(AND($C27="INVAP",Inputs!$C$18="No"),0,1)&gt;0,$E27*$C$5,0)</f>
        <v>450</v>
      </c>
      <c r="R27" s="31" t="n">
        <f aca="false">$F27*INDEX(Escenarios!$J$12:$J$36,MATCH($A27,Escenarios!$A$12:$A$36,0))*IF(AND($C27="INVAP",Inputs!$C$18="No"),0,1)*G27*$C$5</f>
        <v>93172.275</v>
      </c>
      <c r="S27" s="31" t="n">
        <f aca="false">$F27*INDEX(Escenarios!$J$12:$J$36,MATCH($A27,Escenarios!$A$12:$A$36,0))*IF(AND($C27="INVAP",Inputs!$C$18="No"),0,1)*H27*$C$5</f>
        <v>10352.475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103524.75</v>
      </c>
      <c r="W27" s="31" t="n">
        <f aca="false">IF(INDEX(Escenarios!$K$12:$K$36,MATCH($A27,Escenarios!$A$12:$A$36,0))*IF(AND($C27="INVAP",Inputs!$C$18="No"),0,1)&gt;0,$E27*$C$5,0)</f>
        <v>450</v>
      </c>
      <c r="X27" s="31" t="n">
        <f aca="false">$F27*INDEX(Escenarios!$K$12:$K$36,MATCH($A27,Escenarios!$A$12:$A$36,0))*IF(AND($C27="INVAP",Inputs!$C$18="No"),0,1)*G27*$C$5</f>
        <v>93172.275</v>
      </c>
      <c r="Y27" s="31" t="n">
        <f aca="false">$F27*INDEX(Escenarios!$K$12:$K$36,MATCH($A27,Escenarios!$A$12:$A$36,0))*IF(AND($C27="INVAP",Inputs!$C$18="No"),0,1)*H27*$C$5</f>
        <v>10352.475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103524.75</v>
      </c>
      <c r="AC27" s="31" t="n">
        <f aca="false">IF(INDEX(Escenarios!$L$12:$L$36,MATCH($A27,Escenarios!$A$12:$A$36,0))*IF(AND($C27="INVAP",Inputs!$C$18="No"),0,1)&gt;0,$E27*$C$5,0)</f>
        <v>450</v>
      </c>
      <c r="AD27" s="31" t="n">
        <f aca="false">$F27*INDEX(Escenarios!$L$12:$L$36,MATCH($A27,Escenarios!$A$12:$A$36,0))*IF(AND($C27="INVAP",Inputs!$C$18="No"),0,1)*G27*$C$5</f>
        <v>93172.275</v>
      </c>
      <c r="AE27" s="31" t="n">
        <f aca="false">$F27*INDEX(Escenarios!$L$12:$L$36,MATCH($A27,Escenarios!$A$12:$A$36,0))*IF(AND($C27="INVAP",Inputs!$C$18="No"),0,1)*H27*$C$5</f>
        <v>10352.475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103524.75</v>
      </c>
    </row>
    <row r="28" customFormat="false" ht="15" hidden="false" customHeight="false" outlineLevel="0" collapsed="false">
      <c r="A28" s="15" t="s">
        <v>103</v>
      </c>
      <c r="B28" s="4" t="s">
        <v>104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SUMIFS(Datos!$H$5:$H$291,Datos!$E$5:$E$291,$A28,Datos!$F$5:$F$291,"S5")</f>
        <v>0</v>
      </c>
      <c r="F28" s="31" t="n">
        <f aca="false">SUMIFS(Datos!$J$5:$J$291,Datos!$E$5:$E$291,$A28,Datos!$F$5:$F$291,"S5")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105</v>
      </c>
      <c r="B29" s="4" t="s">
        <v>106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SUMIFS(Datos!$H$5:$H$291,Datos!$E$5:$E$291,$A29,Datos!$F$5:$F$291,"S5")</f>
        <v>0</v>
      </c>
      <c r="F29" s="31" t="n">
        <f aca="false">SUMIFS(Datos!$J$5:$J$291,Datos!$E$5:$E$291,$A29,Datos!$F$5:$F$291,"S5")</f>
        <v>0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0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0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0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0</v>
      </c>
    </row>
    <row r="30" customFormat="false" ht="15" hidden="false" customHeight="false" outlineLevel="0" collapsed="false">
      <c r="A30" s="15" t="s">
        <v>107</v>
      </c>
      <c r="B30" s="4" t="s">
        <v>108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SUMIFS(Datos!$H$5:$H$291,Datos!$E$5:$E$291,$A30,Datos!$F$5:$F$291,"S5")</f>
        <v>275</v>
      </c>
      <c r="F30" s="31" t="n">
        <f aca="false">SUMIFS(Datos!$J$5:$J$291,Datos!$E$5:$E$291,$A30,Datos!$F$5:$F$291,"S5")</f>
        <v>63195.3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275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63195.3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63195.3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275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31597.65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31597.65</v>
      </c>
    </row>
    <row r="31" customFormat="false" ht="15" hidden="false" customHeight="false" outlineLevel="0" collapsed="false">
      <c r="A31" s="15" t="s">
        <v>109</v>
      </c>
      <c r="B31" s="4" t="s">
        <v>110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SUMIFS(Datos!$H$5:$H$291,Datos!$E$5:$E$291,$A31,Datos!$F$5:$F$291,"S5")</f>
        <v>0</v>
      </c>
      <c r="F31" s="31" t="n">
        <f aca="false">SUMIFS(Datos!$J$5:$J$291,Datos!$E$5:$E$291,$A31,Datos!$F$5:$F$291,"S5")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111</v>
      </c>
      <c r="B32" s="4" t="s">
        <v>112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SUMIFS(Datos!$H$5:$H$291,Datos!$E$5:$E$291,$A32,Datos!$F$5:$F$291,"S5")</f>
        <v>285</v>
      </c>
      <c r="F32" s="31" t="n">
        <f aca="false">SUMIFS(Datos!$J$5:$J$291,Datos!$E$5:$E$291,$A32,Datos!$F$5:$F$291,"S5")</f>
        <v>65337.825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285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65337.825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65337.825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285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32668.9125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32668.9125</v>
      </c>
    </row>
    <row r="33" customFormat="false" ht="15" hidden="false" customHeight="false" outlineLevel="0" collapsed="false">
      <c r="A33" s="34"/>
      <c r="B33" s="35" t="s">
        <v>129</v>
      </c>
      <c r="C33" s="34"/>
      <c r="D33" s="34"/>
      <c r="E33" s="36" t="n">
        <f aca="false">SUM(E8:E32)</f>
        <v>2355</v>
      </c>
      <c r="F33" s="36" t="n">
        <f aca="false">SUM(F8:F32)</f>
        <v>540610.875</v>
      </c>
      <c r="G33" s="34"/>
      <c r="H33" s="34"/>
      <c r="I33" s="34"/>
      <c r="J33" s="34"/>
      <c r="K33" s="36" t="n">
        <f aca="false">SUM(K8:K32)</f>
        <v>2355</v>
      </c>
      <c r="L33" s="36" t="n">
        <f aca="false">SUM(L8:L32)</f>
        <v>380134.65</v>
      </c>
      <c r="M33" s="36" t="n">
        <f aca="false">SUM(M8:M32)</f>
        <v>160476.225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540610.875</v>
      </c>
      <c r="Q33" s="36" t="n">
        <f aca="false">SUM(Q8:Q32)</f>
        <v>1795</v>
      </c>
      <c r="R33" s="36" t="n">
        <f aca="false">SUM(R8:R32)</f>
        <v>380134.65</v>
      </c>
      <c r="S33" s="36" t="n">
        <f aca="false">SUM(S8:S32)</f>
        <v>31943.1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412077.75</v>
      </c>
      <c r="W33" s="36" t="n">
        <f aca="false">SUM(W8:W32)</f>
        <v>1085</v>
      </c>
      <c r="X33" s="36" t="n">
        <f aca="false">SUM(X8:X32)</f>
        <v>224377.4925</v>
      </c>
      <c r="Y33" s="36" t="n">
        <f aca="false">SUM(Y8:Y32)</f>
        <v>24930.8325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249308.325</v>
      </c>
      <c r="AC33" s="36" t="n">
        <f aca="false">SUM(AC8:AC32)</f>
        <v>1645</v>
      </c>
      <c r="AD33" s="36" t="n">
        <f aca="false">SUM(AD8:AD32)</f>
        <v>224377.4925</v>
      </c>
      <c r="AE33" s="36" t="n">
        <f aca="false">SUM(AE8:AE32)</f>
        <v>89197.395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313574.8875</v>
      </c>
    </row>
    <row r="34" customFormat="false" ht="15" hidden="false" customHeight="false" outlineLevel="0" collapsed="false">
      <c r="B34" s="37" t="s">
        <v>123</v>
      </c>
      <c r="L34" s="38" t="n">
        <v>0</v>
      </c>
      <c r="M34" s="38" t="n">
        <v>0</v>
      </c>
      <c r="N34" s="38" t="n">
        <v>0</v>
      </c>
      <c r="O34" s="38" t="n">
        <v>0</v>
      </c>
      <c r="P34" s="38" t="n">
        <v>0</v>
      </c>
      <c r="R34" s="38" t="n">
        <v>0</v>
      </c>
      <c r="S34" s="38" t="n">
        <v>0</v>
      </c>
      <c r="T34" s="38" t="n">
        <v>0</v>
      </c>
      <c r="U34" s="38" t="n">
        <v>0</v>
      </c>
      <c r="V34" s="38" t="n">
        <v>0</v>
      </c>
      <c r="X34" s="38" t="n">
        <v>0</v>
      </c>
      <c r="Y34" s="38" t="n">
        <v>0</v>
      </c>
      <c r="Z34" s="38" t="n">
        <v>0</v>
      </c>
      <c r="AA34" s="38" t="n">
        <v>0</v>
      </c>
      <c r="AB34" s="38" t="n">
        <v>0</v>
      </c>
      <c r="AD34" s="38" t="n">
        <v>0</v>
      </c>
      <c r="AE34" s="38" t="n">
        <v>0</v>
      </c>
      <c r="AF34" s="38" t="n">
        <v>0</v>
      </c>
      <c r="AG34" s="38" t="n">
        <v>0</v>
      </c>
      <c r="AH34" s="38" t="n">
        <v>0</v>
      </c>
    </row>
    <row r="35" customFormat="false" ht="15" hidden="false" customHeight="false" outlineLevel="0" collapsed="false">
      <c r="A35" s="39"/>
      <c r="B35" s="3" t="s">
        <v>130</v>
      </c>
      <c r="C35" s="39"/>
      <c r="D35" s="39"/>
      <c r="E35" s="40" t="n">
        <f aca="false">E33</f>
        <v>2355</v>
      </c>
      <c r="F35" s="40" t="n">
        <f aca="false">F33</f>
        <v>540610.875</v>
      </c>
      <c r="G35" s="39"/>
      <c r="H35" s="39"/>
      <c r="I35" s="39"/>
      <c r="J35" s="39"/>
      <c r="K35" s="40" t="n">
        <f aca="false">K33</f>
        <v>2355</v>
      </c>
      <c r="L35" s="40" t="n">
        <f aca="false">L33+L34</f>
        <v>380134.65</v>
      </c>
      <c r="M35" s="40" t="n">
        <f aca="false">M33+M34</f>
        <v>160476.225</v>
      </c>
      <c r="N35" s="40" t="n">
        <f aca="false">N33+N34</f>
        <v>0</v>
      </c>
      <c r="O35" s="40" t="n">
        <f aca="false">O33+O34</f>
        <v>0</v>
      </c>
      <c r="P35" s="40" t="n">
        <f aca="false">P33+P34</f>
        <v>540610.875</v>
      </c>
      <c r="Q35" s="40" t="n">
        <f aca="false">Q33</f>
        <v>1795</v>
      </c>
      <c r="R35" s="40" t="n">
        <f aca="false">R33+R34</f>
        <v>380134.65</v>
      </c>
      <c r="S35" s="40" t="n">
        <f aca="false">S33+S34</f>
        <v>31943.1</v>
      </c>
      <c r="T35" s="40" t="n">
        <f aca="false">T33+T34</f>
        <v>0</v>
      </c>
      <c r="U35" s="40" t="n">
        <f aca="false">U33+U34</f>
        <v>0</v>
      </c>
      <c r="V35" s="40" t="n">
        <f aca="false">V33+V34</f>
        <v>412077.75</v>
      </c>
      <c r="W35" s="40" t="n">
        <f aca="false">W33</f>
        <v>1085</v>
      </c>
      <c r="X35" s="40" t="n">
        <f aca="false">X33+X34</f>
        <v>224377.4925</v>
      </c>
      <c r="Y35" s="40" t="n">
        <f aca="false">Y33+Y34</f>
        <v>24930.8325</v>
      </c>
      <c r="Z35" s="40" t="n">
        <f aca="false">Z33+Z34</f>
        <v>0</v>
      </c>
      <c r="AA35" s="40" t="n">
        <f aca="false">AA33+AA34</f>
        <v>0</v>
      </c>
      <c r="AB35" s="40" t="n">
        <f aca="false">AB33+AB34</f>
        <v>249308.325</v>
      </c>
      <c r="AC35" s="40" t="n">
        <f aca="false">AC33</f>
        <v>1645</v>
      </c>
      <c r="AD35" s="40" t="n">
        <f aca="false">AD33+AD34</f>
        <v>224377.4925</v>
      </c>
      <c r="AE35" s="40" t="n">
        <f aca="false">AE33+AE34</f>
        <v>89197.395</v>
      </c>
      <c r="AF35" s="40" t="n">
        <f aca="false">AF33+AF34</f>
        <v>0</v>
      </c>
      <c r="AG35" s="40" t="n">
        <f aca="false">AG33+AG34</f>
        <v>0</v>
      </c>
      <c r="AH35" s="40" t="n">
        <f aca="false">AH33+AH34</f>
        <v>313574.8875</v>
      </c>
    </row>
    <row r="37" customFormat="false" ht="15" hidden="false" customHeight="false" outlineLevel="0" collapsed="false">
      <c r="B37" s="2" t="s">
        <v>115</v>
      </c>
      <c r="F37" s="41" t="n">
        <f aca="false">SUM(G37:J37)</f>
        <v>540610.875</v>
      </c>
      <c r="G37" s="41" t="n">
        <f aca="false">SUMPRODUCT($F$8:$F$32,G$8:G$32)</f>
        <v>380134.65</v>
      </c>
      <c r="H37" s="41" t="n">
        <f aca="false">SUMPRODUCT($F$8:$F$32,H$8:H$32)</f>
        <v>160476.225</v>
      </c>
      <c r="I37" s="41" t="n">
        <f aca="false">SUMPRODUCT($F$8:$F$32,I$8:I$32)</f>
        <v>0</v>
      </c>
      <c r="J37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131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5" customFormat="false" ht="15" hidden="false" customHeight="false" outlineLevel="0" collapsed="false">
      <c r="B5" s="15" t="s">
        <v>44</v>
      </c>
      <c r="C5" s="18" t="n">
        <f aca="false">IF(Inputs!$C$10="Todas las etapas",Inputs!$C$9,IF(AND(Inputs!$C$10="Solo diseño (S1–S5)",6&lt;=5),Inputs!$C$9,IF(AND(Inputs!$C$10="Solo lump sum (S1–S3)",6&lt;=3),Inputs!$C$9,1)))</f>
        <v>1</v>
      </c>
      <c r="D5" s="17" t="str">
        <f aca="false">Inputs!$C$7&amp;" loops"</f>
        <v>3 loops</v>
      </c>
      <c r="E5" s="2" t="s">
        <v>45</v>
      </c>
    </row>
    <row r="6" customFormat="false" ht="15" hidden="false" customHeight="false" outlineLevel="0" collapsed="false">
      <c r="A6" s="19" t="s">
        <v>46</v>
      </c>
      <c r="B6" s="19"/>
      <c r="C6" s="19"/>
      <c r="D6" s="19"/>
      <c r="E6" s="19"/>
      <c r="F6" s="19"/>
      <c r="G6" s="19" t="s">
        <v>47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48</v>
      </c>
      <c r="B7" s="23" t="s">
        <v>49</v>
      </c>
      <c r="C7" s="23" t="s">
        <v>50</v>
      </c>
      <c r="D7" s="23" t="s">
        <v>51</v>
      </c>
      <c r="E7" s="23" t="s">
        <v>52</v>
      </c>
      <c r="F7" s="23" t="s">
        <v>53</v>
      </c>
      <c r="G7" s="23" t="s">
        <v>54</v>
      </c>
      <c r="H7" s="23" t="s">
        <v>55</v>
      </c>
      <c r="I7" s="23" t="s">
        <v>56</v>
      </c>
      <c r="J7" s="23" t="s">
        <v>57</v>
      </c>
      <c r="K7" s="24" t="s">
        <v>58</v>
      </c>
      <c r="L7" s="25" t="s">
        <v>29</v>
      </c>
      <c r="M7" s="26" t="s">
        <v>59</v>
      </c>
      <c r="N7" s="27" t="s">
        <v>60</v>
      </c>
      <c r="O7" s="28" t="s">
        <v>61</v>
      </c>
      <c r="P7" s="24" t="s">
        <v>62</v>
      </c>
      <c r="Q7" s="24" t="s">
        <v>58</v>
      </c>
      <c r="R7" s="25" t="s">
        <v>29</v>
      </c>
      <c r="S7" s="26" t="s">
        <v>59</v>
      </c>
      <c r="T7" s="27" t="s">
        <v>60</v>
      </c>
      <c r="U7" s="28" t="s">
        <v>61</v>
      </c>
      <c r="V7" s="24" t="s">
        <v>62</v>
      </c>
      <c r="W7" s="24" t="s">
        <v>58</v>
      </c>
      <c r="X7" s="25" t="s">
        <v>29</v>
      </c>
      <c r="Y7" s="26" t="s">
        <v>59</v>
      </c>
      <c r="Z7" s="27" t="s">
        <v>60</v>
      </c>
      <c r="AA7" s="28" t="s">
        <v>61</v>
      </c>
      <c r="AB7" s="24" t="s">
        <v>62</v>
      </c>
      <c r="AC7" s="24" t="s">
        <v>58</v>
      </c>
      <c r="AD7" s="25" t="s">
        <v>29</v>
      </c>
      <c r="AE7" s="26" t="s">
        <v>59</v>
      </c>
      <c r="AF7" s="27" t="s">
        <v>60</v>
      </c>
      <c r="AG7" s="28" t="s">
        <v>61</v>
      </c>
      <c r="AH7" s="24" t="s">
        <v>62</v>
      </c>
    </row>
    <row r="8" customFormat="false" ht="15" hidden="false" customHeight="false" outlineLevel="0" collapsed="false">
      <c r="A8" s="15" t="s">
        <v>63</v>
      </c>
      <c r="B8" s="4" t="s">
        <v>64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SUMIFS(Datos!$H$5:$H$291,Datos!$E$5:$E$291,$A8,Datos!$F$5:$F$291,"S6")</f>
        <v>0</v>
      </c>
      <c r="F8" s="31" t="n">
        <f aca="false">SUMIFS(Datos!$J$5:$J$291,Datos!$E$5:$E$291,$A8,Datos!$F$5:$F$291,"S6")</f>
        <v>0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0</v>
      </c>
      <c r="L8" s="31" t="n">
        <f aca="false">$F8*INDEX(Escenarios!$I$12:$I$36,MATCH($A8,Escenarios!$A$12:$A$36,0))*IF(AND($C8="INVAP",Inputs!$C$18="No"),0,1)*G8*$C$5</f>
        <v>0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0</v>
      </c>
      <c r="Q8" s="31" t="n">
        <f aca="false">IF(INDEX(Escenarios!$J$12:$J$36,MATCH($A8,Escenarios!$A$12:$A$36,0))*IF(AND($C8="INVAP",Inputs!$C$18="No"),0,1)&gt;0,$E8*$C$5,0)</f>
        <v>0</v>
      </c>
      <c r="R8" s="31" t="n">
        <f aca="false">$F8*INDEX(Escenarios!$J$12:$J$36,MATCH($A8,Escenarios!$A$12:$A$36,0))*IF(AND($C8="INVAP",Inputs!$C$18="No"),0,1)*G8*$C$5</f>
        <v>0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0</v>
      </c>
      <c r="W8" s="31" t="n">
        <f aca="false">IF(INDEX(Escenarios!$K$12:$K$36,MATCH($A8,Escenarios!$A$12:$A$36,0))*IF(AND($C8="INVAP",Inputs!$C$18="No"),0,1)&gt;0,$E8*$C$5,0)</f>
        <v>0</v>
      </c>
      <c r="X8" s="31" t="n">
        <f aca="false">$F8*INDEX(Escenarios!$K$12:$K$36,MATCH($A8,Escenarios!$A$12:$A$36,0))*IF(AND($C8="INVAP",Inputs!$C$18="No"),0,1)*G8*$C$5</f>
        <v>0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0</v>
      </c>
      <c r="AC8" s="31" t="n">
        <f aca="false">IF(INDEX(Escenarios!$L$12:$L$36,MATCH($A8,Escenarios!$A$12:$A$36,0))*IF(AND($C8="INVAP",Inputs!$C$18="No"),0,1)&gt;0,$E8*$C$5,0)</f>
        <v>0</v>
      </c>
      <c r="AD8" s="31" t="n">
        <f aca="false">$F8*INDEX(Escenarios!$L$12:$L$36,MATCH($A8,Escenarios!$A$12:$A$36,0))*IF(AND($C8="INVAP",Inputs!$C$18="No"),0,1)*G8*$C$5</f>
        <v>0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0</v>
      </c>
    </row>
    <row r="9" customFormat="false" ht="15" hidden="false" customHeight="false" outlineLevel="0" collapsed="false">
      <c r="A9" s="15" t="s">
        <v>65</v>
      </c>
      <c r="B9" s="4" t="s">
        <v>66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SUMIFS(Datos!$H$5:$H$291,Datos!$E$5:$E$291,$A9,Datos!$F$5:$F$291,"S6")</f>
        <v>0</v>
      </c>
      <c r="F9" s="31" t="n">
        <f aca="false">SUMIFS(Datos!$J$5:$J$291,Datos!$E$5:$E$291,$A9,Datos!$F$5:$F$291,"S6")</f>
        <v>0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0</v>
      </c>
      <c r="L9" s="31" t="n">
        <f aca="false">$F9*INDEX(Escenarios!$I$12:$I$36,MATCH($A9,Escenarios!$A$12:$A$36,0))*IF(AND($C9="INVAP",Inputs!$C$18="No"),0,1)*G9*$C$5</f>
        <v>0</v>
      </c>
      <c r="M9" s="31" t="n">
        <f aca="false">$F9*INDEX(Escenarios!$I$12:$I$36,MATCH($A9,Escenarios!$A$12:$A$36,0))*IF(AND($C9="INVAP",Inputs!$C$18="No"),0,1)*H9*$C$5</f>
        <v>0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0</v>
      </c>
      <c r="Q9" s="31" t="n">
        <f aca="false">IF(INDEX(Escenarios!$J$12:$J$36,MATCH($A9,Escenarios!$A$12:$A$36,0))*IF(AND($C9="INVAP",Inputs!$C$18="No"),0,1)&gt;0,$E9*$C$5,0)</f>
        <v>0</v>
      </c>
      <c r="R9" s="31" t="n">
        <f aca="false">$F9*INDEX(Escenarios!$J$12:$J$36,MATCH($A9,Escenarios!$A$12:$A$36,0))*IF(AND($C9="INVAP",Inputs!$C$18="No"),0,1)*G9*$C$5</f>
        <v>0</v>
      </c>
      <c r="S9" s="31" t="n">
        <f aca="false">$F9*INDEX(Escenarios!$J$12:$J$36,MATCH($A9,Escenarios!$A$12:$A$36,0))*IF(AND($C9="INVAP",Inputs!$C$18="No"),0,1)*H9*$C$5</f>
        <v>0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0</v>
      </c>
      <c r="W9" s="31" t="n">
        <f aca="false">IF(INDEX(Escenarios!$K$12:$K$36,MATCH($A9,Escenarios!$A$12:$A$36,0))*IF(AND($C9="INVAP",Inputs!$C$18="No"),0,1)&gt;0,$E9*$C$5,0)</f>
        <v>0</v>
      </c>
      <c r="X9" s="31" t="n">
        <f aca="false">$F9*INDEX(Escenarios!$K$12:$K$36,MATCH($A9,Escenarios!$A$12:$A$36,0))*IF(AND($C9="INVAP",Inputs!$C$18="No"),0,1)*G9*$C$5</f>
        <v>0</v>
      </c>
      <c r="Y9" s="31" t="n">
        <f aca="false">$F9*INDEX(Escenarios!$K$12:$K$36,MATCH($A9,Escenarios!$A$12:$A$36,0))*IF(AND($C9="INVAP",Inputs!$C$18="No"),0,1)*H9*$C$5</f>
        <v>0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0</v>
      </c>
      <c r="AC9" s="31" t="n">
        <f aca="false">IF(INDEX(Escenarios!$L$12:$L$36,MATCH($A9,Escenarios!$A$12:$A$36,0))*IF(AND($C9="INVAP",Inputs!$C$18="No"),0,1)&gt;0,$E9*$C$5,0)</f>
        <v>0</v>
      </c>
      <c r="AD9" s="31" t="n">
        <f aca="false">$F9*INDEX(Escenarios!$L$12:$L$36,MATCH($A9,Escenarios!$A$12:$A$36,0))*IF(AND($C9="INVAP",Inputs!$C$18="No"),0,1)*G9*$C$5</f>
        <v>0</v>
      </c>
      <c r="AE9" s="31" t="n">
        <f aca="false">$F9*INDEX(Escenarios!$L$12:$L$36,MATCH($A9,Escenarios!$A$12:$A$36,0))*IF(AND($C9="INVAP",Inputs!$C$18="No"),0,1)*H9*$C$5</f>
        <v>0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0</v>
      </c>
    </row>
    <row r="10" customFormat="false" ht="15" hidden="false" customHeight="false" outlineLevel="0" collapsed="false">
      <c r="A10" s="15" t="s">
        <v>67</v>
      </c>
      <c r="B10" s="4" t="s">
        <v>68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SUMIFS(Datos!$H$5:$H$291,Datos!$E$5:$E$291,$A10,Datos!$F$5:$F$291,"S6")</f>
        <v>390</v>
      </c>
      <c r="F10" s="31" t="n">
        <f aca="false">SUMIFS(Datos!$J$5:$J$291,Datos!$E$5:$E$291,$A10,Datos!$F$5:$F$291,"S6")</f>
        <v>92514.45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390</v>
      </c>
      <c r="L10" s="31" t="n">
        <f aca="false">$F10*INDEX(Escenarios!$I$12:$I$36,MATCH($A10,Escenarios!$A$12:$A$36,0))*IF(AND($C10="INVAP",Inputs!$C$18="No"),0,1)*G10*$C$5</f>
        <v>83263.005</v>
      </c>
      <c r="M10" s="31" t="n">
        <f aca="false">$F10*INDEX(Escenarios!$I$12:$I$36,MATCH($A10,Escenarios!$A$12:$A$36,0))*IF(AND($C10="INVAP",Inputs!$C$18="No"),0,1)*H10*$C$5</f>
        <v>9251.445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92514.45</v>
      </c>
      <c r="Q10" s="31" t="n">
        <f aca="false">IF(INDEX(Escenarios!$J$12:$J$36,MATCH($A10,Escenarios!$A$12:$A$36,0))*IF(AND($C10="INVAP",Inputs!$C$18="No"),0,1)&gt;0,$E10*$C$5,0)</f>
        <v>390</v>
      </c>
      <c r="R10" s="31" t="n">
        <f aca="false">$F10*INDEX(Escenarios!$J$12:$J$36,MATCH($A10,Escenarios!$A$12:$A$36,0))*IF(AND($C10="INVAP",Inputs!$C$18="No"),0,1)*G10*$C$5</f>
        <v>83263.005</v>
      </c>
      <c r="S10" s="31" t="n">
        <f aca="false">$F10*INDEX(Escenarios!$J$12:$J$36,MATCH($A10,Escenarios!$A$12:$A$36,0))*IF(AND($C10="INVAP",Inputs!$C$18="No"),0,1)*H10*$C$5</f>
        <v>9251.445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92514.45</v>
      </c>
      <c r="W10" s="31" t="n">
        <f aca="false">IF(INDEX(Escenarios!$K$12:$K$36,MATCH($A10,Escenarios!$A$12:$A$36,0))*IF(AND($C10="INVAP",Inputs!$C$18="No"),0,1)&gt;0,$E10*$C$5,0)</f>
        <v>390</v>
      </c>
      <c r="X10" s="31" t="n">
        <f aca="false">$F10*INDEX(Escenarios!$K$12:$K$36,MATCH($A10,Escenarios!$A$12:$A$36,0))*IF(AND($C10="INVAP",Inputs!$C$18="No"),0,1)*G10*$C$5</f>
        <v>83263.005</v>
      </c>
      <c r="Y10" s="31" t="n">
        <f aca="false">$F10*INDEX(Escenarios!$K$12:$K$36,MATCH($A10,Escenarios!$A$12:$A$36,0))*IF(AND($C10="INVAP",Inputs!$C$18="No"),0,1)*H10*$C$5</f>
        <v>9251.445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92514.45</v>
      </c>
      <c r="AC10" s="31" t="n">
        <f aca="false">IF(INDEX(Escenarios!$L$12:$L$36,MATCH($A10,Escenarios!$A$12:$A$36,0))*IF(AND($C10="INVAP",Inputs!$C$18="No"),0,1)&gt;0,$E10*$C$5,0)</f>
        <v>390</v>
      </c>
      <c r="AD10" s="31" t="n">
        <f aca="false">$F10*INDEX(Escenarios!$L$12:$L$36,MATCH($A10,Escenarios!$A$12:$A$36,0))*IF(AND($C10="INVAP",Inputs!$C$18="No"),0,1)*G10*$C$5</f>
        <v>83263.005</v>
      </c>
      <c r="AE10" s="31" t="n">
        <f aca="false">$F10*INDEX(Escenarios!$L$12:$L$36,MATCH($A10,Escenarios!$A$12:$A$36,0))*IF(AND($C10="INVAP",Inputs!$C$18="No"),0,1)*H10*$C$5</f>
        <v>9251.445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92514.45</v>
      </c>
    </row>
    <row r="11" customFormat="false" ht="15" hidden="false" customHeight="false" outlineLevel="0" collapsed="false">
      <c r="A11" s="15" t="s">
        <v>69</v>
      </c>
      <c r="B11" s="4" t="s">
        <v>70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SUMIFS(Datos!$H$5:$H$291,Datos!$E$5:$E$291,$A11,Datos!$F$5:$F$291,"S6")</f>
        <v>180</v>
      </c>
      <c r="F11" s="31" t="n">
        <f aca="false">SUMIFS(Datos!$J$5:$J$291,Datos!$E$5:$E$291,$A11,Datos!$F$5:$F$291,"S6")</f>
        <v>42192.675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180</v>
      </c>
      <c r="L11" s="31" t="n">
        <f aca="false">$F11*INDEX(Escenarios!$I$12:$I$36,MATCH($A11,Escenarios!$A$12:$A$36,0))*IF(AND($C11="INVAP",Inputs!$C$18="No"),0,1)*G11*$C$5</f>
        <v>37973.4075</v>
      </c>
      <c r="M11" s="31" t="n">
        <f aca="false">$F11*INDEX(Escenarios!$I$12:$I$36,MATCH($A11,Escenarios!$A$12:$A$36,0))*IF(AND($C11="INVAP",Inputs!$C$18="No"),0,1)*H11*$C$5</f>
        <v>4219.2675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42192.675</v>
      </c>
      <c r="Q11" s="31" t="n">
        <f aca="false">IF(INDEX(Escenarios!$J$12:$J$36,MATCH($A11,Escenarios!$A$12:$A$36,0))*IF(AND($C11="INVAP",Inputs!$C$18="No"),0,1)&gt;0,$E11*$C$5,0)</f>
        <v>180</v>
      </c>
      <c r="R11" s="31" t="n">
        <f aca="false">$F11*INDEX(Escenarios!$J$12:$J$36,MATCH($A11,Escenarios!$A$12:$A$36,0))*IF(AND($C11="INVAP",Inputs!$C$18="No"),0,1)*G11*$C$5</f>
        <v>37973.4075</v>
      </c>
      <c r="S11" s="31" t="n">
        <f aca="false">$F11*INDEX(Escenarios!$J$12:$J$36,MATCH($A11,Escenarios!$A$12:$A$36,0))*IF(AND($C11="INVAP",Inputs!$C$18="No"),0,1)*H11*$C$5</f>
        <v>4219.2675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42192.675</v>
      </c>
      <c r="W11" s="31" t="n">
        <f aca="false">IF(INDEX(Escenarios!$K$12:$K$36,MATCH($A11,Escenarios!$A$12:$A$36,0))*IF(AND($C11="INVAP",Inputs!$C$18="No"),0,1)&gt;0,$E11*$C$5,0)</f>
        <v>180</v>
      </c>
      <c r="X11" s="31" t="n">
        <f aca="false">$F11*INDEX(Escenarios!$K$12:$K$36,MATCH($A11,Escenarios!$A$12:$A$36,0))*IF(AND($C11="INVAP",Inputs!$C$18="No"),0,1)*G11*$C$5</f>
        <v>37973.4075</v>
      </c>
      <c r="Y11" s="31" t="n">
        <f aca="false">$F11*INDEX(Escenarios!$K$12:$K$36,MATCH($A11,Escenarios!$A$12:$A$36,0))*IF(AND($C11="INVAP",Inputs!$C$18="No"),0,1)*H11*$C$5</f>
        <v>4219.2675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42192.675</v>
      </c>
      <c r="AC11" s="31" t="n">
        <f aca="false">IF(INDEX(Escenarios!$L$12:$L$36,MATCH($A11,Escenarios!$A$12:$A$36,0))*IF(AND($C11="INVAP",Inputs!$C$18="No"),0,1)&gt;0,$E11*$C$5,0)</f>
        <v>180</v>
      </c>
      <c r="AD11" s="31" t="n">
        <f aca="false">$F11*INDEX(Escenarios!$L$12:$L$36,MATCH($A11,Escenarios!$A$12:$A$36,0))*IF(AND($C11="INVAP",Inputs!$C$18="No"),0,1)*G11*$C$5</f>
        <v>37973.4075</v>
      </c>
      <c r="AE11" s="31" t="n">
        <f aca="false">$F11*INDEX(Escenarios!$L$12:$L$36,MATCH($A11,Escenarios!$A$12:$A$36,0))*IF(AND($C11="INVAP",Inputs!$C$18="No"),0,1)*H11*$C$5</f>
        <v>4219.2675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42192.675</v>
      </c>
    </row>
    <row r="12" customFormat="false" ht="15" hidden="false" customHeight="false" outlineLevel="0" collapsed="false">
      <c r="A12" s="15" t="s">
        <v>71</v>
      </c>
      <c r="B12" s="4" t="s">
        <v>72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SUMIFS(Datos!$H$5:$H$291,Datos!$E$5:$E$291,$A12,Datos!$F$5:$F$291,"S6")</f>
        <v>0</v>
      </c>
      <c r="F12" s="31" t="n">
        <f aca="false">SUMIFS(Datos!$J$5:$J$291,Datos!$E$5:$E$291,$A12,Datos!$F$5:$F$291,"S6")</f>
        <v>0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0</v>
      </c>
      <c r="L12" s="31" t="n">
        <f aca="false">$F12*INDEX(Escenarios!$I$12:$I$36,MATCH($A12,Escenarios!$A$12:$A$36,0))*IF(AND($C12="INVAP",Inputs!$C$18="No"),0,1)*G12*$C$5</f>
        <v>0</v>
      </c>
      <c r="M12" s="31" t="n">
        <f aca="false">$F12*INDEX(Escenarios!$I$12:$I$36,MATCH($A12,Escenarios!$A$12:$A$36,0))*IF(AND($C12="INVAP",Inputs!$C$18="No"),0,1)*H12*$C$5</f>
        <v>0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0</v>
      </c>
      <c r="Q12" s="31" t="n">
        <f aca="false">IF(INDEX(Escenarios!$J$12:$J$36,MATCH($A12,Escenarios!$A$12:$A$36,0))*IF(AND($C12="INVAP",Inputs!$C$18="No"),0,1)&gt;0,$E12*$C$5,0)</f>
        <v>0</v>
      </c>
      <c r="R12" s="31" t="n">
        <f aca="false">$F12*INDEX(Escenarios!$J$12:$J$36,MATCH($A12,Escenarios!$A$12:$A$36,0))*IF(AND($C12="INVAP",Inputs!$C$18="No"),0,1)*G12*$C$5</f>
        <v>0</v>
      </c>
      <c r="S12" s="31" t="n">
        <f aca="false">$F12*INDEX(Escenarios!$J$12:$J$36,MATCH($A12,Escenarios!$A$12:$A$36,0))*IF(AND($C12="INVAP",Inputs!$C$18="No"),0,1)*H12*$C$5</f>
        <v>0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0</v>
      </c>
      <c r="W12" s="31" t="n">
        <f aca="false">IF(INDEX(Escenarios!$K$12:$K$36,MATCH($A12,Escenarios!$A$12:$A$36,0))*IF(AND($C12="INVAP",Inputs!$C$18="No"),0,1)&gt;0,$E12*$C$5,0)</f>
        <v>0</v>
      </c>
      <c r="X12" s="31" t="n">
        <f aca="false">$F12*INDEX(Escenarios!$K$12:$K$36,MATCH($A12,Escenarios!$A$12:$A$36,0))*IF(AND($C12="INVAP",Inputs!$C$18="No"),0,1)*G12*$C$5</f>
        <v>0</v>
      </c>
      <c r="Y12" s="31" t="n">
        <f aca="false">$F12*INDEX(Escenarios!$K$12:$K$36,MATCH($A12,Escenarios!$A$12:$A$36,0))*IF(AND($C12="INVAP",Inputs!$C$18="No"),0,1)*H12*$C$5</f>
        <v>0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0</v>
      </c>
      <c r="AC12" s="31" t="n">
        <f aca="false">IF(INDEX(Escenarios!$L$12:$L$36,MATCH($A12,Escenarios!$A$12:$A$36,0))*IF(AND($C12="INVAP",Inputs!$C$18="No"),0,1)&gt;0,$E12*$C$5,0)</f>
        <v>0</v>
      </c>
      <c r="AD12" s="31" t="n">
        <f aca="false">$F12*INDEX(Escenarios!$L$12:$L$36,MATCH($A12,Escenarios!$A$12:$A$36,0))*IF(AND($C12="INVAP",Inputs!$C$18="No"),0,1)*G12*$C$5</f>
        <v>0</v>
      </c>
      <c r="AE12" s="31" t="n">
        <f aca="false">$F12*INDEX(Escenarios!$L$12:$L$36,MATCH($A12,Escenarios!$A$12:$A$36,0))*IF(AND($C12="INVAP",Inputs!$C$18="No"),0,1)*H12*$C$5</f>
        <v>0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0</v>
      </c>
    </row>
    <row r="13" customFormat="false" ht="15" hidden="false" customHeight="false" outlineLevel="0" collapsed="false">
      <c r="A13" s="15" t="s">
        <v>73</v>
      </c>
      <c r="B13" s="4" t="s">
        <v>74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SUMIFS(Datos!$H$5:$H$291,Datos!$E$5:$E$291,$A13,Datos!$F$5:$F$291,"S6")</f>
        <v>0</v>
      </c>
      <c r="F13" s="31" t="n">
        <f aca="false">SUMIFS(Datos!$J$5:$J$291,Datos!$E$5:$E$291,$A13,Datos!$F$5:$F$291,"S6")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75</v>
      </c>
      <c r="B14" s="4" t="s">
        <v>76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SUMIFS(Datos!$H$5:$H$291,Datos!$E$5:$E$291,$A14,Datos!$F$5:$F$291,"S6")</f>
        <v>0</v>
      </c>
      <c r="F14" s="31" t="n">
        <f aca="false">SUMIFS(Datos!$J$5:$J$291,Datos!$E$5:$E$291,$A14,Datos!$F$5:$F$291,"S6")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77</v>
      </c>
      <c r="B15" s="4" t="s">
        <v>78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SUMIFS(Datos!$H$5:$H$291,Datos!$E$5:$E$291,$A15,Datos!$F$5:$F$291,"S6")</f>
        <v>0</v>
      </c>
      <c r="F15" s="31" t="n">
        <f aca="false">SUMIFS(Datos!$J$5:$J$291,Datos!$E$5:$E$291,$A15,Datos!$F$5:$F$291,"S6")</f>
        <v>0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0</v>
      </c>
      <c r="L15" s="31" t="n">
        <f aca="false">$F15*INDEX(Escenarios!$I$12:$I$36,MATCH($A15,Escenarios!$A$12:$A$36,0))*IF(AND($C15="INVAP",Inputs!$C$18="No"),0,1)*G15*$C$5</f>
        <v>0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0</v>
      </c>
      <c r="Q15" s="31" t="n">
        <f aca="false">IF(INDEX(Escenarios!$J$12:$J$36,MATCH($A15,Escenarios!$A$12:$A$36,0))*IF(AND($C15="INVAP",Inputs!$C$18="No"),0,1)&gt;0,$E15*$C$5,0)</f>
        <v>0</v>
      </c>
      <c r="R15" s="31" t="n">
        <f aca="false">$F15*INDEX(Escenarios!$J$12:$J$36,MATCH($A15,Escenarios!$A$12:$A$36,0))*IF(AND($C15="INVAP",Inputs!$C$18="No"),0,1)*G15*$C$5</f>
        <v>0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0</v>
      </c>
      <c r="W15" s="31" t="n">
        <f aca="false">IF(INDEX(Escenarios!$K$12:$K$36,MATCH($A15,Escenarios!$A$12:$A$36,0))*IF(AND($C15="INVAP",Inputs!$C$18="No"),0,1)&gt;0,$E15*$C$5,0)</f>
        <v>0</v>
      </c>
      <c r="X15" s="31" t="n">
        <f aca="false">$F15*INDEX(Escenarios!$K$12:$K$36,MATCH($A15,Escenarios!$A$12:$A$36,0))*IF(AND($C15="INVAP",Inputs!$C$18="No"),0,1)*G15*$C$5</f>
        <v>0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0</v>
      </c>
      <c r="AC15" s="31" t="n">
        <f aca="false">IF(INDEX(Escenarios!$L$12:$L$36,MATCH($A15,Escenarios!$A$12:$A$36,0))*IF(AND($C15="INVAP",Inputs!$C$18="No"),0,1)&gt;0,$E15*$C$5,0)</f>
        <v>0</v>
      </c>
      <c r="AD15" s="31" t="n">
        <f aca="false">$F15*INDEX(Escenarios!$L$12:$L$36,MATCH($A15,Escenarios!$A$12:$A$36,0))*IF(AND($C15="INVAP",Inputs!$C$18="No"),0,1)*G15*$C$5</f>
        <v>0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0</v>
      </c>
    </row>
    <row r="16" customFormat="false" ht="15" hidden="false" customHeight="false" outlineLevel="0" collapsed="false">
      <c r="A16" s="15" t="s">
        <v>79</v>
      </c>
      <c r="B16" s="4" t="s">
        <v>80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SUMIFS(Datos!$H$5:$H$291,Datos!$E$5:$E$291,$A16,Datos!$F$5:$F$291,"S6")</f>
        <v>0</v>
      </c>
      <c r="F16" s="31" t="n">
        <f aca="false">SUMIFS(Datos!$J$5:$J$291,Datos!$E$5:$E$291,$A16,Datos!$F$5:$F$291,"S6")</f>
        <v>0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0</v>
      </c>
      <c r="L16" s="31" t="n">
        <f aca="false">$F16*INDEX(Escenarios!$I$12:$I$36,MATCH($A16,Escenarios!$A$12:$A$36,0))*IF(AND($C16="INVAP",Inputs!$C$18="No"),0,1)*G16*$C$5</f>
        <v>0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0</v>
      </c>
      <c r="Q16" s="31" t="n">
        <f aca="false">IF(INDEX(Escenarios!$J$12:$J$36,MATCH($A16,Escenarios!$A$12:$A$36,0))*IF(AND($C16="INVAP",Inputs!$C$18="No"),0,1)&gt;0,$E16*$C$5,0)</f>
        <v>0</v>
      </c>
      <c r="R16" s="31" t="n">
        <f aca="false">$F16*INDEX(Escenarios!$J$12:$J$36,MATCH($A16,Escenarios!$A$12:$A$36,0))*IF(AND($C16="INVAP",Inputs!$C$18="No"),0,1)*G16*$C$5</f>
        <v>0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0</v>
      </c>
      <c r="W16" s="31" t="n">
        <f aca="false">IF(INDEX(Escenarios!$K$12:$K$36,MATCH($A16,Escenarios!$A$12:$A$36,0))*IF(AND($C16="INVAP",Inputs!$C$18="No"),0,1)&gt;0,$E16*$C$5,0)</f>
        <v>0</v>
      </c>
      <c r="X16" s="31" t="n">
        <f aca="false">$F16*INDEX(Escenarios!$K$12:$K$36,MATCH($A16,Escenarios!$A$12:$A$36,0))*IF(AND($C16="INVAP",Inputs!$C$18="No"),0,1)*G16*$C$5</f>
        <v>0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0</v>
      </c>
      <c r="AC16" s="31" t="n">
        <f aca="false">IF(INDEX(Escenarios!$L$12:$L$36,MATCH($A16,Escenarios!$A$12:$A$36,0))*IF(AND($C16="INVAP",Inputs!$C$18="No"),0,1)&gt;0,$E16*$C$5,0)</f>
        <v>0</v>
      </c>
      <c r="AD16" s="31" t="n">
        <f aca="false">$F16*INDEX(Escenarios!$L$12:$L$36,MATCH($A16,Escenarios!$A$12:$A$36,0))*IF(AND($C16="INVAP",Inputs!$C$18="No"),0,1)*G16*$C$5</f>
        <v>0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0</v>
      </c>
    </row>
    <row r="17" customFormat="false" ht="15" hidden="false" customHeight="false" outlineLevel="0" collapsed="false">
      <c r="A17" s="15" t="s">
        <v>81</v>
      </c>
      <c r="B17" s="4" t="s">
        <v>82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SUMIFS(Datos!$H$5:$H$291,Datos!$E$5:$E$291,$A17,Datos!$F$5:$F$291,"S6")</f>
        <v>0</v>
      </c>
      <c r="F17" s="31" t="n">
        <f aca="false">SUMIFS(Datos!$J$5:$J$291,Datos!$E$5:$E$291,$A17,Datos!$F$5:$F$291,"S6")</f>
        <v>0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0</v>
      </c>
      <c r="L17" s="31" t="n">
        <f aca="false">$F17*INDEX(Escenarios!$I$12:$I$36,MATCH($A17,Escenarios!$A$12:$A$36,0))*IF(AND($C17="INVAP",Inputs!$C$18="No"),0,1)*G17*$C$5</f>
        <v>0</v>
      </c>
      <c r="M17" s="31" t="n">
        <f aca="false">$F17*INDEX(Escenarios!$I$12:$I$36,MATCH($A17,Escenarios!$A$12:$A$36,0))*IF(AND($C17="INVAP",Inputs!$C$18="No"),0,1)*H17*$C$5</f>
        <v>0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0</v>
      </c>
      <c r="Q17" s="31" t="n">
        <f aca="false">IF(INDEX(Escenarios!$J$12:$J$36,MATCH($A17,Escenarios!$A$12:$A$36,0))*IF(AND($C17="INVAP",Inputs!$C$18="No"),0,1)&gt;0,$E17*$C$5,0)</f>
        <v>0</v>
      </c>
      <c r="R17" s="31" t="n">
        <f aca="false">$F17*INDEX(Escenarios!$J$12:$J$36,MATCH($A17,Escenarios!$A$12:$A$36,0))*IF(AND($C17="INVAP",Inputs!$C$18="No"),0,1)*G17*$C$5</f>
        <v>0</v>
      </c>
      <c r="S17" s="31" t="n">
        <f aca="false">$F17*INDEX(Escenarios!$J$12:$J$36,MATCH($A17,Escenarios!$A$12:$A$36,0))*IF(AND($C17="INVAP",Inputs!$C$18="No"),0,1)*H17*$C$5</f>
        <v>0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0</v>
      </c>
      <c r="W17" s="31" t="n">
        <f aca="false">IF(INDEX(Escenarios!$K$12:$K$36,MATCH($A17,Escenarios!$A$12:$A$36,0))*IF(AND($C17="INVAP",Inputs!$C$18="No"),0,1)&gt;0,$E17*$C$5,0)</f>
        <v>0</v>
      </c>
      <c r="X17" s="31" t="n">
        <f aca="false">$F17*INDEX(Escenarios!$K$12:$K$36,MATCH($A17,Escenarios!$A$12:$A$36,0))*IF(AND($C17="INVAP",Inputs!$C$18="No"),0,1)*G17*$C$5</f>
        <v>0</v>
      </c>
      <c r="Y17" s="31" t="n">
        <f aca="false">$F17*INDEX(Escenarios!$K$12:$K$36,MATCH($A17,Escenarios!$A$12:$A$36,0))*IF(AND($C17="INVAP",Inputs!$C$18="No"),0,1)*H17*$C$5</f>
        <v>0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0</v>
      </c>
      <c r="AC17" s="31" t="n">
        <f aca="false">IF(INDEX(Escenarios!$L$12:$L$36,MATCH($A17,Escenarios!$A$12:$A$36,0))*IF(AND($C17="INVAP",Inputs!$C$18="No"),0,1)&gt;0,$E17*$C$5,0)</f>
        <v>0</v>
      </c>
      <c r="AD17" s="31" t="n">
        <f aca="false">$F17*INDEX(Escenarios!$L$12:$L$36,MATCH($A17,Escenarios!$A$12:$A$36,0))*IF(AND($C17="INVAP",Inputs!$C$18="No"),0,1)*G17*$C$5</f>
        <v>0</v>
      </c>
      <c r="AE17" s="31" t="n">
        <f aca="false">$F17*INDEX(Escenarios!$L$12:$L$36,MATCH($A17,Escenarios!$A$12:$A$36,0))*IF(AND($C17="INVAP",Inputs!$C$18="No"),0,1)*H17*$C$5</f>
        <v>0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0</v>
      </c>
    </row>
    <row r="18" customFormat="false" ht="15" hidden="false" customHeight="false" outlineLevel="0" collapsed="false">
      <c r="A18" s="15" t="s">
        <v>83</v>
      </c>
      <c r="B18" s="4" t="s">
        <v>84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SUMIFS(Datos!$H$5:$H$291,Datos!$E$5:$E$291,$A18,Datos!$F$5:$F$291,"S6")</f>
        <v>0</v>
      </c>
      <c r="F18" s="31" t="n">
        <f aca="false">SUMIFS(Datos!$J$5:$J$291,Datos!$E$5:$E$291,$A18,Datos!$F$5:$F$291,"S6")</f>
        <v>0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0</v>
      </c>
      <c r="L18" s="31" t="n">
        <f aca="false">$F18*INDEX(Escenarios!$I$12:$I$36,MATCH($A18,Escenarios!$A$12:$A$36,0))*IF(AND($C18="INVAP",Inputs!$C$18="No"),0,1)*G18*$C$5</f>
        <v>0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0</v>
      </c>
      <c r="Q18" s="31" t="n">
        <f aca="false">IF(INDEX(Escenarios!$J$12:$J$36,MATCH($A18,Escenarios!$A$12:$A$36,0))*IF(AND($C18="INVAP",Inputs!$C$18="No"),0,1)&gt;0,$E18*$C$5,0)</f>
        <v>0</v>
      </c>
      <c r="R18" s="31" t="n">
        <f aca="false">$F18*INDEX(Escenarios!$J$12:$J$36,MATCH($A18,Escenarios!$A$12:$A$36,0))*IF(AND($C18="INVAP",Inputs!$C$18="No"),0,1)*G18*$C$5</f>
        <v>0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0</v>
      </c>
      <c r="W18" s="31" t="n">
        <f aca="false">IF(INDEX(Escenarios!$K$12:$K$36,MATCH($A18,Escenarios!$A$12:$A$36,0))*IF(AND($C18="INVAP",Inputs!$C$18="No"),0,1)&gt;0,$E18*$C$5,0)</f>
        <v>0</v>
      </c>
      <c r="X18" s="31" t="n">
        <f aca="false">$F18*INDEX(Escenarios!$K$12:$K$36,MATCH($A18,Escenarios!$A$12:$A$36,0))*IF(AND($C18="INVAP",Inputs!$C$18="No"),0,1)*G18*$C$5</f>
        <v>0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0</v>
      </c>
      <c r="AC18" s="31" t="n">
        <f aca="false">IF(INDEX(Escenarios!$L$12:$L$36,MATCH($A18,Escenarios!$A$12:$A$36,0))*IF(AND($C18="INVAP",Inputs!$C$18="No"),0,1)&gt;0,$E18*$C$5,0)</f>
        <v>0</v>
      </c>
      <c r="AD18" s="31" t="n">
        <f aca="false">$F18*INDEX(Escenarios!$L$12:$L$36,MATCH($A18,Escenarios!$A$12:$A$36,0))*IF(AND($C18="INVAP",Inputs!$C$18="No"),0,1)*G18*$C$5</f>
        <v>0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0</v>
      </c>
    </row>
    <row r="19" customFormat="false" ht="15" hidden="false" customHeight="false" outlineLevel="0" collapsed="false">
      <c r="A19" s="15" t="s">
        <v>85</v>
      </c>
      <c r="B19" s="4" t="s">
        <v>86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SUMIFS(Datos!$H$5:$H$291,Datos!$E$5:$E$291,$A19,Datos!$F$5:$F$291,"S6")</f>
        <v>0</v>
      </c>
      <c r="F19" s="31" t="n">
        <f aca="false">SUMIFS(Datos!$J$5:$J$291,Datos!$E$5:$E$291,$A19,Datos!$F$5:$F$291,"S6")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87</v>
      </c>
      <c r="B20" s="4" t="s">
        <v>88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SUMIFS(Datos!$H$5:$H$291,Datos!$E$5:$E$291,$A20,Datos!$F$5:$F$291,"S6")</f>
        <v>215</v>
      </c>
      <c r="F20" s="31" t="n">
        <f aca="false">SUMIFS(Datos!$J$5:$J$291,Datos!$E$5:$E$291,$A20,Datos!$F$5:$F$291,"S6")</f>
        <v>49810.95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215</v>
      </c>
      <c r="L20" s="31" t="n">
        <f aca="false">$F20*INDEX(Escenarios!$I$12:$I$36,MATCH($A20,Escenarios!$A$12:$A$36,0))*IF(AND($C20="INVAP",Inputs!$C$18="No"),0,1)*G20*$C$5</f>
        <v>49810.95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49810.95</v>
      </c>
      <c r="Q20" s="31" t="n">
        <f aca="false">IF(INDEX(Escenarios!$J$12:$J$36,MATCH($A20,Escenarios!$A$12:$A$36,0))*IF(AND($C20="INVAP",Inputs!$C$18="No"),0,1)&gt;0,$E20*$C$5,0)</f>
        <v>215</v>
      </c>
      <c r="R20" s="31" t="n">
        <f aca="false">$F20*INDEX(Escenarios!$J$12:$J$36,MATCH($A20,Escenarios!$A$12:$A$36,0))*IF(AND($C20="INVAP",Inputs!$C$18="No"),0,1)*G20*$C$5</f>
        <v>49810.95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49810.95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89</v>
      </c>
      <c r="B21" s="4" t="s">
        <v>90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SUMIFS(Datos!$H$5:$H$291,Datos!$E$5:$E$291,$A21,Datos!$F$5:$F$291,"S6")</f>
        <v>240</v>
      </c>
      <c r="F21" s="31" t="n">
        <f aca="false">SUMIFS(Datos!$J$5:$J$291,Datos!$E$5:$E$291,$A21,Datos!$F$5:$F$291,"S6")</f>
        <v>55400.625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240</v>
      </c>
      <c r="L21" s="31" t="n">
        <f aca="false">$F21*INDEX(Escenarios!$I$12:$I$36,MATCH($A21,Escenarios!$A$12:$A$36,0))*IF(AND($C21="INVAP",Inputs!$C$18="No"),0,1)*G21*$C$5</f>
        <v>55400.625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55400.625</v>
      </c>
      <c r="Q21" s="31" t="n">
        <f aca="false">IF(INDEX(Escenarios!$J$12:$J$36,MATCH($A21,Escenarios!$A$12:$A$36,0))*IF(AND($C21="INVAP",Inputs!$C$18="No"),0,1)&gt;0,$E21*$C$5,0)</f>
        <v>240</v>
      </c>
      <c r="R21" s="31" t="n">
        <f aca="false">$F21*INDEX(Escenarios!$J$12:$J$36,MATCH($A21,Escenarios!$A$12:$A$36,0))*IF(AND($C21="INVAP",Inputs!$C$18="No"),0,1)*G21*$C$5</f>
        <v>55400.625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55400.625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91</v>
      </c>
      <c r="B22" s="4" t="s">
        <v>92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SUMIFS(Datos!$H$5:$H$291,Datos!$E$5:$E$291,$A22,Datos!$F$5:$F$291,"S6")</f>
        <v>345</v>
      </c>
      <c r="F22" s="31" t="n">
        <f aca="false">SUMIFS(Datos!$J$5:$J$291,Datos!$E$5:$E$291,$A22,Datos!$F$5:$F$291,"S6")</f>
        <v>78961.05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345</v>
      </c>
      <c r="L22" s="31" t="n">
        <f aca="false">$F22*INDEX(Escenarios!$I$12:$I$36,MATCH($A22,Escenarios!$A$12:$A$36,0))*IF(AND($C22="INVAP",Inputs!$C$18="No"),0,1)*G22*$C$5</f>
        <v>71064.945</v>
      </c>
      <c r="M22" s="31" t="n">
        <f aca="false">$F22*INDEX(Escenarios!$I$12:$I$36,MATCH($A22,Escenarios!$A$12:$A$36,0))*IF(AND($C22="INVAP",Inputs!$C$18="No"),0,1)*H22*$C$5</f>
        <v>7896.105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78961.05</v>
      </c>
      <c r="Q22" s="31" t="n">
        <f aca="false">IF(INDEX(Escenarios!$J$12:$J$36,MATCH($A22,Escenarios!$A$12:$A$36,0))*IF(AND($C22="INVAP",Inputs!$C$18="No"),0,1)&gt;0,$E22*$C$5,0)</f>
        <v>345</v>
      </c>
      <c r="R22" s="31" t="n">
        <f aca="false">$F22*INDEX(Escenarios!$J$12:$J$36,MATCH($A22,Escenarios!$A$12:$A$36,0))*IF(AND($C22="INVAP",Inputs!$C$18="No"),0,1)*G22*$C$5</f>
        <v>71064.945</v>
      </c>
      <c r="S22" s="31" t="n">
        <f aca="false">$F22*INDEX(Escenarios!$J$12:$J$36,MATCH($A22,Escenarios!$A$12:$A$36,0))*IF(AND($C22="INVAP",Inputs!$C$18="No"),0,1)*H22*$C$5</f>
        <v>7896.105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78961.05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93</v>
      </c>
      <c r="B23" s="4" t="s">
        <v>94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SUMIFS(Datos!$H$5:$H$291,Datos!$E$5:$E$291,$A23,Datos!$F$5:$F$291,"S6")</f>
        <v>355</v>
      </c>
      <c r="F23" s="31" t="n">
        <f aca="false">SUMIFS(Datos!$J$5:$J$291,Datos!$E$5:$E$291,$A23,Datos!$F$5:$F$291,"S6")</f>
        <v>81202.8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355</v>
      </c>
      <c r="L23" s="31" t="n">
        <f aca="false">$F23*INDEX(Escenarios!$I$12:$I$36,MATCH($A23,Escenarios!$A$12:$A$36,0))*IF(AND($C23="INVAP",Inputs!$C$18="No"),0,1)*G23*$C$5</f>
        <v>73082.52</v>
      </c>
      <c r="M23" s="31" t="n">
        <f aca="false">$F23*INDEX(Escenarios!$I$12:$I$36,MATCH($A23,Escenarios!$A$12:$A$36,0))*IF(AND($C23="INVAP",Inputs!$C$18="No"),0,1)*H23*$C$5</f>
        <v>8120.28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81202.8</v>
      </c>
      <c r="Q23" s="31" t="n">
        <f aca="false">IF(INDEX(Escenarios!$J$12:$J$36,MATCH($A23,Escenarios!$A$12:$A$36,0))*IF(AND($C23="INVAP",Inputs!$C$18="No"),0,1)&gt;0,$E23*$C$5,0)</f>
        <v>355</v>
      </c>
      <c r="R23" s="31" t="n">
        <f aca="false">$F23*INDEX(Escenarios!$J$12:$J$36,MATCH($A23,Escenarios!$A$12:$A$36,0))*IF(AND($C23="INVAP",Inputs!$C$18="No"),0,1)*G23*$C$5</f>
        <v>73082.52</v>
      </c>
      <c r="S23" s="31" t="n">
        <f aca="false">$F23*INDEX(Escenarios!$J$12:$J$36,MATCH($A23,Escenarios!$A$12:$A$36,0))*IF(AND($C23="INVAP",Inputs!$C$18="No"),0,1)*H23*$C$5</f>
        <v>8120.28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81202.8</v>
      </c>
      <c r="W23" s="31" t="n">
        <f aca="false">IF(INDEX(Escenarios!$K$12:$K$36,MATCH($A23,Escenarios!$A$12:$A$36,0))*IF(AND($C23="INVAP",Inputs!$C$18="No"),0,1)&gt;0,$E23*$C$5,0)</f>
        <v>355</v>
      </c>
      <c r="X23" s="31" t="n">
        <f aca="false">$F23*INDEX(Escenarios!$K$12:$K$36,MATCH($A23,Escenarios!$A$12:$A$36,0))*IF(AND($C23="INVAP",Inputs!$C$18="No"),0,1)*G23*$C$5</f>
        <v>73082.52</v>
      </c>
      <c r="Y23" s="31" t="n">
        <f aca="false">$F23*INDEX(Escenarios!$K$12:$K$36,MATCH($A23,Escenarios!$A$12:$A$36,0))*IF(AND($C23="INVAP",Inputs!$C$18="No"),0,1)*H23*$C$5</f>
        <v>8120.28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81202.8</v>
      </c>
      <c r="AC23" s="31" t="n">
        <f aca="false">IF(INDEX(Escenarios!$L$12:$L$36,MATCH($A23,Escenarios!$A$12:$A$36,0))*IF(AND($C23="INVAP",Inputs!$C$18="No"),0,1)&gt;0,$E23*$C$5,0)</f>
        <v>355</v>
      </c>
      <c r="AD23" s="31" t="n">
        <f aca="false">$F23*INDEX(Escenarios!$L$12:$L$36,MATCH($A23,Escenarios!$A$12:$A$36,0))*IF(AND($C23="INVAP",Inputs!$C$18="No"),0,1)*G23*$C$5</f>
        <v>73082.52</v>
      </c>
      <c r="AE23" s="31" t="n">
        <f aca="false">$F23*INDEX(Escenarios!$L$12:$L$36,MATCH($A23,Escenarios!$A$12:$A$36,0))*IF(AND($C23="INVAP",Inputs!$C$18="No"),0,1)*H23*$C$5</f>
        <v>8120.28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81202.8</v>
      </c>
    </row>
    <row r="24" customFormat="false" ht="15" hidden="false" customHeight="false" outlineLevel="0" collapsed="false">
      <c r="A24" s="15" t="s">
        <v>95</v>
      </c>
      <c r="B24" s="4" t="s">
        <v>96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SUMIFS(Datos!$H$5:$H$291,Datos!$E$5:$E$291,$A24,Datos!$F$5:$F$291,"S6")</f>
        <v>300</v>
      </c>
      <c r="F24" s="31" t="n">
        <f aca="false">SUMIFS(Datos!$J$5:$J$291,Datos!$E$5:$E$291,$A24,Datos!$F$5:$F$291,"S6")</f>
        <v>69225.975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300</v>
      </c>
      <c r="L24" s="31" t="n">
        <f aca="false">$F24*INDEX(Escenarios!$I$12:$I$36,MATCH($A24,Escenarios!$A$12:$A$36,0))*IF(AND($C24="INVAP",Inputs!$C$18="No"),0,1)*G24*$C$5</f>
        <v>62303.3775</v>
      </c>
      <c r="M24" s="31" t="n">
        <f aca="false">$F24*INDEX(Escenarios!$I$12:$I$36,MATCH($A24,Escenarios!$A$12:$A$36,0))*IF(AND($C24="INVAP",Inputs!$C$18="No"),0,1)*H24*$C$5</f>
        <v>6922.5975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69225.975</v>
      </c>
      <c r="Q24" s="31" t="n">
        <f aca="false">IF(INDEX(Escenarios!$J$12:$J$36,MATCH($A24,Escenarios!$A$12:$A$36,0))*IF(AND($C24="INVAP",Inputs!$C$18="No"),0,1)&gt;0,$E24*$C$5,0)</f>
        <v>300</v>
      </c>
      <c r="R24" s="31" t="n">
        <f aca="false">$F24*INDEX(Escenarios!$J$12:$J$36,MATCH($A24,Escenarios!$A$12:$A$36,0))*IF(AND($C24="INVAP",Inputs!$C$18="No"),0,1)*G24*$C$5</f>
        <v>62303.3775</v>
      </c>
      <c r="S24" s="31" t="n">
        <f aca="false">$F24*INDEX(Escenarios!$J$12:$J$36,MATCH($A24,Escenarios!$A$12:$A$36,0))*IF(AND($C24="INVAP",Inputs!$C$18="No"),0,1)*H24*$C$5</f>
        <v>6922.5975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69225.975</v>
      </c>
      <c r="W24" s="31" t="n">
        <f aca="false">IF(INDEX(Escenarios!$K$12:$K$36,MATCH($A24,Escenarios!$A$12:$A$36,0))*IF(AND($C24="INVAP",Inputs!$C$18="No"),0,1)&gt;0,$E24*$C$5,0)</f>
        <v>300</v>
      </c>
      <c r="X24" s="31" t="n">
        <f aca="false">$F24*INDEX(Escenarios!$K$12:$K$36,MATCH($A24,Escenarios!$A$12:$A$36,0))*IF(AND($C24="INVAP",Inputs!$C$18="No"),0,1)*G24*$C$5</f>
        <v>62303.3775</v>
      </c>
      <c r="Y24" s="31" t="n">
        <f aca="false">$F24*INDEX(Escenarios!$K$12:$K$36,MATCH($A24,Escenarios!$A$12:$A$36,0))*IF(AND($C24="INVAP",Inputs!$C$18="No"),0,1)*H24*$C$5</f>
        <v>6922.5975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69225.975</v>
      </c>
      <c r="AC24" s="31" t="n">
        <f aca="false">IF(INDEX(Escenarios!$L$12:$L$36,MATCH($A24,Escenarios!$A$12:$A$36,0))*IF(AND($C24="INVAP",Inputs!$C$18="No"),0,1)&gt;0,$E24*$C$5,0)</f>
        <v>300</v>
      </c>
      <c r="AD24" s="31" t="n">
        <f aca="false">$F24*INDEX(Escenarios!$L$12:$L$36,MATCH($A24,Escenarios!$A$12:$A$36,0))*IF(AND($C24="INVAP",Inputs!$C$18="No"),0,1)*G24*$C$5</f>
        <v>62303.3775</v>
      </c>
      <c r="AE24" s="31" t="n">
        <f aca="false">$F24*INDEX(Escenarios!$L$12:$L$36,MATCH($A24,Escenarios!$A$12:$A$36,0))*IF(AND($C24="INVAP",Inputs!$C$18="No"),0,1)*H24*$C$5</f>
        <v>6922.5975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69225.975</v>
      </c>
    </row>
    <row r="25" customFormat="false" ht="15" hidden="false" customHeight="false" outlineLevel="0" collapsed="false">
      <c r="A25" s="15" t="s">
        <v>97</v>
      </c>
      <c r="B25" s="4" t="s">
        <v>98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SUMIFS(Datos!$H$5:$H$291,Datos!$E$5:$E$291,$A25,Datos!$F$5:$F$291,"S6")</f>
        <v>355</v>
      </c>
      <c r="F25" s="31" t="n">
        <f aca="false">SUMIFS(Datos!$J$5:$J$291,Datos!$E$5:$E$291,$A25,Datos!$F$5:$F$291,"S6")</f>
        <v>81202.8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355</v>
      </c>
      <c r="L25" s="31" t="n">
        <f aca="false">$F25*INDEX(Escenarios!$I$12:$I$36,MATCH($A25,Escenarios!$A$12:$A$36,0))*IF(AND($C25="INVAP",Inputs!$C$18="No"),0,1)*G25*$C$5</f>
        <v>81202.8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81202.8</v>
      </c>
      <c r="Q25" s="31" t="n">
        <f aca="false">IF(INDEX(Escenarios!$J$12:$J$36,MATCH($A25,Escenarios!$A$12:$A$36,0))*IF(AND($C25="INVAP",Inputs!$C$18="No"),0,1)&gt;0,$E25*$C$5,0)</f>
        <v>355</v>
      </c>
      <c r="R25" s="31" t="n">
        <f aca="false">$F25*INDEX(Escenarios!$J$12:$J$36,MATCH($A25,Escenarios!$A$12:$A$36,0))*IF(AND($C25="INVAP",Inputs!$C$18="No"),0,1)*G25*$C$5</f>
        <v>81202.8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81202.8</v>
      </c>
      <c r="W25" s="31" t="n">
        <f aca="false">IF(INDEX(Escenarios!$K$12:$K$36,MATCH($A25,Escenarios!$A$12:$A$36,0))*IF(AND($C25="INVAP",Inputs!$C$18="No"),0,1)&gt;0,$E25*$C$5,0)</f>
        <v>355</v>
      </c>
      <c r="X25" s="31" t="n">
        <f aca="false">$F25*INDEX(Escenarios!$K$12:$K$36,MATCH($A25,Escenarios!$A$12:$A$36,0))*IF(AND($C25="INVAP",Inputs!$C$18="No"),0,1)*G25*$C$5</f>
        <v>81202.8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81202.8</v>
      </c>
      <c r="AC25" s="31" t="n">
        <f aca="false">IF(INDEX(Escenarios!$L$12:$L$36,MATCH($A25,Escenarios!$A$12:$A$36,0))*IF(AND($C25="INVAP",Inputs!$C$18="No"),0,1)&gt;0,$E25*$C$5,0)</f>
        <v>355</v>
      </c>
      <c r="AD25" s="31" t="n">
        <f aca="false">$F25*INDEX(Escenarios!$L$12:$L$36,MATCH($A25,Escenarios!$A$12:$A$36,0))*IF(AND($C25="INVAP",Inputs!$C$18="No"),0,1)*G25*$C$5</f>
        <v>81202.8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81202.8</v>
      </c>
    </row>
    <row r="26" customFormat="false" ht="15" hidden="false" customHeight="false" outlineLevel="0" collapsed="false">
      <c r="A26" s="15" t="s">
        <v>99</v>
      </c>
      <c r="B26" s="4" t="s">
        <v>100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SUMIFS(Datos!$H$5:$H$291,Datos!$E$5:$E$291,$A26,Datos!$F$5:$F$291,"S6")</f>
        <v>0</v>
      </c>
      <c r="F26" s="31" t="n">
        <f aca="false">SUMIFS(Datos!$J$5:$J$291,Datos!$E$5:$E$291,$A26,Datos!$F$5:$F$291,"S6")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101</v>
      </c>
      <c r="B27" s="4" t="s">
        <v>102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SUMIFS(Datos!$H$5:$H$291,Datos!$E$5:$E$291,$A27,Datos!$F$5:$F$291,"S6")</f>
        <v>340</v>
      </c>
      <c r="F27" s="31" t="n">
        <f aca="false">SUMIFS(Datos!$J$5:$J$291,Datos!$E$5:$E$291,$A27,Datos!$F$5:$F$291,"S6")</f>
        <v>77678.475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340</v>
      </c>
      <c r="L27" s="31" t="n">
        <f aca="false">$F27*INDEX(Escenarios!$I$12:$I$36,MATCH($A27,Escenarios!$A$12:$A$36,0))*IF(AND($C27="INVAP",Inputs!$C$18="No"),0,1)*G27*$C$5</f>
        <v>69910.6275</v>
      </c>
      <c r="M27" s="31" t="n">
        <f aca="false">$F27*INDEX(Escenarios!$I$12:$I$36,MATCH($A27,Escenarios!$A$12:$A$36,0))*IF(AND($C27="INVAP",Inputs!$C$18="No"),0,1)*H27*$C$5</f>
        <v>7767.8475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77678.475</v>
      </c>
      <c r="Q27" s="31" t="n">
        <f aca="false">IF(INDEX(Escenarios!$J$12:$J$36,MATCH($A27,Escenarios!$A$12:$A$36,0))*IF(AND($C27="INVAP",Inputs!$C$18="No"),0,1)&gt;0,$E27*$C$5,0)</f>
        <v>340</v>
      </c>
      <c r="R27" s="31" t="n">
        <f aca="false">$F27*INDEX(Escenarios!$J$12:$J$36,MATCH($A27,Escenarios!$A$12:$A$36,0))*IF(AND($C27="INVAP",Inputs!$C$18="No"),0,1)*G27*$C$5</f>
        <v>69910.6275</v>
      </c>
      <c r="S27" s="31" t="n">
        <f aca="false">$F27*INDEX(Escenarios!$J$12:$J$36,MATCH($A27,Escenarios!$A$12:$A$36,0))*IF(AND($C27="INVAP",Inputs!$C$18="No"),0,1)*H27*$C$5</f>
        <v>7767.8475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77678.475</v>
      </c>
      <c r="W27" s="31" t="n">
        <f aca="false">IF(INDEX(Escenarios!$K$12:$K$36,MATCH($A27,Escenarios!$A$12:$A$36,0))*IF(AND($C27="INVAP",Inputs!$C$18="No"),0,1)&gt;0,$E27*$C$5,0)</f>
        <v>340</v>
      </c>
      <c r="X27" s="31" t="n">
        <f aca="false">$F27*INDEX(Escenarios!$K$12:$K$36,MATCH($A27,Escenarios!$A$12:$A$36,0))*IF(AND($C27="INVAP",Inputs!$C$18="No"),0,1)*G27*$C$5</f>
        <v>69910.6275</v>
      </c>
      <c r="Y27" s="31" t="n">
        <f aca="false">$F27*INDEX(Escenarios!$K$12:$K$36,MATCH($A27,Escenarios!$A$12:$A$36,0))*IF(AND($C27="INVAP",Inputs!$C$18="No"),0,1)*H27*$C$5</f>
        <v>7767.8475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77678.475</v>
      </c>
      <c r="AC27" s="31" t="n">
        <f aca="false">IF(INDEX(Escenarios!$L$12:$L$36,MATCH($A27,Escenarios!$A$12:$A$36,0))*IF(AND($C27="INVAP",Inputs!$C$18="No"),0,1)&gt;0,$E27*$C$5,0)</f>
        <v>340</v>
      </c>
      <c r="AD27" s="31" t="n">
        <f aca="false">$F27*INDEX(Escenarios!$L$12:$L$36,MATCH($A27,Escenarios!$A$12:$A$36,0))*IF(AND($C27="INVAP",Inputs!$C$18="No"),0,1)*G27*$C$5</f>
        <v>69910.6275</v>
      </c>
      <c r="AE27" s="31" t="n">
        <f aca="false">$F27*INDEX(Escenarios!$L$12:$L$36,MATCH($A27,Escenarios!$A$12:$A$36,0))*IF(AND($C27="INVAP",Inputs!$C$18="No"),0,1)*H27*$C$5</f>
        <v>7767.8475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77678.475</v>
      </c>
    </row>
    <row r="28" customFormat="false" ht="15" hidden="false" customHeight="false" outlineLevel="0" collapsed="false">
      <c r="A28" s="15" t="s">
        <v>103</v>
      </c>
      <c r="B28" s="4" t="s">
        <v>104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SUMIFS(Datos!$H$5:$H$291,Datos!$E$5:$E$291,$A28,Datos!$F$5:$F$291,"S6")</f>
        <v>0</v>
      </c>
      <c r="F28" s="31" t="n">
        <f aca="false">SUMIFS(Datos!$J$5:$J$291,Datos!$E$5:$E$291,$A28,Datos!$F$5:$F$291,"S6")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105</v>
      </c>
      <c r="B29" s="4" t="s">
        <v>106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SUMIFS(Datos!$H$5:$H$291,Datos!$E$5:$E$291,$A29,Datos!$F$5:$F$291,"S6")</f>
        <v>0</v>
      </c>
      <c r="F29" s="31" t="n">
        <f aca="false">SUMIFS(Datos!$J$5:$J$291,Datos!$E$5:$E$291,$A29,Datos!$F$5:$F$291,"S6")</f>
        <v>0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0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0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0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0</v>
      </c>
    </row>
    <row r="30" customFormat="false" ht="15" hidden="false" customHeight="false" outlineLevel="0" collapsed="false">
      <c r="A30" s="15" t="s">
        <v>107</v>
      </c>
      <c r="B30" s="4" t="s">
        <v>108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SUMIFS(Datos!$H$5:$H$291,Datos!$E$5:$E$291,$A30,Datos!$F$5:$F$291,"S6")</f>
        <v>285</v>
      </c>
      <c r="F30" s="31" t="n">
        <f aca="false">SUMIFS(Datos!$J$5:$J$291,Datos!$E$5:$E$291,$A30,Datos!$F$5:$F$291,"S6")</f>
        <v>65411.325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285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65411.325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65411.325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285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32705.6625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32705.6625</v>
      </c>
    </row>
    <row r="31" customFormat="false" ht="15" hidden="false" customHeight="false" outlineLevel="0" collapsed="false">
      <c r="A31" s="15" t="s">
        <v>109</v>
      </c>
      <c r="B31" s="4" t="s">
        <v>110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SUMIFS(Datos!$H$5:$H$291,Datos!$E$5:$E$291,$A31,Datos!$F$5:$F$291,"S6")</f>
        <v>0</v>
      </c>
      <c r="F31" s="31" t="n">
        <f aca="false">SUMIFS(Datos!$J$5:$J$291,Datos!$E$5:$E$291,$A31,Datos!$F$5:$F$291,"S6")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111</v>
      </c>
      <c r="B32" s="4" t="s">
        <v>112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SUMIFS(Datos!$H$5:$H$291,Datos!$E$5:$E$291,$A32,Datos!$F$5:$F$291,"S6")</f>
        <v>355</v>
      </c>
      <c r="F32" s="31" t="n">
        <f aca="false">SUMIFS(Datos!$J$5:$J$291,Datos!$E$5:$E$291,$A32,Datos!$F$5:$F$291,"S6")</f>
        <v>81478.425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355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81478.425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81478.425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355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40739.2125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40739.2125</v>
      </c>
    </row>
    <row r="33" customFormat="false" ht="15" hidden="false" customHeight="false" outlineLevel="0" collapsed="false">
      <c r="A33" s="34"/>
      <c r="B33" s="35" t="s">
        <v>132</v>
      </c>
      <c r="C33" s="34"/>
      <c r="D33" s="34"/>
      <c r="E33" s="36" t="n">
        <f aca="false">SUM(E8:E32)</f>
        <v>3360</v>
      </c>
      <c r="F33" s="36" t="n">
        <f aca="false">SUM(F8:F32)</f>
        <v>775079.55</v>
      </c>
      <c r="G33" s="34"/>
      <c r="H33" s="34"/>
      <c r="I33" s="34"/>
      <c r="J33" s="34"/>
      <c r="K33" s="36" t="n">
        <f aca="false">SUM(K8:K32)</f>
        <v>3360</v>
      </c>
      <c r="L33" s="36" t="n">
        <f aca="false">SUM(L8:L32)</f>
        <v>584012.2575</v>
      </c>
      <c r="M33" s="36" t="n">
        <f aca="false">SUM(M8:M32)</f>
        <v>191067.2925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775079.55</v>
      </c>
      <c r="Q33" s="36" t="n">
        <f aca="false">SUM(Q8:Q32)</f>
        <v>2720</v>
      </c>
      <c r="R33" s="36" t="n">
        <f aca="false">SUM(R8:R32)</f>
        <v>584012.2575</v>
      </c>
      <c r="S33" s="36" t="n">
        <f aca="false">SUM(S8:S32)</f>
        <v>44177.5425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628189.8</v>
      </c>
      <c r="W33" s="36" t="n">
        <f aca="false">SUM(W8:W32)</f>
        <v>1920</v>
      </c>
      <c r="X33" s="36" t="n">
        <f aca="false">SUM(X8:X32)</f>
        <v>407735.7375</v>
      </c>
      <c r="Y33" s="36" t="n">
        <f aca="false">SUM(Y8:Y32)</f>
        <v>36281.4375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444017.175</v>
      </c>
      <c r="AC33" s="36" t="n">
        <f aca="false">SUM(AC8:AC32)</f>
        <v>2560</v>
      </c>
      <c r="AD33" s="36" t="n">
        <f aca="false">SUM(AD8:AD32)</f>
        <v>407735.7375</v>
      </c>
      <c r="AE33" s="36" t="n">
        <f aca="false">SUM(AE8:AE32)</f>
        <v>109726.3125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517462.05</v>
      </c>
    </row>
    <row r="34" customFormat="false" ht="15" hidden="false" customHeight="false" outlineLevel="0" collapsed="false">
      <c r="B34" s="37" t="s">
        <v>123</v>
      </c>
      <c r="L34" s="38" t="n">
        <v>0</v>
      </c>
      <c r="M34" s="38" t="n">
        <v>0</v>
      </c>
      <c r="N34" s="38" t="n">
        <v>0</v>
      </c>
      <c r="O34" s="38" t="n">
        <v>0</v>
      </c>
      <c r="P34" s="38" t="n">
        <v>0</v>
      </c>
      <c r="R34" s="38" t="n">
        <v>0</v>
      </c>
      <c r="S34" s="38" t="n">
        <v>0</v>
      </c>
      <c r="T34" s="38" t="n">
        <v>0</v>
      </c>
      <c r="U34" s="38" t="n">
        <v>0</v>
      </c>
      <c r="V34" s="38" t="n">
        <v>0</v>
      </c>
      <c r="X34" s="38" t="n">
        <v>0</v>
      </c>
      <c r="Y34" s="38" t="n">
        <v>0</v>
      </c>
      <c r="Z34" s="38" t="n">
        <v>0</v>
      </c>
      <c r="AA34" s="38" t="n">
        <v>0</v>
      </c>
      <c r="AB34" s="38" t="n">
        <v>0</v>
      </c>
      <c r="AD34" s="38" t="n">
        <v>0</v>
      </c>
      <c r="AE34" s="38" t="n">
        <v>0</v>
      </c>
      <c r="AF34" s="38" t="n">
        <v>0</v>
      </c>
      <c r="AG34" s="38" t="n">
        <v>0</v>
      </c>
      <c r="AH34" s="38" t="n">
        <v>0</v>
      </c>
    </row>
    <row r="35" customFormat="false" ht="15" hidden="false" customHeight="false" outlineLevel="0" collapsed="false">
      <c r="A35" s="39"/>
      <c r="B35" s="3" t="s">
        <v>133</v>
      </c>
      <c r="C35" s="39"/>
      <c r="D35" s="39"/>
      <c r="E35" s="40" t="n">
        <f aca="false">E33</f>
        <v>3360</v>
      </c>
      <c r="F35" s="40" t="n">
        <f aca="false">F33</f>
        <v>775079.55</v>
      </c>
      <c r="G35" s="39"/>
      <c r="H35" s="39"/>
      <c r="I35" s="39"/>
      <c r="J35" s="39"/>
      <c r="K35" s="40" t="n">
        <f aca="false">K33</f>
        <v>3360</v>
      </c>
      <c r="L35" s="40" t="n">
        <f aca="false">L33+L34</f>
        <v>584012.2575</v>
      </c>
      <c r="M35" s="40" t="n">
        <f aca="false">M33+M34</f>
        <v>191067.2925</v>
      </c>
      <c r="N35" s="40" t="n">
        <f aca="false">N33+N34</f>
        <v>0</v>
      </c>
      <c r="O35" s="40" t="n">
        <f aca="false">O33+O34</f>
        <v>0</v>
      </c>
      <c r="P35" s="40" t="n">
        <f aca="false">P33+P34</f>
        <v>775079.55</v>
      </c>
      <c r="Q35" s="40" t="n">
        <f aca="false">Q33</f>
        <v>2720</v>
      </c>
      <c r="R35" s="40" t="n">
        <f aca="false">R33+R34</f>
        <v>584012.2575</v>
      </c>
      <c r="S35" s="40" t="n">
        <f aca="false">S33+S34</f>
        <v>44177.5425</v>
      </c>
      <c r="T35" s="40" t="n">
        <f aca="false">T33+T34</f>
        <v>0</v>
      </c>
      <c r="U35" s="40" t="n">
        <f aca="false">U33+U34</f>
        <v>0</v>
      </c>
      <c r="V35" s="40" t="n">
        <f aca="false">V33+V34</f>
        <v>628189.8</v>
      </c>
      <c r="W35" s="40" t="n">
        <f aca="false">W33</f>
        <v>1920</v>
      </c>
      <c r="X35" s="40" t="n">
        <f aca="false">X33+X34</f>
        <v>407735.7375</v>
      </c>
      <c r="Y35" s="40" t="n">
        <f aca="false">Y33+Y34</f>
        <v>36281.4375</v>
      </c>
      <c r="Z35" s="40" t="n">
        <f aca="false">Z33+Z34</f>
        <v>0</v>
      </c>
      <c r="AA35" s="40" t="n">
        <f aca="false">AA33+AA34</f>
        <v>0</v>
      </c>
      <c r="AB35" s="40" t="n">
        <f aca="false">AB33+AB34</f>
        <v>444017.175</v>
      </c>
      <c r="AC35" s="40" t="n">
        <f aca="false">AC33</f>
        <v>2560</v>
      </c>
      <c r="AD35" s="40" t="n">
        <f aca="false">AD33+AD34</f>
        <v>407735.7375</v>
      </c>
      <c r="AE35" s="40" t="n">
        <f aca="false">AE33+AE34</f>
        <v>109726.3125</v>
      </c>
      <c r="AF35" s="40" t="n">
        <f aca="false">AF33+AF34</f>
        <v>0</v>
      </c>
      <c r="AG35" s="40" t="n">
        <f aca="false">AG33+AG34</f>
        <v>0</v>
      </c>
      <c r="AH35" s="40" t="n">
        <f aca="false">AH33+AH34</f>
        <v>517462.05</v>
      </c>
    </row>
    <row r="37" customFormat="false" ht="15" hidden="false" customHeight="false" outlineLevel="0" collapsed="false">
      <c r="B37" s="2" t="s">
        <v>115</v>
      </c>
      <c r="F37" s="41" t="n">
        <f aca="false">SUM(G37:J37)</f>
        <v>775079.55</v>
      </c>
      <c r="G37" s="41" t="n">
        <f aca="false">SUMPRODUCT($F$8:$F$32,G$8:G$32)</f>
        <v>584012.2575</v>
      </c>
      <c r="H37" s="41" t="n">
        <f aca="false">SUMPRODUCT($F$8:$F$32,H$8:H$32)</f>
        <v>191067.2925</v>
      </c>
      <c r="I37" s="41" t="n">
        <f aca="false">SUMPRODUCT($F$8:$F$32,I$8:I$32)</f>
        <v>0</v>
      </c>
      <c r="J37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134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5" customFormat="false" ht="15" hidden="false" customHeight="false" outlineLevel="0" collapsed="false">
      <c r="B5" s="15" t="s">
        <v>44</v>
      </c>
      <c r="C5" s="18" t="n">
        <f aca="false">IF(Inputs!$C$10="Todas las etapas",Inputs!$C$9,IF(AND(Inputs!$C$10="Solo diseño (S1–S5)",7&lt;=5),Inputs!$C$9,IF(AND(Inputs!$C$10="Solo lump sum (S1–S3)",7&lt;=3),Inputs!$C$9,1)))</f>
        <v>1</v>
      </c>
      <c r="D5" s="17" t="str">
        <f aca="false">Inputs!$C$7&amp;" loops"</f>
        <v>3 loops</v>
      </c>
      <c r="E5" s="2" t="s">
        <v>45</v>
      </c>
    </row>
    <row r="6" customFormat="false" ht="15" hidden="false" customHeight="false" outlineLevel="0" collapsed="false">
      <c r="A6" s="19" t="s">
        <v>46</v>
      </c>
      <c r="B6" s="19"/>
      <c r="C6" s="19"/>
      <c r="D6" s="19"/>
      <c r="E6" s="19"/>
      <c r="F6" s="19"/>
      <c r="G6" s="19" t="s">
        <v>47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48</v>
      </c>
      <c r="B7" s="23" t="s">
        <v>49</v>
      </c>
      <c r="C7" s="23" t="s">
        <v>50</v>
      </c>
      <c r="D7" s="23" t="s">
        <v>51</v>
      </c>
      <c r="E7" s="23" t="s">
        <v>52</v>
      </c>
      <c r="F7" s="23" t="s">
        <v>53</v>
      </c>
      <c r="G7" s="23" t="s">
        <v>54</v>
      </c>
      <c r="H7" s="23" t="s">
        <v>55</v>
      </c>
      <c r="I7" s="23" t="s">
        <v>56</v>
      </c>
      <c r="J7" s="23" t="s">
        <v>57</v>
      </c>
      <c r="K7" s="24" t="s">
        <v>58</v>
      </c>
      <c r="L7" s="25" t="s">
        <v>29</v>
      </c>
      <c r="M7" s="26" t="s">
        <v>59</v>
      </c>
      <c r="N7" s="27" t="s">
        <v>60</v>
      </c>
      <c r="O7" s="28" t="s">
        <v>61</v>
      </c>
      <c r="P7" s="24" t="s">
        <v>62</v>
      </c>
      <c r="Q7" s="24" t="s">
        <v>58</v>
      </c>
      <c r="R7" s="25" t="s">
        <v>29</v>
      </c>
      <c r="S7" s="26" t="s">
        <v>59</v>
      </c>
      <c r="T7" s="27" t="s">
        <v>60</v>
      </c>
      <c r="U7" s="28" t="s">
        <v>61</v>
      </c>
      <c r="V7" s="24" t="s">
        <v>62</v>
      </c>
      <c r="W7" s="24" t="s">
        <v>58</v>
      </c>
      <c r="X7" s="25" t="s">
        <v>29</v>
      </c>
      <c r="Y7" s="26" t="s">
        <v>59</v>
      </c>
      <c r="Z7" s="27" t="s">
        <v>60</v>
      </c>
      <c r="AA7" s="28" t="s">
        <v>61</v>
      </c>
      <c r="AB7" s="24" t="s">
        <v>62</v>
      </c>
      <c r="AC7" s="24" t="s">
        <v>58</v>
      </c>
      <c r="AD7" s="25" t="s">
        <v>29</v>
      </c>
      <c r="AE7" s="26" t="s">
        <v>59</v>
      </c>
      <c r="AF7" s="27" t="s">
        <v>60</v>
      </c>
      <c r="AG7" s="28" t="s">
        <v>61</v>
      </c>
      <c r="AH7" s="24" t="s">
        <v>62</v>
      </c>
    </row>
    <row r="8" customFormat="false" ht="15" hidden="false" customHeight="false" outlineLevel="0" collapsed="false">
      <c r="A8" s="15" t="s">
        <v>63</v>
      </c>
      <c r="B8" s="4" t="s">
        <v>64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SUMIFS(Datos!$H$5:$H$291,Datos!$E$5:$E$291,$A8,Datos!$F$5:$F$291,"S7")</f>
        <v>0</v>
      </c>
      <c r="F8" s="31" t="n">
        <f aca="false">SUMIFS(Datos!$J$5:$J$291,Datos!$E$5:$E$291,$A8,Datos!$F$5:$F$291,"S7")</f>
        <v>0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0</v>
      </c>
      <c r="L8" s="31" t="n">
        <f aca="false">$F8*INDEX(Escenarios!$I$12:$I$36,MATCH($A8,Escenarios!$A$12:$A$36,0))*IF(AND($C8="INVAP",Inputs!$C$18="No"),0,1)*G8*$C$5</f>
        <v>0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0</v>
      </c>
      <c r="Q8" s="31" t="n">
        <f aca="false">IF(INDEX(Escenarios!$J$12:$J$36,MATCH($A8,Escenarios!$A$12:$A$36,0))*IF(AND($C8="INVAP",Inputs!$C$18="No"),0,1)&gt;0,$E8*$C$5,0)</f>
        <v>0</v>
      </c>
      <c r="R8" s="31" t="n">
        <f aca="false">$F8*INDEX(Escenarios!$J$12:$J$36,MATCH($A8,Escenarios!$A$12:$A$36,0))*IF(AND($C8="INVAP",Inputs!$C$18="No"),0,1)*G8*$C$5</f>
        <v>0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0</v>
      </c>
      <c r="W8" s="31" t="n">
        <f aca="false">IF(INDEX(Escenarios!$K$12:$K$36,MATCH($A8,Escenarios!$A$12:$A$36,0))*IF(AND($C8="INVAP",Inputs!$C$18="No"),0,1)&gt;0,$E8*$C$5,0)</f>
        <v>0</v>
      </c>
      <c r="X8" s="31" t="n">
        <f aca="false">$F8*INDEX(Escenarios!$K$12:$K$36,MATCH($A8,Escenarios!$A$12:$A$36,0))*IF(AND($C8="INVAP",Inputs!$C$18="No"),0,1)*G8*$C$5</f>
        <v>0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0</v>
      </c>
      <c r="AC8" s="31" t="n">
        <f aca="false">IF(INDEX(Escenarios!$L$12:$L$36,MATCH($A8,Escenarios!$A$12:$A$36,0))*IF(AND($C8="INVAP",Inputs!$C$18="No"),0,1)&gt;0,$E8*$C$5,0)</f>
        <v>0</v>
      </c>
      <c r="AD8" s="31" t="n">
        <f aca="false">$F8*INDEX(Escenarios!$L$12:$L$36,MATCH($A8,Escenarios!$A$12:$A$36,0))*IF(AND($C8="INVAP",Inputs!$C$18="No"),0,1)*G8*$C$5</f>
        <v>0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0</v>
      </c>
    </row>
    <row r="9" customFormat="false" ht="15" hidden="false" customHeight="false" outlineLevel="0" collapsed="false">
      <c r="A9" s="15" t="s">
        <v>65</v>
      </c>
      <c r="B9" s="4" t="s">
        <v>66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SUMIFS(Datos!$H$5:$H$291,Datos!$E$5:$E$291,$A9,Datos!$F$5:$F$291,"S7")</f>
        <v>0</v>
      </c>
      <c r="F9" s="31" t="n">
        <f aca="false">SUMIFS(Datos!$J$5:$J$291,Datos!$E$5:$E$291,$A9,Datos!$F$5:$F$291,"S7")</f>
        <v>0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0</v>
      </c>
      <c r="L9" s="31" t="n">
        <f aca="false">$F9*INDEX(Escenarios!$I$12:$I$36,MATCH($A9,Escenarios!$A$12:$A$36,0))*IF(AND($C9="INVAP",Inputs!$C$18="No"),0,1)*G9*$C$5</f>
        <v>0</v>
      </c>
      <c r="M9" s="31" t="n">
        <f aca="false">$F9*INDEX(Escenarios!$I$12:$I$36,MATCH($A9,Escenarios!$A$12:$A$36,0))*IF(AND($C9="INVAP",Inputs!$C$18="No"),0,1)*H9*$C$5</f>
        <v>0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0</v>
      </c>
      <c r="Q9" s="31" t="n">
        <f aca="false">IF(INDEX(Escenarios!$J$12:$J$36,MATCH($A9,Escenarios!$A$12:$A$36,0))*IF(AND($C9="INVAP",Inputs!$C$18="No"),0,1)&gt;0,$E9*$C$5,0)</f>
        <v>0</v>
      </c>
      <c r="R9" s="31" t="n">
        <f aca="false">$F9*INDEX(Escenarios!$J$12:$J$36,MATCH($A9,Escenarios!$A$12:$A$36,0))*IF(AND($C9="INVAP",Inputs!$C$18="No"),0,1)*G9*$C$5</f>
        <v>0</v>
      </c>
      <c r="S9" s="31" t="n">
        <f aca="false">$F9*INDEX(Escenarios!$J$12:$J$36,MATCH($A9,Escenarios!$A$12:$A$36,0))*IF(AND($C9="INVAP",Inputs!$C$18="No"),0,1)*H9*$C$5</f>
        <v>0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0</v>
      </c>
      <c r="W9" s="31" t="n">
        <f aca="false">IF(INDEX(Escenarios!$K$12:$K$36,MATCH($A9,Escenarios!$A$12:$A$36,0))*IF(AND($C9="INVAP",Inputs!$C$18="No"),0,1)&gt;0,$E9*$C$5,0)</f>
        <v>0</v>
      </c>
      <c r="X9" s="31" t="n">
        <f aca="false">$F9*INDEX(Escenarios!$K$12:$K$36,MATCH($A9,Escenarios!$A$12:$A$36,0))*IF(AND($C9="INVAP",Inputs!$C$18="No"),0,1)*G9*$C$5</f>
        <v>0</v>
      </c>
      <c r="Y9" s="31" t="n">
        <f aca="false">$F9*INDEX(Escenarios!$K$12:$K$36,MATCH($A9,Escenarios!$A$12:$A$36,0))*IF(AND($C9="INVAP",Inputs!$C$18="No"),0,1)*H9*$C$5</f>
        <v>0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0</v>
      </c>
      <c r="AC9" s="31" t="n">
        <f aca="false">IF(INDEX(Escenarios!$L$12:$L$36,MATCH($A9,Escenarios!$A$12:$A$36,0))*IF(AND($C9="INVAP",Inputs!$C$18="No"),0,1)&gt;0,$E9*$C$5,0)</f>
        <v>0</v>
      </c>
      <c r="AD9" s="31" t="n">
        <f aca="false">$F9*INDEX(Escenarios!$L$12:$L$36,MATCH($A9,Escenarios!$A$12:$A$36,0))*IF(AND($C9="INVAP",Inputs!$C$18="No"),0,1)*G9*$C$5</f>
        <v>0</v>
      </c>
      <c r="AE9" s="31" t="n">
        <f aca="false">$F9*INDEX(Escenarios!$L$12:$L$36,MATCH($A9,Escenarios!$A$12:$A$36,0))*IF(AND($C9="INVAP",Inputs!$C$18="No"),0,1)*H9*$C$5</f>
        <v>0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0</v>
      </c>
    </row>
    <row r="10" customFormat="false" ht="15" hidden="false" customHeight="false" outlineLevel="0" collapsed="false">
      <c r="A10" s="15" t="s">
        <v>67</v>
      </c>
      <c r="B10" s="4" t="s">
        <v>68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SUMIFS(Datos!$H$5:$H$291,Datos!$E$5:$E$291,$A10,Datos!$F$5:$F$291,"S7")</f>
        <v>245</v>
      </c>
      <c r="F10" s="31" t="n">
        <f aca="false">SUMIFS(Datos!$J$5:$J$291,Datos!$E$5:$E$291,$A10,Datos!$F$5:$F$291,"S7")</f>
        <v>57256.5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245</v>
      </c>
      <c r="L10" s="31" t="n">
        <f aca="false">$F10*INDEX(Escenarios!$I$12:$I$36,MATCH($A10,Escenarios!$A$12:$A$36,0))*IF(AND($C10="INVAP",Inputs!$C$18="No"),0,1)*G10*$C$5</f>
        <v>51530.85</v>
      </c>
      <c r="M10" s="31" t="n">
        <f aca="false">$F10*INDEX(Escenarios!$I$12:$I$36,MATCH($A10,Escenarios!$A$12:$A$36,0))*IF(AND($C10="INVAP",Inputs!$C$18="No"),0,1)*H10*$C$5</f>
        <v>5725.65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57256.5</v>
      </c>
      <c r="Q10" s="31" t="n">
        <f aca="false">IF(INDEX(Escenarios!$J$12:$J$36,MATCH($A10,Escenarios!$A$12:$A$36,0))*IF(AND($C10="INVAP",Inputs!$C$18="No"),0,1)&gt;0,$E10*$C$5,0)</f>
        <v>245</v>
      </c>
      <c r="R10" s="31" t="n">
        <f aca="false">$F10*INDEX(Escenarios!$J$12:$J$36,MATCH($A10,Escenarios!$A$12:$A$36,0))*IF(AND($C10="INVAP",Inputs!$C$18="No"),0,1)*G10*$C$5</f>
        <v>51530.85</v>
      </c>
      <c r="S10" s="31" t="n">
        <f aca="false">$F10*INDEX(Escenarios!$J$12:$J$36,MATCH($A10,Escenarios!$A$12:$A$36,0))*IF(AND($C10="INVAP",Inputs!$C$18="No"),0,1)*H10*$C$5</f>
        <v>5725.65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57256.5</v>
      </c>
      <c r="W10" s="31" t="n">
        <f aca="false">IF(INDEX(Escenarios!$K$12:$K$36,MATCH($A10,Escenarios!$A$12:$A$36,0))*IF(AND($C10="INVAP",Inputs!$C$18="No"),0,1)&gt;0,$E10*$C$5,0)</f>
        <v>245</v>
      </c>
      <c r="X10" s="31" t="n">
        <f aca="false">$F10*INDEX(Escenarios!$K$12:$K$36,MATCH($A10,Escenarios!$A$12:$A$36,0))*IF(AND($C10="INVAP",Inputs!$C$18="No"),0,1)*G10*$C$5</f>
        <v>51530.85</v>
      </c>
      <c r="Y10" s="31" t="n">
        <f aca="false">$F10*INDEX(Escenarios!$K$12:$K$36,MATCH($A10,Escenarios!$A$12:$A$36,0))*IF(AND($C10="INVAP",Inputs!$C$18="No"),0,1)*H10*$C$5</f>
        <v>5725.65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57256.5</v>
      </c>
      <c r="AC10" s="31" t="n">
        <f aca="false">IF(INDEX(Escenarios!$L$12:$L$36,MATCH($A10,Escenarios!$A$12:$A$36,0))*IF(AND($C10="INVAP",Inputs!$C$18="No"),0,1)&gt;0,$E10*$C$5,0)</f>
        <v>245</v>
      </c>
      <c r="AD10" s="31" t="n">
        <f aca="false">$F10*INDEX(Escenarios!$L$12:$L$36,MATCH($A10,Escenarios!$A$12:$A$36,0))*IF(AND($C10="INVAP",Inputs!$C$18="No"),0,1)*G10*$C$5</f>
        <v>51530.85</v>
      </c>
      <c r="AE10" s="31" t="n">
        <f aca="false">$F10*INDEX(Escenarios!$L$12:$L$36,MATCH($A10,Escenarios!$A$12:$A$36,0))*IF(AND($C10="INVAP",Inputs!$C$18="No"),0,1)*H10*$C$5</f>
        <v>5725.65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57256.5</v>
      </c>
    </row>
    <row r="11" customFormat="false" ht="15" hidden="false" customHeight="false" outlineLevel="0" collapsed="false">
      <c r="A11" s="15" t="s">
        <v>69</v>
      </c>
      <c r="B11" s="4" t="s">
        <v>70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SUMIFS(Datos!$H$5:$H$291,Datos!$E$5:$E$291,$A11,Datos!$F$5:$F$291,"S7")</f>
        <v>115</v>
      </c>
      <c r="F11" s="31" t="n">
        <f aca="false">SUMIFS(Datos!$J$5:$J$291,Datos!$E$5:$E$291,$A11,Datos!$F$5:$F$291,"S7")</f>
        <v>26985.525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115</v>
      </c>
      <c r="L11" s="31" t="n">
        <f aca="false">$F11*INDEX(Escenarios!$I$12:$I$36,MATCH($A11,Escenarios!$A$12:$A$36,0))*IF(AND($C11="INVAP",Inputs!$C$18="No"),0,1)*G11*$C$5</f>
        <v>24286.9725</v>
      </c>
      <c r="M11" s="31" t="n">
        <f aca="false">$F11*INDEX(Escenarios!$I$12:$I$36,MATCH($A11,Escenarios!$A$12:$A$36,0))*IF(AND($C11="INVAP",Inputs!$C$18="No"),0,1)*H11*$C$5</f>
        <v>2698.5525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26985.525</v>
      </c>
      <c r="Q11" s="31" t="n">
        <f aca="false">IF(INDEX(Escenarios!$J$12:$J$36,MATCH($A11,Escenarios!$A$12:$A$36,0))*IF(AND($C11="INVAP",Inputs!$C$18="No"),0,1)&gt;0,$E11*$C$5,0)</f>
        <v>115</v>
      </c>
      <c r="R11" s="31" t="n">
        <f aca="false">$F11*INDEX(Escenarios!$J$12:$J$36,MATCH($A11,Escenarios!$A$12:$A$36,0))*IF(AND($C11="INVAP",Inputs!$C$18="No"),0,1)*G11*$C$5</f>
        <v>24286.9725</v>
      </c>
      <c r="S11" s="31" t="n">
        <f aca="false">$F11*INDEX(Escenarios!$J$12:$J$36,MATCH($A11,Escenarios!$A$12:$A$36,0))*IF(AND($C11="INVAP",Inputs!$C$18="No"),0,1)*H11*$C$5</f>
        <v>2698.5525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26985.525</v>
      </c>
      <c r="W11" s="31" t="n">
        <f aca="false">IF(INDEX(Escenarios!$K$12:$K$36,MATCH($A11,Escenarios!$A$12:$A$36,0))*IF(AND($C11="INVAP",Inputs!$C$18="No"),0,1)&gt;0,$E11*$C$5,0)</f>
        <v>115</v>
      </c>
      <c r="X11" s="31" t="n">
        <f aca="false">$F11*INDEX(Escenarios!$K$12:$K$36,MATCH($A11,Escenarios!$A$12:$A$36,0))*IF(AND($C11="INVAP",Inputs!$C$18="No"),0,1)*G11*$C$5</f>
        <v>24286.9725</v>
      </c>
      <c r="Y11" s="31" t="n">
        <f aca="false">$F11*INDEX(Escenarios!$K$12:$K$36,MATCH($A11,Escenarios!$A$12:$A$36,0))*IF(AND($C11="INVAP",Inputs!$C$18="No"),0,1)*H11*$C$5</f>
        <v>2698.5525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26985.525</v>
      </c>
      <c r="AC11" s="31" t="n">
        <f aca="false">IF(INDEX(Escenarios!$L$12:$L$36,MATCH($A11,Escenarios!$A$12:$A$36,0))*IF(AND($C11="INVAP",Inputs!$C$18="No"),0,1)&gt;0,$E11*$C$5,0)</f>
        <v>115</v>
      </c>
      <c r="AD11" s="31" t="n">
        <f aca="false">$F11*INDEX(Escenarios!$L$12:$L$36,MATCH($A11,Escenarios!$A$12:$A$36,0))*IF(AND($C11="INVAP",Inputs!$C$18="No"),0,1)*G11*$C$5</f>
        <v>24286.9725</v>
      </c>
      <c r="AE11" s="31" t="n">
        <f aca="false">$F11*INDEX(Escenarios!$L$12:$L$36,MATCH($A11,Escenarios!$A$12:$A$36,0))*IF(AND($C11="INVAP",Inputs!$C$18="No"),0,1)*H11*$C$5</f>
        <v>2698.5525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26985.525</v>
      </c>
    </row>
    <row r="12" customFormat="false" ht="15" hidden="false" customHeight="false" outlineLevel="0" collapsed="false">
      <c r="A12" s="15" t="s">
        <v>71</v>
      </c>
      <c r="B12" s="4" t="s">
        <v>72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SUMIFS(Datos!$H$5:$H$291,Datos!$E$5:$E$291,$A12,Datos!$F$5:$F$291,"S7")</f>
        <v>0</v>
      </c>
      <c r="F12" s="31" t="n">
        <f aca="false">SUMIFS(Datos!$J$5:$J$291,Datos!$E$5:$E$291,$A12,Datos!$F$5:$F$291,"S7")</f>
        <v>0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0</v>
      </c>
      <c r="L12" s="31" t="n">
        <f aca="false">$F12*INDEX(Escenarios!$I$12:$I$36,MATCH($A12,Escenarios!$A$12:$A$36,0))*IF(AND($C12="INVAP",Inputs!$C$18="No"),0,1)*G12*$C$5</f>
        <v>0</v>
      </c>
      <c r="M12" s="31" t="n">
        <f aca="false">$F12*INDEX(Escenarios!$I$12:$I$36,MATCH($A12,Escenarios!$A$12:$A$36,0))*IF(AND($C12="INVAP",Inputs!$C$18="No"),0,1)*H12*$C$5</f>
        <v>0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0</v>
      </c>
      <c r="Q12" s="31" t="n">
        <f aca="false">IF(INDEX(Escenarios!$J$12:$J$36,MATCH($A12,Escenarios!$A$12:$A$36,0))*IF(AND($C12="INVAP",Inputs!$C$18="No"),0,1)&gt;0,$E12*$C$5,0)</f>
        <v>0</v>
      </c>
      <c r="R12" s="31" t="n">
        <f aca="false">$F12*INDEX(Escenarios!$J$12:$J$36,MATCH($A12,Escenarios!$A$12:$A$36,0))*IF(AND($C12="INVAP",Inputs!$C$18="No"),0,1)*G12*$C$5</f>
        <v>0</v>
      </c>
      <c r="S12" s="31" t="n">
        <f aca="false">$F12*INDEX(Escenarios!$J$12:$J$36,MATCH($A12,Escenarios!$A$12:$A$36,0))*IF(AND($C12="INVAP",Inputs!$C$18="No"),0,1)*H12*$C$5</f>
        <v>0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0</v>
      </c>
      <c r="W12" s="31" t="n">
        <f aca="false">IF(INDEX(Escenarios!$K$12:$K$36,MATCH($A12,Escenarios!$A$12:$A$36,0))*IF(AND($C12="INVAP",Inputs!$C$18="No"),0,1)&gt;0,$E12*$C$5,0)</f>
        <v>0</v>
      </c>
      <c r="X12" s="31" t="n">
        <f aca="false">$F12*INDEX(Escenarios!$K$12:$K$36,MATCH($A12,Escenarios!$A$12:$A$36,0))*IF(AND($C12="INVAP",Inputs!$C$18="No"),0,1)*G12*$C$5</f>
        <v>0</v>
      </c>
      <c r="Y12" s="31" t="n">
        <f aca="false">$F12*INDEX(Escenarios!$K$12:$K$36,MATCH($A12,Escenarios!$A$12:$A$36,0))*IF(AND($C12="INVAP",Inputs!$C$18="No"),0,1)*H12*$C$5</f>
        <v>0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0</v>
      </c>
      <c r="AC12" s="31" t="n">
        <f aca="false">IF(INDEX(Escenarios!$L$12:$L$36,MATCH($A12,Escenarios!$A$12:$A$36,0))*IF(AND($C12="INVAP",Inputs!$C$18="No"),0,1)&gt;0,$E12*$C$5,0)</f>
        <v>0</v>
      </c>
      <c r="AD12" s="31" t="n">
        <f aca="false">$F12*INDEX(Escenarios!$L$12:$L$36,MATCH($A12,Escenarios!$A$12:$A$36,0))*IF(AND($C12="INVAP",Inputs!$C$18="No"),0,1)*G12*$C$5</f>
        <v>0</v>
      </c>
      <c r="AE12" s="31" t="n">
        <f aca="false">$F12*INDEX(Escenarios!$L$12:$L$36,MATCH($A12,Escenarios!$A$12:$A$36,0))*IF(AND($C12="INVAP",Inputs!$C$18="No"),0,1)*H12*$C$5</f>
        <v>0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0</v>
      </c>
    </row>
    <row r="13" customFormat="false" ht="15" hidden="false" customHeight="false" outlineLevel="0" collapsed="false">
      <c r="A13" s="15" t="s">
        <v>73</v>
      </c>
      <c r="B13" s="4" t="s">
        <v>74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SUMIFS(Datos!$H$5:$H$291,Datos!$E$5:$E$291,$A13,Datos!$F$5:$F$291,"S7")</f>
        <v>0</v>
      </c>
      <c r="F13" s="31" t="n">
        <f aca="false">SUMIFS(Datos!$J$5:$J$291,Datos!$E$5:$E$291,$A13,Datos!$F$5:$F$291,"S7")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75</v>
      </c>
      <c r="B14" s="4" t="s">
        <v>76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SUMIFS(Datos!$H$5:$H$291,Datos!$E$5:$E$291,$A14,Datos!$F$5:$F$291,"S7")</f>
        <v>0</v>
      </c>
      <c r="F14" s="31" t="n">
        <f aca="false">SUMIFS(Datos!$J$5:$J$291,Datos!$E$5:$E$291,$A14,Datos!$F$5:$F$291,"S7")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77</v>
      </c>
      <c r="B15" s="4" t="s">
        <v>78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SUMIFS(Datos!$H$5:$H$291,Datos!$E$5:$E$291,$A15,Datos!$F$5:$F$291,"S7")</f>
        <v>0</v>
      </c>
      <c r="F15" s="31" t="n">
        <f aca="false">SUMIFS(Datos!$J$5:$J$291,Datos!$E$5:$E$291,$A15,Datos!$F$5:$F$291,"S7")</f>
        <v>0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0</v>
      </c>
      <c r="L15" s="31" t="n">
        <f aca="false">$F15*INDEX(Escenarios!$I$12:$I$36,MATCH($A15,Escenarios!$A$12:$A$36,0))*IF(AND($C15="INVAP",Inputs!$C$18="No"),0,1)*G15*$C$5</f>
        <v>0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0</v>
      </c>
      <c r="Q15" s="31" t="n">
        <f aca="false">IF(INDEX(Escenarios!$J$12:$J$36,MATCH($A15,Escenarios!$A$12:$A$36,0))*IF(AND($C15="INVAP",Inputs!$C$18="No"),0,1)&gt;0,$E15*$C$5,0)</f>
        <v>0</v>
      </c>
      <c r="R15" s="31" t="n">
        <f aca="false">$F15*INDEX(Escenarios!$J$12:$J$36,MATCH($A15,Escenarios!$A$12:$A$36,0))*IF(AND($C15="INVAP",Inputs!$C$18="No"),0,1)*G15*$C$5</f>
        <v>0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0</v>
      </c>
      <c r="W15" s="31" t="n">
        <f aca="false">IF(INDEX(Escenarios!$K$12:$K$36,MATCH($A15,Escenarios!$A$12:$A$36,0))*IF(AND($C15="INVAP",Inputs!$C$18="No"),0,1)&gt;0,$E15*$C$5,0)</f>
        <v>0</v>
      </c>
      <c r="X15" s="31" t="n">
        <f aca="false">$F15*INDEX(Escenarios!$K$12:$K$36,MATCH($A15,Escenarios!$A$12:$A$36,0))*IF(AND($C15="INVAP",Inputs!$C$18="No"),0,1)*G15*$C$5</f>
        <v>0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0</v>
      </c>
      <c r="AC15" s="31" t="n">
        <f aca="false">IF(INDEX(Escenarios!$L$12:$L$36,MATCH($A15,Escenarios!$A$12:$A$36,0))*IF(AND($C15="INVAP",Inputs!$C$18="No"),0,1)&gt;0,$E15*$C$5,0)</f>
        <v>0</v>
      </c>
      <c r="AD15" s="31" t="n">
        <f aca="false">$F15*INDEX(Escenarios!$L$12:$L$36,MATCH($A15,Escenarios!$A$12:$A$36,0))*IF(AND($C15="INVAP",Inputs!$C$18="No"),0,1)*G15*$C$5</f>
        <v>0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0</v>
      </c>
    </row>
    <row r="16" customFormat="false" ht="15" hidden="false" customHeight="false" outlineLevel="0" collapsed="false">
      <c r="A16" s="15" t="s">
        <v>79</v>
      </c>
      <c r="B16" s="4" t="s">
        <v>80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SUMIFS(Datos!$H$5:$H$291,Datos!$E$5:$E$291,$A16,Datos!$F$5:$F$291,"S7")</f>
        <v>0</v>
      </c>
      <c r="F16" s="31" t="n">
        <f aca="false">SUMIFS(Datos!$J$5:$J$291,Datos!$E$5:$E$291,$A16,Datos!$F$5:$F$291,"S7")</f>
        <v>0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0</v>
      </c>
      <c r="L16" s="31" t="n">
        <f aca="false">$F16*INDEX(Escenarios!$I$12:$I$36,MATCH($A16,Escenarios!$A$12:$A$36,0))*IF(AND($C16="INVAP",Inputs!$C$18="No"),0,1)*G16*$C$5</f>
        <v>0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0</v>
      </c>
      <c r="Q16" s="31" t="n">
        <f aca="false">IF(INDEX(Escenarios!$J$12:$J$36,MATCH($A16,Escenarios!$A$12:$A$36,0))*IF(AND($C16="INVAP",Inputs!$C$18="No"),0,1)&gt;0,$E16*$C$5,0)</f>
        <v>0</v>
      </c>
      <c r="R16" s="31" t="n">
        <f aca="false">$F16*INDEX(Escenarios!$J$12:$J$36,MATCH($A16,Escenarios!$A$12:$A$36,0))*IF(AND($C16="INVAP",Inputs!$C$18="No"),0,1)*G16*$C$5</f>
        <v>0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0</v>
      </c>
      <c r="W16" s="31" t="n">
        <f aca="false">IF(INDEX(Escenarios!$K$12:$K$36,MATCH($A16,Escenarios!$A$12:$A$36,0))*IF(AND($C16="INVAP",Inputs!$C$18="No"),0,1)&gt;0,$E16*$C$5,0)</f>
        <v>0</v>
      </c>
      <c r="X16" s="31" t="n">
        <f aca="false">$F16*INDEX(Escenarios!$K$12:$K$36,MATCH($A16,Escenarios!$A$12:$A$36,0))*IF(AND($C16="INVAP",Inputs!$C$18="No"),0,1)*G16*$C$5</f>
        <v>0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0</v>
      </c>
      <c r="AC16" s="31" t="n">
        <f aca="false">IF(INDEX(Escenarios!$L$12:$L$36,MATCH($A16,Escenarios!$A$12:$A$36,0))*IF(AND($C16="INVAP",Inputs!$C$18="No"),0,1)&gt;0,$E16*$C$5,0)</f>
        <v>0</v>
      </c>
      <c r="AD16" s="31" t="n">
        <f aca="false">$F16*INDEX(Escenarios!$L$12:$L$36,MATCH($A16,Escenarios!$A$12:$A$36,0))*IF(AND($C16="INVAP",Inputs!$C$18="No"),0,1)*G16*$C$5</f>
        <v>0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0</v>
      </c>
    </row>
    <row r="17" customFormat="false" ht="15" hidden="false" customHeight="false" outlineLevel="0" collapsed="false">
      <c r="A17" s="15" t="s">
        <v>81</v>
      </c>
      <c r="B17" s="4" t="s">
        <v>82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SUMIFS(Datos!$H$5:$H$291,Datos!$E$5:$E$291,$A17,Datos!$F$5:$F$291,"S7")</f>
        <v>0</v>
      </c>
      <c r="F17" s="31" t="n">
        <f aca="false">SUMIFS(Datos!$J$5:$J$291,Datos!$E$5:$E$291,$A17,Datos!$F$5:$F$291,"S7")</f>
        <v>0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0</v>
      </c>
      <c r="L17" s="31" t="n">
        <f aca="false">$F17*INDEX(Escenarios!$I$12:$I$36,MATCH($A17,Escenarios!$A$12:$A$36,0))*IF(AND($C17="INVAP",Inputs!$C$18="No"),0,1)*G17*$C$5</f>
        <v>0</v>
      </c>
      <c r="M17" s="31" t="n">
        <f aca="false">$F17*INDEX(Escenarios!$I$12:$I$36,MATCH($A17,Escenarios!$A$12:$A$36,0))*IF(AND($C17="INVAP",Inputs!$C$18="No"),0,1)*H17*$C$5</f>
        <v>0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0</v>
      </c>
      <c r="Q17" s="31" t="n">
        <f aca="false">IF(INDEX(Escenarios!$J$12:$J$36,MATCH($A17,Escenarios!$A$12:$A$36,0))*IF(AND($C17="INVAP",Inputs!$C$18="No"),0,1)&gt;0,$E17*$C$5,0)</f>
        <v>0</v>
      </c>
      <c r="R17" s="31" t="n">
        <f aca="false">$F17*INDEX(Escenarios!$J$12:$J$36,MATCH($A17,Escenarios!$A$12:$A$36,0))*IF(AND($C17="INVAP",Inputs!$C$18="No"),0,1)*G17*$C$5</f>
        <v>0</v>
      </c>
      <c r="S17" s="31" t="n">
        <f aca="false">$F17*INDEX(Escenarios!$J$12:$J$36,MATCH($A17,Escenarios!$A$12:$A$36,0))*IF(AND($C17="INVAP",Inputs!$C$18="No"),0,1)*H17*$C$5</f>
        <v>0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0</v>
      </c>
      <c r="W17" s="31" t="n">
        <f aca="false">IF(INDEX(Escenarios!$K$12:$K$36,MATCH($A17,Escenarios!$A$12:$A$36,0))*IF(AND($C17="INVAP",Inputs!$C$18="No"),0,1)&gt;0,$E17*$C$5,0)</f>
        <v>0</v>
      </c>
      <c r="X17" s="31" t="n">
        <f aca="false">$F17*INDEX(Escenarios!$K$12:$K$36,MATCH($A17,Escenarios!$A$12:$A$36,0))*IF(AND($C17="INVAP",Inputs!$C$18="No"),0,1)*G17*$C$5</f>
        <v>0</v>
      </c>
      <c r="Y17" s="31" t="n">
        <f aca="false">$F17*INDEX(Escenarios!$K$12:$K$36,MATCH($A17,Escenarios!$A$12:$A$36,0))*IF(AND($C17="INVAP",Inputs!$C$18="No"),0,1)*H17*$C$5</f>
        <v>0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0</v>
      </c>
      <c r="AC17" s="31" t="n">
        <f aca="false">IF(INDEX(Escenarios!$L$12:$L$36,MATCH($A17,Escenarios!$A$12:$A$36,0))*IF(AND($C17="INVAP",Inputs!$C$18="No"),0,1)&gt;0,$E17*$C$5,0)</f>
        <v>0</v>
      </c>
      <c r="AD17" s="31" t="n">
        <f aca="false">$F17*INDEX(Escenarios!$L$12:$L$36,MATCH($A17,Escenarios!$A$12:$A$36,0))*IF(AND($C17="INVAP",Inputs!$C$18="No"),0,1)*G17*$C$5</f>
        <v>0</v>
      </c>
      <c r="AE17" s="31" t="n">
        <f aca="false">$F17*INDEX(Escenarios!$L$12:$L$36,MATCH($A17,Escenarios!$A$12:$A$36,0))*IF(AND($C17="INVAP",Inputs!$C$18="No"),0,1)*H17*$C$5</f>
        <v>0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0</v>
      </c>
    </row>
    <row r="18" customFormat="false" ht="15" hidden="false" customHeight="false" outlineLevel="0" collapsed="false">
      <c r="A18" s="15" t="s">
        <v>83</v>
      </c>
      <c r="B18" s="4" t="s">
        <v>84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SUMIFS(Datos!$H$5:$H$291,Datos!$E$5:$E$291,$A18,Datos!$F$5:$F$291,"S7")</f>
        <v>0</v>
      </c>
      <c r="F18" s="31" t="n">
        <f aca="false">SUMIFS(Datos!$J$5:$J$291,Datos!$E$5:$E$291,$A18,Datos!$F$5:$F$291,"S7")</f>
        <v>0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0</v>
      </c>
      <c r="L18" s="31" t="n">
        <f aca="false">$F18*INDEX(Escenarios!$I$12:$I$36,MATCH($A18,Escenarios!$A$12:$A$36,0))*IF(AND($C18="INVAP",Inputs!$C$18="No"),0,1)*G18*$C$5</f>
        <v>0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0</v>
      </c>
      <c r="Q18" s="31" t="n">
        <f aca="false">IF(INDEX(Escenarios!$J$12:$J$36,MATCH($A18,Escenarios!$A$12:$A$36,0))*IF(AND($C18="INVAP",Inputs!$C$18="No"),0,1)&gt;0,$E18*$C$5,0)</f>
        <v>0</v>
      </c>
      <c r="R18" s="31" t="n">
        <f aca="false">$F18*INDEX(Escenarios!$J$12:$J$36,MATCH($A18,Escenarios!$A$12:$A$36,0))*IF(AND($C18="INVAP",Inputs!$C$18="No"),0,1)*G18*$C$5</f>
        <v>0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0</v>
      </c>
      <c r="W18" s="31" t="n">
        <f aca="false">IF(INDEX(Escenarios!$K$12:$K$36,MATCH($A18,Escenarios!$A$12:$A$36,0))*IF(AND($C18="INVAP",Inputs!$C$18="No"),0,1)&gt;0,$E18*$C$5,0)</f>
        <v>0</v>
      </c>
      <c r="X18" s="31" t="n">
        <f aca="false">$F18*INDEX(Escenarios!$K$12:$K$36,MATCH($A18,Escenarios!$A$12:$A$36,0))*IF(AND($C18="INVAP",Inputs!$C$18="No"),0,1)*G18*$C$5</f>
        <v>0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0</v>
      </c>
      <c r="AC18" s="31" t="n">
        <f aca="false">IF(INDEX(Escenarios!$L$12:$L$36,MATCH($A18,Escenarios!$A$12:$A$36,0))*IF(AND($C18="INVAP",Inputs!$C$18="No"),0,1)&gt;0,$E18*$C$5,0)</f>
        <v>0</v>
      </c>
      <c r="AD18" s="31" t="n">
        <f aca="false">$F18*INDEX(Escenarios!$L$12:$L$36,MATCH($A18,Escenarios!$A$12:$A$36,0))*IF(AND($C18="INVAP",Inputs!$C$18="No"),0,1)*G18*$C$5</f>
        <v>0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0</v>
      </c>
    </row>
    <row r="19" customFormat="false" ht="15" hidden="false" customHeight="false" outlineLevel="0" collapsed="false">
      <c r="A19" s="15" t="s">
        <v>85</v>
      </c>
      <c r="B19" s="4" t="s">
        <v>86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SUMIFS(Datos!$H$5:$H$291,Datos!$E$5:$E$291,$A19,Datos!$F$5:$F$291,"S7")</f>
        <v>0</v>
      </c>
      <c r="F19" s="31" t="n">
        <f aca="false">SUMIFS(Datos!$J$5:$J$291,Datos!$E$5:$E$291,$A19,Datos!$F$5:$F$291,"S7")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87</v>
      </c>
      <c r="B20" s="4" t="s">
        <v>88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SUMIFS(Datos!$H$5:$H$291,Datos!$E$5:$E$291,$A20,Datos!$F$5:$F$291,"S7")</f>
        <v>140</v>
      </c>
      <c r="F20" s="31" t="n">
        <f aca="false">SUMIFS(Datos!$J$5:$J$291,Datos!$E$5:$E$291,$A20,Datos!$F$5:$F$291,"S7")</f>
        <v>32325.3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140</v>
      </c>
      <c r="L20" s="31" t="n">
        <f aca="false">$F20*INDEX(Escenarios!$I$12:$I$36,MATCH($A20,Escenarios!$A$12:$A$36,0))*IF(AND($C20="INVAP",Inputs!$C$18="No"),0,1)*G20*$C$5</f>
        <v>32325.3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32325.3</v>
      </c>
      <c r="Q20" s="31" t="n">
        <f aca="false">IF(INDEX(Escenarios!$J$12:$J$36,MATCH($A20,Escenarios!$A$12:$A$36,0))*IF(AND($C20="INVAP",Inputs!$C$18="No"),0,1)&gt;0,$E20*$C$5,0)</f>
        <v>140</v>
      </c>
      <c r="R20" s="31" t="n">
        <f aca="false">$F20*INDEX(Escenarios!$J$12:$J$36,MATCH($A20,Escenarios!$A$12:$A$36,0))*IF(AND($C20="INVAP",Inputs!$C$18="No"),0,1)*G20*$C$5</f>
        <v>32325.3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32325.3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89</v>
      </c>
      <c r="B21" s="4" t="s">
        <v>90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SUMIFS(Datos!$H$5:$H$291,Datos!$E$5:$E$291,$A21,Datos!$F$5:$F$291,"S7")</f>
        <v>190</v>
      </c>
      <c r="F21" s="31" t="n">
        <f aca="false">SUMIFS(Datos!$J$5:$J$291,Datos!$E$5:$E$291,$A21,Datos!$F$5:$F$291,"S7")</f>
        <v>43868.475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190</v>
      </c>
      <c r="L21" s="31" t="n">
        <f aca="false">$F21*INDEX(Escenarios!$I$12:$I$36,MATCH($A21,Escenarios!$A$12:$A$36,0))*IF(AND($C21="INVAP",Inputs!$C$18="No"),0,1)*G21*$C$5</f>
        <v>43868.475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43868.475</v>
      </c>
      <c r="Q21" s="31" t="n">
        <f aca="false">IF(INDEX(Escenarios!$J$12:$J$36,MATCH($A21,Escenarios!$A$12:$A$36,0))*IF(AND($C21="INVAP",Inputs!$C$18="No"),0,1)&gt;0,$E21*$C$5,0)</f>
        <v>190</v>
      </c>
      <c r="R21" s="31" t="n">
        <f aca="false">$F21*INDEX(Escenarios!$J$12:$J$36,MATCH($A21,Escenarios!$A$12:$A$36,0))*IF(AND($C21="INVAP",Inputs!$C$18="No"),0,1)*G21*$C$5</f>
        <v>43868.475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43868.475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91</v>
      </c>
      <c r="B22" s="4" t="s">
        <v>92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SUMIFS(Datos!$H$5:$H$291,Datos!$E$5:$E$291,$A22,Datos!$F$5:$F$291,"S7")</f>
        <v>0</v>
      </c>
      <c r="F22" s="31" t="n">
        <f aca="false">SUMIFS(Datos!$J$5:$J$291,Datos!$E$5:$E$291,$A22,Datos!$F$5:$F$291,"S7")</f>
        <v>0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0</v>
      </c>
      <c r="L22" s="31" t="n">
        <f aca="false">$F22*INDEX(Escenarios!$I$12:$I$36,MATCH($A22,Escenarios!$A$12:$A$36,0))*IF(AND($C22="INVAP",Inputs!$C$18="No"),0,1)*G22*$C$5</f>
        <v>0</v>
      </c>
      <c r="M22" s="31" t="n">
        <f aca="false">$F22*INDEX(Escenarios!$I$12:$I$36,MATCH($A22,Escenarios!$A$12:$A$36,0))*IF(AND($C22="INVAP",Inputs!$C$18="No"),0,1)*H22*$C$5</f>
        <v>0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0</v>
      </c>
      <c r="Q22" s="31" t="n">
        <f aca="false">IF(INDEX(Escenarios!$J$12:$J$36,MATCH($A22,Escenarios!$A$12:$A$36,0))*IF(AND($C22="INVAP",Inputs!$C$18="No"),0,1)&gt;0,$E22*$C$5,0)</f>
        <v>0</v>
      </c>
      <c r="R22" s="31" t="n">
        <f aca="false">$F22*INDEX(Escenarios!$J$12:$J$36,MATCH($A22,Escenarios!$A$12:$A$36,0))*IF(AND($C22="INVAP",Inputs!$C$18="No"),0,1)*G22*$C$5</f>
        <v>0</v>
      </c>
      <c r="S22" s="31" t="n">
        <f aca="false">$F22*INDEX(Escenarios!$J$12:$J$36,MATCH($A22,Escenarios!$A$12:$A$36,0))*IF(AND($C22="INVAP",Inputs!$C$18="No"),0,1)*H22*$C$5</f>
        <v>0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0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93</v>
      </c>
      <c r="B23" s="4" t="s">
        <v>94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SUMIFS(Datos!$H$5:$H$291,Datos!$E$5:$E$291,$A23,Datos!$F$5:$F$291,"S7")</f>
        <v>260</v>
      </c>
      <c r="F23" s="31" t="n">
        <f aca="false">SUMIFS(Datos!$J$5:$J$291,Datos!$E$5:$E$291,$A23,Datos!$F$5:$F$291,"S7")</f>
        <v>60097.275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260</v>
      </c>
      <c r="L23" s="31" t="n">
        <f aca="false">$F23*INDEX(Escenarios!$I$12:$I$36,MATCH($A23,Escenarios!$A$12:$A$36,0))*IF(AND($C23="INVAP",Inputs!$C$18="No"),0,1)*G23*$C$5</f>
        <v>54087.5475</v>
      </c>
      <c r="M23" s="31" t="n">
        <f aca="false">$F23*INDEX(Escenarios!$I$12:$I$36,MATCH($A23,Escenarios!$A$12:$A$36,0))*IF(AND($C23="INVAP",Inputs!$C$18="No"),0,1)*H23*$C$5</f>
        <v>6009.7275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60097.275</v>
      </c>
      <c r="Q23" s="31" t="n">
        <f aca="false">IF(INDEX(Escenarios!$J$12:$J$36,MATCH($A23,Escenarios!$A$12:$A$36,0))*IF(AND($C23="INVAP",Inputs!$C$18="No"),0,1)&gt;0,$E23*$C$5,0)</f>
        <v>260</v>
      </c>
      <c r="R23" s="31" t="n">
        <f aca="false">$F23*INDEX(Escenarios!$J$12:$J$36,MATCH($A23,Escenarios!$A$12:$A$36,0))*IF(AND($C23="INVAP",Inputs!$C$18="No"),0,1)*G23*$C$5</f>
        <v>54087.5475</v>
      </c>
      <c r="S23" s="31" t="n">
        <f aca="false">$F23*INDEX(Escenarios!$J$12:$J$36,MATCH($A23,Escenarios!$A$12:$A$36,0))*IF(AND($C23="INVAP",Inputs!$C$18="No"),0,1)*H23*$C$5</f>
        <v>6009.7275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60097.275</v>
      </c>
      <c r="W23" s="31" t="n">
        <f aca="false">IF(INDEX(Escenarios!$K$12:$K$36,MATCH($A23,Escenarios!$A$12:$A$36,0))*IF(AND($C23="INVAP",Inputs!$C$18="No"),0,1)&gt;0,$E23*$C$5,0)</f>
        <v>260</v>
      </c>
      <c r="X23" s="31" t="n">
        <f aca="false">$F23*INDEX(Escenarios!$K$12:$K$36,MATCH($A23,Escenarios!$A$12:$A$36,0))*IF(AND($C23="INVAP",Inputs!$C$18="No"),0,1)*G23*$C$5</f>
        <v>54087.5475</v>
      </c>
      <c r="Y23" s="31" t="n">
        <f aca="false">$F23*INDEX(Escenarios!$K$12:$K$36,MATCH($A23,Escenarios!$A$12:$A$36,0))*IF(AND($C23="INVAP",Inputs!$C$18="No"),0,1)*H23*$C$5</f>
        <v>6009.7275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60097.275</v>
      </c>
      <c r="AC23" s="31" t="n">
        <f aca="false">IF(INDEX(Escenarios!$L$12:$L$36,MATCH($A23,Escenarios!$A$12:$A$36,0))*IF(AND($C23="INVAP",Inputs!$C$18="No"),0,1)&gt;0,$E23*$C$5,0)</f>
        <v>260</v>
      </c>
      <c r="AD23" s="31" t="n">
        <f aca="false">$F23*INDEX(Escenarios!$L$12:$L$36,MATCH($A23,Escenarios!$A$12:$A$36,0))*IF(AND($C23="INVAP",Inputs!$C$18="No"),0,1)*G23*$C$5</f>
        <v>54087.5475</v>
      </c>
      <c r="AE23" s="31" t="n">
        <f aca="false">$F23*INDEX(Escenarios!$L$12:$L$36,MATCH($A23,Escenarios!$A$12:$A$36,0))*IF(AND($C23="INVAP",Inputs!$C$18="No"),0,1)*H23*$C$5</f>
        <v>6009.7275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60097.275</v>
      </c>
    </row>
    <row r="24" customFormat="false" ht="15" hidden="false" customHeight="false" outlineLevel="0" collapsed="false">
      <c r="A24" s="15" t="s">
        <v>95</v>
      </c>
      <c r="B24" s="4" t="s">
        <v>96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SUMIFS(Datos!$H$5:$H$291,Datos!$E$5:$E$291,$A24,Datos!$F$5:$F$291,"S7")</f>
        <v>245</v>
      </c>
      <c r="F24" s="31" t="n">
        <f aca="false">SUMIFS(Datos!$J$5:$J$291,Datos!$E$5:$E$291,$A24,Datos!$F$5:$F$291,"S7")</f>
        <v>56734.65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245</v>
      </c>
      <c r="L24" s="31" t="n">
        <f aca="false">$F24*INDEX(Escenarios!$I$12:$I$36,MATCH($A24,Escenarios!$A$12:$A$36,0))*IF(AND($C24="INVAP",Inputs!$C$18="No"),0,1)*G24*$C$5</f>
        <v>51061.185</v>
      </c>
      <c r="M24" s="31" t="n">
        <f aca="false">$F24*INDEX(Escenarios!$I$12:$I$36,MATCH($A24,Escenarios!$A$12:$A$36,0))*IF(AND($C24="INVAP",Inputs!$C$18="No"),0,1)*H24*$C$5</f>
        <v>5673.465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56734.65</v>
      </c>
      <c r="Q24" s="31" t="n">
        <f aca="false">IF(INDEX(Escenarios!$J$12:$J$36,MATCH($A24,Escenarios!$A$12:$A$36,0))*IF(AND($C24="INVAP",Inputs!$C$18="No"),0,1)&gt;0,$E24*$C$5,0)</f>
        <v>245</v>
      </c>
      <c r="R24" s="31" t="n">
        <f aca="false">$F24*INDEX(Escenarios!$J$12:$J$36,MATCH($A24,Escenarios!$A$12:$A$36,0))*IF(AND($C24="INVAP",Inputs!$C$18="No"),0,1)*G24*$C$5</f>
        <v>51061.185</v>
      </c>
      <c r="S24" s="31" t="n">
        <f aca="false">$F24*INDEX(Escenarios!$J$12:$J$36,MATCH($A24,Escenarios!$A$12:$A$36,0))*IF(AND($C24="INVAP",Inputs!$C$18="No"),0,1)*H24*$C$5</f>
        <v>5673.465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56734.65</v>
      </c>
      <c r="W24" s="31" t="n">
        <f aca="false">IF(INDEX(Escenarios!$K$12:$K$36,MATCH($A24,Escenarios!$A$12:$A$36,0))*IF(AND($C24="INVAP",Inputs!$C$18="No"),0,1)&gt;0,$E24*$C$5,0)</f>
        <v>245</v>
      </c>
      <c r="X24" s="31" t="n">
        <f aca="false">$F24*INDEX(Escenarios!$K$12:$K$36,MATCH($A24,Escenarios!$A$12:$A$36,0))*IF(AND($C24="INVAP",Inputs!$C$18="No"),0,1)*G24*$C$5</f>
        <v>51061.185</v>
      </c>
      <c r="Y24" s="31" t="n">
        <f aca="false">$F24*INDEX(Escenarios!$K$12:$K$36,MATCH($A24,Escenarios!$A$12:$A$36,0))*IF(AND($C24="INVAP",Inputs!$C$18="No"),0,1)*H24*$C$5</f>
        <v>5673.465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56734.65</v>
      </c>
      <c r="AC24" s="31" t="n">
        <f aca="false">IF(INDEX(Escenarios!$L$12:$L$36,MATCH($A24,Escenarios!$A$12:$A$36,0))*IF(AND($C24="INVAP",Inputs!$C$18="No"),0,1)&gt;0,$E24*$C$5,0)</f>
        <v>245</v>
      </c>
      <c r="AD24" s="31" t="n">
        <f aca="false">$F24*INDEX(Escenarios!$L$12:$L$36,MATCH($A24,Escenarios!$A$12:$A$36,0))*IF(AND($C24="INVAP",Inputs!$C$18="No"),0,1)*G24*$C$5</f>
        <v>51061.185</v>
      </c>
      <c r="AE24" s="31" t="n">
        <f aca="false">$F24*INDEX(Escenarios!$L$12:$L$36,MATCH($A24,Escenarios!$A$12:$A$36,0))*IF(AND($C24="INVAP",Inputs!$C$18="No"),0,1)*H24*$C$5</f>
        <v>5673.465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56734.65</v>
      </c>
    </row>
    <row r="25" customFormat="false" ht="15" hidden="false" customHeight="false" outlineLevel="0" collapsed="false">
      <c r="A25" s="15" t="s">
        <v>97</v>
      </c>
      <c r="B25" s="4" t="s">
        <v>98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SUMIFS(Datos!$H$5:$H$291,Datos!$E$5:$E$291,$A25,Datos!$F$5:$F$291,"S7")</f>
        <v>475</v>
      </c>
      <c r="F25" s="31" t="n">
        <f aca="false">SUMIFS(Datos!$J$5:$J$291,Datos!$E$5:$E$291,$A25,Datos!$F$5:$F$291,"S7")</f>
        <v>108875.55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475</v>
      </c>
      <c r="L25" s="31" t="n">
        <f aca="false">$F25*INDEX(Escenarios!$I$12:$I$36,MATCH($A25,Escenarios!$A$12:$A$36,0))*IF(AND($C25="INVAP",Inputs!$C$18="No"),0,1)*G25*$C$5</f>
        <v>108875.55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108875.55</v>
      </c>
      <c r="Q25" s="31" t="n">
        <f aca="false">IF(INDEX(Escenarios!$J$12:$J$36,MATCH($A25,Escenarios!$A$12:$A$36,0))*IF(AND($C25="INVAP",Inputs!$C$18="No"),0,1)&gt;0,$E25*$C$5,0)</f>
        <v>475</v>
      </c>
      <c r="R25" s="31" t="n">
        <f aca="false">$F25*INDEX(Escenarios!$J$12:$J$36,MATCH($A25,Escenarios!$A$12:$A$36,0))*IF(AND($C25="INVAP",Inputs!$C$18="No"),0,1)*G25*$C$5</f>
        <v>108875.55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108875.55</v>
      </c>
      <c r="W25" s="31" t="n">
        <f aca="false">IF(INDEX(Escenarios!$K$12:$K$36,MATCH($A25,Escenarios!$A$12:$A$36,0))*IF(AND($C25="INVAP",Inputs!$C$18="No"),0,1)&gt;0,$E25*$C$5,0)</f>
        <v>475</v>
      </c>
      <c r="X25" s="31" t="n">
        <f aca="false">$F25*INDEX(Escenarios!$K$12:$K$36,MATCH($A25,Escenarios!$A$12:$A$36,0))*IF(AND($C25="INVAP",Inputs!$C$18="No"),0,1)*G25*$C$5</f>
        <v>108875.55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108875.55</v>
      </c>
      <c r="AC25" s="31" t="n">
        <f aca="false">IF(INDEX(Escenarios!$L$12:$L$36,MATCH($A25,Escenarios!$A$12:$A$36,0))*IF(AND($C25="INVAP",Inputs!$C$18="No"),0,1)&gt;0,$E25*$C$5,0)</f>
        <v>475</v>
      </c>
      <c r="AD25" s="31" t="n">
        <f aca="false">$F25*INDEX(Escenarios!$L$12:$L$36,MATCH($A25,Escenarios!$A$12:$A$36,0))*IF(AND($C25="INVAP",Inputs!$C$18="No"),0,1)*G25*$C$5</f>
        <v>108875.55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108875.55</v>
      </c>
    </row>
    <row r="26" customFormat="false" ht="15" hidden="false" customHeight="false" outlineLevel="0" collapsed="false">
      <c r="A26" s="15" t="s">
        <v>99</v>
      </c>
      <c r="B26" s="4" t="s">
        <v>100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SUMIFS(Datos!$H$5:$H$291,Datos!$E$5:$E$291,$A26,Datos!$F$5:$F$291,"S7")</f>
        <v>0</v>
      </c>
      <c r="F26" s="31" t="n">
        <f aca="false">SUMIFS(Datos!$J$5:$J$291,Datos!$E$5:$E$291,$A26,Datos!$F$5:$F$291,"S7")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101</v>
      </c>
      <c r="B27" s="4" t="s">
        <v>102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SUMIFS(Datos!$H$5:$H$291,Datos!$E$5:$E$291,$A27,Datos!$F$5:$F$291,"S7")</f>
        <v>225</v>
      </c>
      <c r="F27" s="31" t="n">
        <f aca="false">SUMIFS(Datos!$J$5:$J$291,Datos!$E$5:$E$291,$A27,Datos!$F$5:$F$291,"S7")</f>
        <v>51314.025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225</v>
      </c>
      <c r="L27" s="31" t="n">
        <f aca="false">$F27*INDEX(Escenarios!$I$12:$I$36,MATCH($A27,Escenarios!$A$12:$A$36,0))*IF(AND($C27="INVAP",Inputs!$C$18="No"),0,1)*G27*$C$5</f>
        <v>46182.6225</v>
      </c>
      <c r="M27" s="31" t="n">
        <f aca="false">$F27*INDEX(Escenarios!$I$12:$I$36,MATCH($A27,Escenarios!$A$12:$A$36,0))*IF(AND($C27="INVAP",Inputs!$C$18="No"),0,1)*H27*$C$5</f>
        <v>5131.4025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51314.025</v>
      </c>
      <c r="Q27" s="31" t="n">
        <f aca="false">IF(INDEX(Escenarios!$J$12:$J$36,MATCH($A27,Escenarios!$A$12:$A$36,0))*IF(AND($C27="INVAP",Inputs!$C$18="No"),0,1)&gt;0,$E27*$C$5,0)</f>
        <v>225</v>
      </c>
      <c r="R27" s="31" t="n">
        <f aca="false">$F27*INDEX(Escenarios!$J$12:$J$36,MATCH($A27,Escenarios!$A$12:$A$36,0))*IF(AND($C27="INVAP",Inputs!$C$18="No"),0,1)*G27*$C$5</f>
        <v>46182.6225</v>
      </c>
      <c r="S27" s="31" t="n">
        <f aca="false">$F27*INDEX(Escenarios!$J$12:$J$36,MATCH($A27,Escenarios!$A$12:$A$36,0))*IF(AND($C27="INVAP",Inputs!$C$18="No"),0,1)*H27*$C$5</f>
        <v>5131.4025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51314.025</v>
      </c>
      <c r="W27" s="31" t="n">
        <f aca="false">IF(INDEX(Escenarios!$K$12:$K$36,MATCH($A27,Escenarios!$A$12:$A$36,0))*IF(AND($C27="INVAP",Inputs!$C$18="No"),0,1)&gt;0,$E27*$C$5,0)</f>
        <v>225</v>
      </c>
      <c r="X27" s="31" t="n">
        <f aca="false">$F27*INDEX(Escenarios!$K$12:$K$36,MATCH($A27,Escenarios!$A$12:$A$36,0))*IF(AND($C27="INVAP",Inputs!$C$18="No"),0,1)*G27*$C$5</f>
        <v>46182.6225</v>
      </c>
      <c r="Y27" s="31" t="n">
        <f aca="false">$F27*INDEX(Escenarios!$K$12:$K$36,MATCH($A27,Escenarios!$A$12:$A$36,0))*IF(AND($C27="INVAP",Inputs!$C$18="No"),0,1)*H27*$C$5</f>
        <v>5131.4025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51314.025</v>
      </c>
      <c r="AC27" s="31" t="n">
        <f aca="false">IF(INDEX(Escenarios!$L$12:$L$36,MATCH($A27,Escenarios!$A$12:$A$36,0))*IF(AND($C27="INVAP",Inputs!$C$18="No"),0,1)&gt;0,$E27*$C$5,0)</f>
        <v>225</v>
      </c>
      <c r="AD27" s="31" t="n">
        <f aca="false">$F27*INDEX(Escenarios!$L$12:$L$36,MATCH($A27,Escenarios!$A$12:$A$36,0))*IF(AND($C27="INVAP",Inputs!$C$18="No"),0,1)*G27*$C$5</f>
        <v>46182.6225</v>
      </c>
      <c r="AE27" s="31" t="n">
        <f aca="false">$F27*INDEX(Escenarios!$L$12:$L$36,MATCH($A27,Escenarios!$A$12:$A$36,0))*IF(AND($C27="INVAP",Inputs!$C$18="No"),0,1)*H27*$C$5</f>
        <v>5131.4025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51314.025</v>
      </c>
    </row>
    <row r="28" customFormat="false" ht="15" hidden="false" customHeight="false" outlineLevel="0" collapsed="false">
      <c r="A28" s="15" t="s">
        <v>103</v>
      </c>
      <c r="B28" s="4" t="s">
        <v>104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SUMIFS(Datos!$H$5:$H$291,Datos!$E$5:$E$291,$A28,Datos!$F$5:$F$291,"S7")</f>
        <v>0</v>
      </c>
      <c r="F28" s="31" t="n">
        <f aca="false">SUMIFS(Datos!$J$5:$J$291,Datos!$E$5:$E$291,$A28,Datos!$F$5:$F$291,"S7")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105</v>
      </c>
      <c r="B29" s="4" t="s">
        <v>106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SUMIFS(Datos!$H$5:$H$291,Datos!$E$5:$E$291,$A29,Datos!$F$5:$F$291,"S7")</f>
        <v>0</v>
      </c>
      <c r="F29" s="31" t="n">
        <f aca="false">SUMIFS(Datos!$J$5:$J$291,Datos!$E$5:$E$291,$A29,Datos!$F$5:$F$291,"S7")</f>
        <v>0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0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0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0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0</v>
      </c>
    </row>
    <row r="30" customFormat="false" ht="15" hidden="false" customHeight="false" outlineLevel="0" collapsed="false">
      <c r="A30" s="15" t="s">
        <v>107</v>
      </c>
      <c r="B30" s="4" t="s">
        <v>108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SUMIFS(Datos!$H$5:$H$291,Datos!$E$5:$E$291,$A30,Datos!$F$5:$F$291,"S7")</f>
        <v>0</v>
      </c>
      <c r="F30" s="31" t="n">
        <f aca="false">SUMIFS(Datos!$J$5:$J$291,Datos!$E$5:$E$291,$A30,Datos!$F$5:$F$291,"S7")</f>
        <v>0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0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0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0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0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0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0</v>
      </c>
    </row>
    <row r="31" customFormat="false" ht="15" hidden="false" customHeight="false" outlineLevel="0" collapsed="false">
      <c r="A31" s="15" t="s">
        <v>109</v>
      </c>
      <c r="B31" s="4" t="s">
        <v>110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SUMIFS(Datos!$H$5:$H$291,Datos!$E$5:$E$291,$A31,Datos!$F$5:$F$291,"S7")</f>
        <v>0</v>
      </c>
      <c r="F31" s="31" t="n">
        <f aca="false">SUMIFS(Datos!$J$5:$J$291,Datos!$E$5:$E$291,$A31,Datos!$F$5:$F$291,"S7")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111</v>
      </c>
      <c r="B32" s="4" t="s">
        <v>112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SUMIFS(Datos!$H$5:$H$291,Datos!$E$5:$E$291,$A32,Datos!$F$5:$F$291,"S7")</f>
        <v>245</v>
      </c>
      <c r="F32" s="31" t="n">
        <f aca="false">SUMIFS(Datos!$J$5:$J$291,Datos!$E$5:$E$291,$A32,Datos!$F$5:$F$291,"S7")</f>
        <v>56448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245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56448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56448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245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28224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28224</v>
      </c>
    </row>
    <row r="33" customFormat="false" ht="15" hidden="false" customHeight="false" outlineLevel="0" collapsed="false">
      <c r="A33" s="34"/>
      <c r="B33" s="35" t="s">
        <v>135</v>
      </c>
      <c r="C33" s="34"/>
      <c r="D33" s="34"/>
      <c r="E33" s="36" t="n">
        <f aca="false">SUM(E8:E32)</f>
        <v>2140</v>
      </c>
      <c r="F33" s="36" t="n">
        <f aca="false">SUM(F8:F32)</f>
        <v>493905.3</v>
      </c>
      <c r="G33" s="34"/>
      <c r="H33" s="34"/>
      <c r="I33" s="34"/>
      <c r="J33" s="34"/>
      <c r="K33" s="36" t="n">
        <f aca="false">SUM(K8:K32)</f>
        <v>2140</v>
      </c>
      <c r="L33" s="36" t="n">
        <f aca="false">SUM(L8:L32)</f>
        <v>412218.5025</v>
      </c>
      <c r="M33" s="36" t="n">
        <f aca="false">SUM(M8:M32)</f>
        <v>81686.7975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493905.3</v>
      </c>
      <c r="Q33" s="36" t="n">
        <f aca="false">SUM(Q8:Q32)</f>
        <v>1895</v>
      </c>
      <c r="R33" s="36" t="n">
        <f aca="false">SUM(R8:R32)</f>
        <v>412218.5025</v>
      </c>
      <c r="S33" s="36" t="n">
        <f aca="false">SUM(S8:S32)</f>
        <v>25238.7975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437457.3</v>
      </c>
      <c r="W33" s="36" t="n">
        <f aca="false">SUM(W8:W32)</f>
        <v>1565</v>
      </c>
      <c r="X33" s="36" t="n">
        <f aca="false">SUM(X8:X32)</f>
        <v>336024.7275</v>
      </c>
      <c r="Y33" s="36" t="n">
        <f aca="false">SUM(Y8:Y32)</f>
        <v>25238.7975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361263.525</v>
      </c>
      <c r="AC33" s="36" t="n">
        <f aca="false">SUM(AC8:AC32)</f>
        <v>1810</v>
      </c>
      <c r="AD33" s="36" t="n">
        <f aca="false">SUM(AD8:AD32)</f>
        <v>336024.7275</v>
      </c>
      <c r="AE33" s="36" t="n">
        <f aca="false">SUM(AE8:AE32)</f>
        <v>53462.7975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389487.525</v>
      </c>
    </row>
    <row r="34" customFormat="false" ht="15" hidden="false" customHeight="false" outlineLevel="0" collapsed="false">
      <c r="B34" s="37" t="s">
        <v>123</v>
      </c>
      <c r="L34" s="38" t="n">
        <v>0</v>
      </c>
      <c r="M34" s="38" t="n">
        <v>0</v>
      </c>
      <c r="N34" s="38" t="n">
        <v>0</v>
      </c>
      <c r="O34" s="38" t="n">
        <v>0</v>
      </c>
      <c r="P34" s="38" t="n">
        <v>0</v>
      </c>
      <c r="R34" s="38" t="n">
        <v>0</v>
      </c>
      <c r="S34" s="38" t="n">
        <v>0</v>
      </c>
      <c r="T34" s="38" t="n">
        <v>0</v>
      </c>
      <c r="U34" s="38" t="n">
        <v>0</v>
      </c>
      <c r="V34" s="38" t="n">
        <v>0</v>
      </c>
      <c r="X34" s="38" t="n">
        <v>0</v>
      </c>
      <c r="Y34" s="38" t="n">
        <v>0</v>
      </c>
      <c r="Z34" s="38" t="n">
        <v>0</v>
      </c>
      <c r="AA34" s="38" t="n">
        <v>0</v>
      </c>
      <c r="AB34" s="38" t="n">
        <v>0</v>
      </c>
      <c r="AD34" s="38" t="n">
        <v>0</v>
      </c>
      <c r="AE34" s="38" t="n">
        <v>0</v>
      </c>
      <c r="AF34" s="38" t="n">
        <v>0</v>
      </c>
      <c r="AG34" s="38" t="n">
        <v>0</v>
      </c>
      <c r="AH34" s="38" t="n">
        <v>0</v>
      </c>
    </row>
    <row r="35" customFormat="false" ht="15" hidden="false" customHeight="false" outlineLevel="0" collapsed="false">
      <c r="A35" s="39"/>
      <c r="B35" s="3" t="s">
        <v>136</v>
      </c>
      <c r="C35" s="39"/>
      <c r="D35" s="39"/>
      <c r="E35" s="40" t="n">
        <f aca="false">E33</f>
        <v>2140</v>
      </c>
      <c r="F35" s="40" t="n">
        <f aca="false">F33</f>
        <v>493905.3</v>
      </c>
      <c r="G35" s="39"/>
      <c r="H35" s="39"/>
      <c r="I35" s="39"/>
      <c r="J35" s="39"/>
      <c r="K35" s="40" t="n">
        <f aca="false">K33</f>
        <v>2140</v>
      </c>
      <c r="L35" s="40" t="n">
        <f aca="false">L33+L34</f>
        <v>412218.5025</v>
      </c>
      <c r="M35" s="40" t="n">
        <f aca="false">M33+M34</f>
        <v>81686.7975</v>
      </c>
      <c r="N35" s="40" t="n">
        <f aca="false">N33+N34</f>
        <v>0</v>
      </c>
      <c r="O35" s="40" t="n">
        <f aca="false">O33+O34</f>
        <v>0</v>
      </c>
      <c r="P35" s="40" t="n">
        <f aca="false">P33+P34</f>
        <v>493905.3</v>
      </c>
      <c r="Q35" s="40" t="n">
        <f aca="false">Q33</f>
        <v>1895</v>
      </c>
      <c r="R35" s="40" t="n">
        <f aca="false">R33+R34</f>
        <v>412218.5025</v>
      </c>
      <c r="S35" s="40" t="n">
        <f aca="false">S33+S34</f>
        <v>25238.7975</v>
      </c>
      <c r="T35" s="40" t="n">
        <f aca="false">T33+T34</f>
        <v>0</v>
      </c>
      <c r="U35" s="40" t="n">
        <f aca="false">U33+U34</f>
        <v>0</v>
      </c>
      <c r="V35" s="40" t="n">
        <f aca="false">V33+V34</f>
        <v>437457.3</v>
      </c>
      <c r="W35" s="40" t="n">
        <f aca="false">W33</f>
        <v>1565</v>
      </c>
      <c r="X35" s="40" t="n">
        <f aca="false">X33+X34</f>
        <v>336024.7275</v>
      </c>
      <c r="Y35" s="40" t="n">
        <f aca="false">Y33+Y34</f>
        <v>25238.7975</v>
      </c>
      <c r="Z35" s="40" t="n">
        <f aca="false">Z33+Z34</f>
        <v>0</v>
      </c>
      <c r="AA35" s="40" t="n">
        <f aca="false">AA33+AA34</f>
        <v>0</v>
      </c>
      <c r="AB35" s="40" t="n">
        <f aca="false">AB33+AB34</f>
        <v>361263.525</v>
      </c>
      <c r="AC35" s="40" t="n">
        <f aca="false">AC33</f>
        <v>1810</v>
      </c>
      <c r="AD35" s="40" t="n">
        <f aca="false">AD33+AD34</f>
        <v>336024.7275</v>
      </c>
      <c r="AE35" s="40" t="n">
        <f aca="false">AE33+AE34</f>
        <v>53462.7975</v>
      </c>
      <c r="AF35" s="40" t="n">
        <f aca="false">AF33+AF34</f>
        <v>0</v>
      </c>
      <c r="AG35" s="40" t="n">
        <f aca="false">AG33+AG34</f>
        <v>0</v>
      </c>
      <c r="AH35" s="40" t="n">
        <f aca="false">AH33+AH34</f>
        <v>389487.525</v>
      </c>
    </row>
    <row r="37" customFormat="false" ht="15" hidden="false" customHeight="false" outlineLevel="0" collapsed="false">
      <c r="B37" s="2" t="s">
        <v>115</v>
      </c>
      <c r="F37" s="41" t="n">
        <f aca="false">SUM(G37:J37)</f>
        <v>493905.3</v>
      </c>
      <c r="G37" s="41" t="n">
        <f aca="false">SUMPRODUCT($F$8:$F$32,G$8:G$32)</f>
        <v>412218.5025</v>
      </c>
      <c r="H37" s="41" t="n">
        <f aca="false">SUMPRODUCT($F$8:$F$32,H$8:H$32)</f>
        <v>81686.7975</v>
      </c>
      <c r="I37" s="41" t="n">
        <f aca="false">SUMPRODUCT($F$8:$F$32,I$8:I$32)</f>
        <v>0</v>
      </c>
      <c r="J37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1:J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7" min="4" style="0" width="14"/>
    <col collapsed="false" customWidth="true" hidden="false" outlineLevel="0" max="9" min="8" style="0" width="15"/>
    <col collapsed="false" customWidth="true" hidden="false" outlineLevel="0" max="12" min="10" style="0" width="13"/>
  </cols>
  <sheetData>
    <row r="1" customFormat="false" ht="16.15" hidden="false" customHeight="false" outlineLevel="0" collapsed="false">
      <c r="B1" s="1" t="s">
        <v>137</v>
      </c>
    </row>
    <row r="2" customFormat="false" ht="15" hidden="false" customHeight="false" outlineLevel="0" collapsed="false">
      <c r="B2" s="2" t="s">
        <v>138</v>
      </c>
    </row>
    <row r="4" customFormat="false" ht="15" hidden="false" customHeight="false" outlineLevel="0" collapsed="false">
      <c r="B4" s="3" t="s">
        <v>139</v>
      </c>
      <c r="C4" s="43"/>
      <c r="D4" s="43"/>
    </row>
    <row r="5" customFormat="false" ht="15" hidden="false" customHeight="false" outlineLevel="0" collapsed="false">
      <c r="B5" s="4" t="s">
        <v>140</v>
      </c>
      <c r="C5" s="44" t="str">
        <f aca="false">Inputs!$C$7&amp;" loops · "&amp;TEXT(Inputs!$C$9-1,"+0.0%;-0.0%;0.0%")&amp;" · "&amp;Inputs!$C$10</f>
        <v>3 loops · 0.0% · Todas las etapas</v>
      </c>
      <c r="D5" s="44"/>
      <c r="E5" s="44"/>
    </row>
    <row r="6" customFormat="false" ht="15" hidden="false" customHeight="false" outlineLevel="0" collapsed="false">
      <c r="B6" s="4" t="s">
        <v>141</v>
      </c>
      <c r="C6" s="44" t="str">
        <f aca="false">TEXT(Inputs!$C$14,"0%")&amp;" / "&amp;TEXT(Inputs!$C$13,"0%")</f>
        <v>35% / 35%</v>
      </c>
      <c r="D6" s="44"/>
      <c r="E6" s="44"/>
    </row>
    <row r="7" customFormat="false" ht="15" hidden="false" customHeight="false" outlineLevel="0" collapsed="false">
      <c r="B7" s="4" t="s">
        <v>22</v>
      </c>
      <c r="C7" s="44" t="str">
        <f aca="false">Inputs!$C$18</f>
        <v>Sí</v>
      </c>
      <c r="D7" s="44"/>
      <c r="E7" s="44"/>
    </row>
    <row r="8" customFormat="false" ht="15" hidden="false" customHeight="false" outlineLevel="0" collapsed="false">
      <c r="B8" s="4" t="s">
        <v>26</v>
      </c>
      <c r="C8" s="44" t="str">
        <f aca="false">TEXT(Inputs!$C$21,"0.0%")&amp;" · absorbe "&amp;Inputs!$C$22</f>
        <v>0.0% · absorbe IDOM</v>
      </c>
      <c r="D8" s="44"/>
      <c r="E8" s="44"/>
    </row>
    <row r="9" customFormat="false" ht="15" hidden="false" customHeight="false" outlineLevel="0" collapsed="false">
      <c r="B9" s="4" t="s">
        <v>142</v>
      </c>
      <c r="C9" s="44" t="str">
        <f aca="false">TEXT(Inputs!$C$25,"0%")&amp;" / "&amp;TEXT(Inputs!$C$26,"0%")</f>
        <v>10% / 0%</v>
      </c>
      <c r="D9" s="44"/>
      <c r="E9" s="44"/>
    </row>
    <row r="11" customFormat="false" ht="15" hidden="false" customHeight="false" outlineLevel="0" collapsed="false">
      <c r="B11" s="45" t="s">
        <v>143</v>
      </c>
    </row>
    <row r="12" customFormat="false" ht="30" hidden="false" customHeight="true" outlineLevel="0" collapsed="false">
      <c r="B12" s="46" t="s">
        <v>144</v>
      </c>
      <c r="C12" s="46" t="s">
        <v>58</v>
      </c>
      <c r="D12" s="47" t="s">
        <v>29</v>
      </c>
      <c r="E12" s="48" t="s">
        <v>59</v>
      </c>
      <c r="F12" s="49" t="s">
        <v>60</v>
      </c>
      <c r="G12" s="50" t="s">
        <v>61</v>
      </c>
      <c r="H12" s="46" t="s">
        <v>62</v>
      </c>
      <c r="I12" s="46" t="s">
        <v>145</v>
      </c>
      <c r="J12" s="46" t="s">
        <v>146</v>
      </c>
    </row>
    <row r="13" customFormat="false" ht="15" hidden="false" customHeight="false" outlineLevel="0" collapsed="false">
      <c r="B13" s="51" t="s">
        <v>147</v>
      </c>
      <c r="C13" s="52" t="n">
        <f aca="false">'Stage 1'!E35+'Stage 2'!E35+'Stage 3'!E35</f>
        <v>11025</v>
      </c>
      <c r="D13" s="52" t="n">
        <f aca="false">'Stage 1'!G37+'Stage 2'!G37+'Stage 3'!G37</f>
        <v>1882791.0675</v>
      </c>
      <c r="E13" s="52" t="n">
        <f aca="false">'Stage 1'!H37+'Stage 2'!H37+'Stage 3'!H37</f>
        <v>575618.5575</v>
      </c>
      <c r="F13" s="52" t="n">
        <f aca="false">'Stage 1'!I37+'Stage 2'!I37+'Stage 3'!I37</f>
        <v>0</v>
      </c>
      <c r="G13" s="52" t="n">
        <f aca="false">'Stage 1'!J37+'Stage 2'!J37+'Stage 3'!J37</f>
        <v>78836.1</v>
      </c>
      <c r="H13" s="53" t="n">
        <f aca="false">SUM(D13:G13)</f>
        <v>2537245.725</v>
      </c>
      <c r="I13" s="54" t="s">
        <v>148</v>
      </c>
      <c r="J13" s="54" t="s">
        <v>148</v>
      </c>
    </row>
    <row r="14" customFormat="false" ht="15" hidden="false" customHeight="false" outlineLevel="0" collapsed="false">
      <c r="B14" s="55" t="str">
        <f aca="false">"Esc. 1 · "&amp;Escenarios!I$11</f>
        <v>Esc. 1 · Original</v>
      </c>
      <c r="C14" s="56" t="n">
        <f aca="false">'Stage 1'!K35+'Stage 2'!K35+'Stage 3'!K35</f>
        <v>11025</v>
      </c>
      <c r="D14" s="56" t="n">
        <f aca="false">'Stage 1'!L35+'Stage 2'!L35+'Stage 3'!L35</f>
        <v>1882791.0675</v>
      </c>
      <c r="E14" s="56" t="n">
        <f aca="false">'Stage 1'!M35+'Stage 2'!M35+'Stage 3'!M35</f>
        <v>575618.5575</v>
      </c>
      <c r="F14" s="56" t="n">
        <f aca="false">'Stage 1'!N35+'Stage 2'!N35+'Stage 3'!N35</f>
        <v>0</v>
      </c>
      <c r="G14" s="56" t="n">
        <f aca="false">'Stage 1'!O35+'Stage 2'!O35+'Stage 3'!O35</f>
        <v>78836.1</v>
      </c>
      <c r="H14" s="57" t="n">
        <f aca="false">SUM(D14:G14)</f>
        <v>2537245.725</v>
      </c>
      <c r="I14" s="56" t="n">
        <f aca="false">H14-$H$13</f>
        <v>0</v>
      </c>
      <c r="J14" s="58" t="n">
        <f aca="false">IF($H$13=0,0,1-H14/$H$13)</f>
        <v>0</v>
      </c>
    </row>
    <row r="15" customFormat="false" ht="15" hidden="false" customHeight="false" outlineLevel="0" collapsed="false">
      <c r="B15" s="55" t="str">
        <f aca="false">"Esc. 2 · "&amp;Escenarios!J$11</f>
        <v>Esc. 2 · Sin las 4 tareas de Plan Safe</v>
      </c>
      <c r="C15" s="56" t="n">
        <f aca="false">'Stage 1'!Q35+'Stage 2'!Q35+'Stage 3'!Q35</f>
        <v>9050</v>
      </c>
      <c r="D15" s="56" t="n">
        <f aca="false">'Stage 1'!R35+'Stage 2'!R35+'Stage 3'!R35</f>
        <v>1882791.0675</v>
      </c>
      <c r="E15" s="56" t="n">
        <f aca="false">'Stage 1'!S35+'Stage 2'!S35+'Stage 3'!S35</f>
        <v>118878.5325</v>
      </c>
      <c r="F15" s="56" t="n">
        <f aca="false">'Stage 1'!T35+'Stage 2'!T35+'Stage 3'!T35</f>
        <v>0</v>
      </c>
      <c r="G15" s="56" t="n">
        <f aca="false">'Stage 1'!U35+'Stage 2'!U35+'Stage 3'!U35</f>
        <v>78836.1</v>
      </c>
      <c r="H15" s="57" t="n">
        <f aca="false">SUM(D15:G15)</f>
        <v>2080505.7</v>
      </c>
      <c r="I15" s="56" t="n">
        <f aca="false">H15-$H$13</f>
        <v>-456740.025</v>
      </c>
      <c r="J15" s="58" t="n">
        <f aca="false">IF($H$13=0,0,1-H15/$H$13)</f>
        <v>0.180014107620577</v>
      </c>
    </row>
    <row r="16" customFormat="false" ht="15" hidden="false" customHeight="false" outlineLevel="0" collapsed="false">
      <c r="B16" s="55" t="str">
        <f aca="false">"Esc. 3 · "&amp;Escenarios!K$11</f>
        <v>Esc. 3 · Sin tareas Plan Safe ni SSC</v>
      </c>
      <c r="C16" s="56" t="n">
        <f aca="false">'Stage 1'!W35+'Stage 2'!W35+'Stage 3'!W35</f>
        <v>7750</v>
      </c>
      <c r="D16" s="56" t="n">
        <f aca="false">'Stage 1'!X35+'Stage 2'!X35+'Stage 3'!X35</f>
        <v>1585013.1675</v>
      </c>
      <c r="E16" s="56" t="n">
        <f aca="false">'Stage 1'!Y35+'Stage 2'!Y35+'Stage 3'!Y35</f>
        <v>118878.5325</v>
      </c>
      <c r="F16" s="56" t="n">
        <f aca="false">'Stage 1'!Z35+'Stage 2'!Z35+'Stage 3'!Z35</f>
        <v>0</v>
      </c>
      <c r="G16" s="56" t="n">
        <f aca="false">'Stage 1'!AA35+'Stage 2'!AA35+'Stage 3'!AA35</f>
        <v>78836.1</v>
      </c>
      <c r="H16" s="57" t="n">
        <f aca="false">SUM(D16:G16)</f>
        <v>1782727.8</v>
      </c>
      <c r="I16" s="56" t="n">
        <f aca="false">H16-$H$13</f>
        <v>-754517.925</v>
      </c>
      <c r="J16" s="58" t="n">
        <f aca="false">IF($H$13=0,0,1-H16/$H$13)</f>
        <v>0.297376764719941</v>
      </c>
    </row>
    <row r="17" customFormat="false" ht="15" hidden="false" customHeight="false" outlineLevel="0" collapsed="false">
      <c r="B17" s="55" t="str">
        <f aca="false">"Esc. 4 · "&amp;Escenarios!L$11</f>
        <v>Esc. 4 · Sin SSC, tareas Plan Safe al 50 %</v>
      </c>
      <c r="C17" s="56" t="n">
        <f aca="false">'Stage 1'!AC35+'Stage 2'!AC35+'Stage 3'!AC35</f>
        <v>9725</v>
      </c>
      <c r="D17" s="56" t="n">
        <f aca="false">'Stage 1'!AD35+'Stage 2'!AD35+'Stage 3'!AD35</f>
        <v>1585013.1675</v>
      </c>
      <c r="E17" s="56" t="n">
        <f aca="false">'Stage 1'!AE35+'Stage 2'!AE35+'Stage 3'!AE35</f>
        <v>347248.545</v>
      </c>
      <c r="F17" s="56" t="n">
        <f aca="false">'Stage 1'!AF35+'Stage 2'!AF35+'Stage 3'!AF35</f>
        <v>0</v>
      </c>
      <c r="G17" s="56" t="n">
        <f aca="false">'Stage 1'!AG35+'Stage 2'!AG35+'Stage 3'!AG35</f>
        <v>78836.1</v>
      </c>
      <c r="H17" s="57" t="n">
        <f aca="false">SUM(D17:G17)</f>
        <v>2011097.8125</v>
      </c>
      <c r="I17" s="56" t="n">
        <f aca="false">H17-$H$13</f>
        <v>-526147.9125</v>
      </c>
      <c r="J17" s="58" t="n">
        <f aca="false">IF($H$13=0,0,1-H17/$H$13)</f>
        <v>0.207369710909652</v>
      </c>
    </row>
    <row r="18" customFormat="false" ht="15" hidden="false" customHeight="false" outlineLevel="0" collapsed="false">
      <c r="B18" s="2" t="s">
        <v>149</v>
      </c>
      <c r="H18" s="59" t="n">
        <v>2537246</v>
      </c>
      <c r="I18" s="41" t="n">
        <f aca="false">ROUND(H13-H18,0)</f>
        <v>-0</v>
      </c>
      <c r="J18" s="60" t="str">
        <f aca="false">IF(ABS(I18)&lt;=2,"cuadra","revisar")</f>
        <v>cuadra</v>
      </c>
    </row>
    <row r="21" customFormat="false" ht="15" hidden="false" customHeight="false" outlineLevel="0" collapsed="false">
      <c r="B21" s="45" t="s">
        <v>150</v>
      </c>
    </row>
    <row r="22" customFormat="false" ht="30" hidden="false" customHeight="true" outlineLevel="0" collapsed="false">
      <c r="B22" s="46" t="s">
        <v>144</v>
      </c>
      <c r="C22" s="46"/>
      <c r="D22" s="47" t="s">
        <v>29</v>
      </c>
      <c r="E22" s="48" t="s">
        <v>59</v>
      </c>
      <c r="F22" s="49" t="s">
        <v>60</v>
      </c>
      <c r="G22" s="50" t="s">
        <v>61</v>
      </c>
      <c r="H22" s="46" t="s">
        <v>62</v>
      </c>
    </row>
    <row r="23" customFormat="false" ht="15" hidden="false" customHeight="false" outlineLevel="0" collapsed="false">
      <c r="B23" s="55" t="str">
        <f aca="false">B14</f>
        <v>Esc. 1 · Original</v>
      </c>
      <c r="C23" s="61"/>
      <c r="D23" s="62" t="n">
        <f aca="false">IF(D$13=0,0,1-D14/D$13)</f>
        <v>0</v>
      </c>
      <c r="E23" s="62" t="n">
        <f aca="false">IF(E$13=0,0,1-E14/E$13)</f>
        <v>0</v>
      </c>
      <c r="F23" s="62" t="n">
        <f aca="false">IF(F$13=0,0,1-F14/F$13)</f>
        <v>0</v>
      </c>
      <c r="G23" s="62" t="n">
        <f aca="false">IF(G$13=0,0,1-G14/G$13)</f>
        <v>0</v>
      </c>
      <c r="H23" s="62" t="n">
        <f aca="false">IF(H$13=0,0,1-H14/H$13)</f>
        <v>0</v>
      </c>
    </row>
    <row r="24" customFormat="false" ht="15" hidden="false" customHeight="false" outlineLevel="0" collapsed="false">
      <c r="B24" s="55" t="str">
        <f aca="false">B15</f>
        <v>Esc. 2 · Sin las 4 tareas de Plan Safe</v>
      </c>
      <c r="C24" s="61"/>
      <c r="D24" s="62" t="n">
        <f aca="false">IF(D$13=0,0,1-D15/D$13)</f>
        <v>0</v>
      </c>
      <c r="E24" s="62" t="n">
        <f aca="false">IF(E$13=0,0,1-E15/E$13)</f>
        <v>0.79347689376745</v>
      </c>
      <c r="F24" s="62" t="n">
        <f aca="false">IF(F$13=0,0,1-F15/F$13)</f>
        <v>0</v>
      </c>
      <c r="G24" s="62" t="n">
        <f aca="false">IF(G$13=0,0,1-G15/G$13)</f>
        <v>0</v>
      </c>
      <c r="H24" s="62" t="n">
        <f aca="false">IF(H$13=0,0,1-H15/H$13)</f>
        <v>0.180014107620577</v>
      </c>
    </row>
    <row r="25" customFormat="false" ht="15" hidden="false" customHeight="false" outlineLevel="0" collapsed="false">
      <c r="B25" s="55" t="str">
        <f aca="false">B16</f>
        <v>Esc. 3 · Sin tareas Plan Safe ni SSC</v>
      </c>
      <c r="C25" s="61"/>
      <c r="D25" s="62" t="n">
        <f aca="false">IF(D$13=0,0,1-D16/D$13)</f>
        <v>0.158157697441912</v>
      </c>
      <c r="E25" s="62" t="n">
        <f aca="false">IF(E$13=0,0,1-E16/E$13)</f>
        <v>0.79347689376745</v>
      </c>
      <c r="F25" s="62" t="n">
        <f aca="false">IF(F$13=0,0,1-F16/F$13)</f>
        <v>0</v>
      </c>
      <c r="G25" s="62" t="n">
        <f aca="false">IF(G$13=0,0,1-G16/G$13)</f>
        <v>0</v>
      </c>
      <c r="H25" s="62" t="n">
        <f aca="false">IF(H$13=0,0,1-H16/H$13)</f>
        <v>0.297376764719941</v>
      </c>
    </row>
    <row r="26" customFormat="false" ht="15" hidden="false" customHeight="false" outlineLevel="0" collapsed="false">
      <c r="B26" s="55" t="str">
        <f aca="false">B17</f>
        <v>Esc. 4 · Sin SSC, tareas Plan Safe al 50 %</v>
      </c>
      <c r="C26" s="61"/>
      <c r="D26" s="62" t="n">
        <f aca="false">IF(D$13=0,0,1-D17/D$13)</f>
        <v>0.158157697441912</v>
      </c>
      <c r="E26" s="62" t="n">
        <f aca="false">IF(E$13=0,0,1-E17/E$13)</f>
        <v>0.396738446883725</v>
      </c>
      <c r="F26" s="62" t="n">
        <f aca="false">IF(F$13=0,0,1-F17/F$13)</f>
        <v>0</v>
      </c>
      <c r="G26" s="62" t="n">
        <f aca="false">IF(G$13=0,0,1-G17/G$13)</f>
        <v>0</v>
      </c>
      <c r="H26" s="62" t="n">
        <f aca="false">IF(H$13=0,0,1-H17/H$13)</f>
        <v>0.207369710909652</v>
      </c>
    </row>
    <row r="27" customFormat="false" ht="15" hidden="false" customHeight="false" outlineLevel="0" collapsed="false">
      <c r="B27" s="2" t="s">
        <v>151</v>
      </c>
    </row>
    <row r="29" customFormat="false" ht="15" hidden="false" customHeight="false" outlineLevel="0" collapsed="false">
      <c r="B29" s="45" t="s">
        <v>152</v>
      </c>
    </row>
    <row r="30" customFormat="false" ht="30" hidden="false" customHeight="true" outlineLevel="0" collapsed="false">
      <c r="B30" s="46" t="s">
        <v>144</v>
      </c>
      <c r="C30" s="46"/>
      <c r="D30" s="47" t="s">
        <v>29</v>
      </c>
      <c r="E30" s="48" t="s">
        <v>59</v>
      </c>
      <c r="F30" s="49" t="s">
        <v>60</v>
      </c>
      <c r="G30" s="50" t="s">
        <v>61</v>
      </c>
      <c r="H30" s="46" t="s">
        <v>62</v>
      </c>
    </row>
    <row r="31" customFormat="false" ht="15" hidden="false" customHeight="false" outlineLevel="0" collapsed="false">
      <c r="B31" s="55" t="str">
        <f aca="false">B13</f>
        <v>Oferta original (referencia)</v>
      </c>
      <c r="C31" s="61"/>
      <c r="D31" s="62" t="n">
        <f aca="false">IF($H13=0,0,D13/$H13)</f>
        <v>0.742060987214788</v>
      </c>
      <c r="E31" s="62" t="n">
        <f aca="false">IF($H13=0,0,E13/$H13)</f>
        <v>0.226867485410779</v>
      </c>
      <c r="F31" s="62" t="n">
        <f aca="false">IF($H13=0,0,F13/$H13)</f>
        <v>0</v>
      </c>
      <c r="G31" s="62" t="n">
        <f aca="false">IF($H13=0,0,G13/$H13)</f>
        <v>0.0310715273744328</v>
      </c>
      <c r="H31" s="62" t="n">
        <f aca="false">IF($H13=0,0,H13/$H13)</f>
        <v>1</v>
      </c>
    </row>
    <row r="32" customFormat="false" ht="15" hidden="false" customHeight="false" outlineLevel="0" collapsed="false">
      <c r="B32" s="55" t="str">
        <f aca="false">B14</f>
        <v>Esc. 1 · Original</v>
      </c>
      <c r="C32" s="61"/>
      <c r="D32" s="62" t="n">
        <f aca="false">IF($H14=0,0,D14/$H14)</f>
        <v>0.742060987214788</v>
      </c>
      <c r="E32" s="62" t="n">
        <f aca="false">IF($H14=0,0,E14/$H14)</f>
        <v>0.226867485410779</v>
      </c>
      <c r="F32" s="62" t="n">
        <f aca="false">IF($H14=0,0,F14/$H14)</f>
        <v>0</v>
      </c>
      <c r="G32" s="62" t="n">
        <f aca="false">IF($H14=0,0,G14/$H14)</f>
        <v>0.0310715273744328</v>
      </c>
      <c r="H32" s="62" t="n">
        <f aca="false">IF($H14=0,0,H14/$H14)</f>
        <v>1</v>
      </c>
    </row>
    <row r="33" customFormat="false" ht="15" hidden="false" customHeight="false" outlineLevel="0" collapsed="false">
      <c r="B33" s="55" t="str">
        <f aca="false">B15</f>
        <v>Esc. 2 · Sin las 4 tareas de Plan Safe</v>
      </c>
      <c r="C33" s="61"/>
      <c r="D33" s="62" t="n">
        <f aca="false">IF($H15=0,0,D15/$H15)</f>
        <v>0.904967992877885</v>
      </c>
      <c r="E33" s="62" t="n">
        <f aca="false">IF($H15=0,0,E15/$H15)</f>
        <v>0.0571392486451731</v>
      </c>
      <c r="F33" s="62" t="n">
        <f aca="false">IF($H15=0,0,F15/$H15)</f>
        <v>0</v>
      </c>
      <c r="G33" s="62" t="n">
        <f aca="false">IF($H15=0,0,G15/$H15)</f>
        <v>0.0378927584769414</v>
      </c>
      <c r="H33" s="62" t="n">
        <f aca="false">IF($H15=0,0,H15/$H15)</f>
        <v>1</v>
      </c>
    </row>
    <row r="34" customFormat="false" ht="15" hidden="false" customHeight="false" outlineLevel="0" collapsed="false">
      <c r="B34" s="55" t="str">
        <f aca="false">B16</f>
        <v>Esc. 3 · Sin tareas Plan Safe ni SSC</v>
      </c>
      <c r="C34" s="61"/>
      <c r="D34" s="62" t="n">
        <f aca="false">IF($H16=0,0,D16/$H16)</f>
        <v>0.889094323597803</v>
      </c>
      <c r="E34" s="62" t="n">
        <f aca="false">IF($H16=0,0,E16/$H16)</f>
        <v>0.0666835018223197</v>
      </c>
      <c r="F34" s="62" t="n">
        <f aca="false">IF($H16=0,0,F16/$H16)</f>
        <v>0</v>
      </c>
      <c r="G34" s="62" t="n">
        <f aca="false">IF($H16=0,0,G16/$H16)</f>
        <v>0.044222174579877</v>
      </c>
      <c r="H34" s="62" t="n">
        <f aca="false">IF($H16=0,0,H16/$H16)</f>
        <v>1</v>
      </c>
    </row>
    <row r="35" customFormat="false" ht="15" hidden="false" customHeight="false" outlineLevel="0" collapsed="false">
      <c r="B35" s="55" t="str">
        <f aca="false">B17</f>
        <v>Esc. 4 · Sin SSC, tareas Plan Safe al 50 %</v>
      </c>
      <c r="C35" s="61"/>
      <c r="D35" s="62" t="n">
        <f aca="false">IF($H17=0,0,D17/$H17)</f>
        <v>0.788133305922931</v>
      </c>
      <c r="E35" s="62" t="n">
        <f aca="false">IF($H17=0,0,E17/$H17)</f>
        <v>0.172666164142625</v>
      </c>
      <c r="F35" s="62" t="n">
        <f aca="false">IF($H17=0,0,F17/$H17)</f>
        <v>0</v>
      </c>
      <c r="G35" s="62" t="n">
        <f aca="false">IF($H17=0,0,G17/$H17)</f>
        <v>0.0392005299344435</v>
      </c>
      <c r="H35" s="62" t="n">
        <f aca="false">IF($H17=0,0,H17/$H17)</f>
        <v>1</v>
      </c>
    </row>
    <row r="38" customFormat="false" ht="15" hidden="false" customHeight="false" outlineLevel="0" collapsed="false">
      <c r="B38" s="45" t="s">
        <v>153</v>
      </c>
    </row>
    <row r="39" customFormat="false" ht="30" hidden="false" customHeight="true" outlineLevel="0" collapsed="false">
      <c r="B39" s="46" t="s">
        <v>144</v>
      </c>
      <c r="C39" s="46"/>
      <c r="D39" s="46" t="s">
        <v>154</v>
      </c>
      <c r="E39" s="46" t="s">
        <v>155</v>
      </c>
      <c r="F39" s="46" t="s">
        <v>156</v>
      </c>
      <c r="G39" s="46" t="s">
        <v>62</v>
      </c>
      <c r="H39" s="46" t="s">
        <v>146</v>
      </c>
    </row>
    <row r="40" customFormat="false" ht="15" hidden="false" customHeight="false" outlineLevel="0" collapsed="false">
      <c r="B40" s="63" t="s">
        <v>147</v>
      </c>
      <c r="C40" s="61"/>
      <c r="D40" s="56" t="n">
        <f aca="false">'Stage 1'!F37</f>
        <v>335082.825</v>
      </c>
      <c r="E40" s="56" t="n">
        <f aca="false">'Stage 2'!F37</f>
        <v>732839.1</v>
      </c>
      <c r="F40" s="56" t="n">
        <f aca="false">'Stage 3'!F37</f>
        <v>1469323.8</v>
      </c>
      <c r="G40" s="57" t="n">
        <f aca="false">SUM(D40:F40)</f>
        <v>2537245.725</v>
      </c>
      <c r="H40" s="64" t="s">
        <v>148</v>
      </c>
    </row>
    <row r="41" customFormat="false" ht="15" hidden="false" customHeight="false" outlineLevel="0" collapsed="false">
      <c r="B41" s="55" t="str">
        <f aca="false">B14</f>
        <v>Esc. 1 · Original</v>
      </c>
      <c r="C41" s="61"/>
      <c r="D41" s="56" t="n">
        <f aca="false">'Stage 1'!P35</f>
        <v>335082.825</v>
      </c>
      <c r="E41" s="56" t="n">
        <f aca="false">'Stage 2'!P35</f>
        <v>732839.1</v>
      </c>
      <c r="F41" s="56" t="n">
        <f aca="false">'Stage 3'!P35</f>
        <v>1469323.8</v>
      </c>
      <c r="G41" s="57" t="n">
        <f aca="false">SUM(D41:F41)</f>
        <v>2537245.725</v>
      </c>
      <c r="H41" s="62" t="n">
        <f aca="false">IF($G$40=0,0,1-G41/$G$40)</f>
        <v>0</v>
      </c>
    </row>
    <row r="42" customFormat="false" ht="15" hidden="false" customHeight="false" outlineLevel="0" collapsed="false">
      <c r="B42" s="55" t="str">
        <f aca="false">B15</f>
        <v>Esc. 2 · Sin las 4 tareas de Plan Safe</v>
      </c>
      <c r="C42" s="61"/>
      <c r="D42" s="56" t="n">
        <f aca="false">'Stage 1'!V35</f>
        <v>227015.775</v>
      </c>
      <c r="E42" s="56" t="n">
        <f aca="false">'Stage 2'!V35</f>
        <v>573972.525</v>
      </c>
      <c r="F42" s="56" t="n">
        <f aca="false">'Stage 3'!V35</f>
        <v>1279517.4</v>
      </c>
      <c r="G42" s="57" t="n">
        <f aca="false">SUM(D42:F42)</f>
        <v>2080505.7</v>
      </c>
      <c r="H42" s="62" t="n">
        <f aca="false">IF($G$40=0,0,1-G42/$G$40)</f>
        <v>0.180014107620577</v>
      </c>
    </row>
    <row r="43" customFormat="false" ht="15" hidden="false" customHeight="false" outlineLevel="0" collapsed="false">
      <c r="B43" s="55" t="str">
        <f aca="false">B16</f>
        <v>Esc. 3 · Sin tareas Plan Safe ni SSC</v>
      </c>
      <c r="C43" s="61"/>
      <c r="D43" s="56" t="n">
        <f aca="false">'Stage 1'!AB35</f>
        <v>227015.775</v>
      </c>
      <c r="E43" s="56" t="n">
        <f aca="false">'Stage 2'!AB35</f>
        <v>474236.7</v>
      </c>
      <c r="F43" s="56" t="n">
        <f aca="false">'Stage 3'!AB35</f>
        <v>1081475.325</v>
      </c>
      <c r="G43" s="57" t="n">
        <f aca="false">SUM(D43:F43)</f>
        <v>1782727.8</v>
      </c>
      <c r="H43" s="62" t="n">
        <f aca="false">IF($G$40=0,0,1-G43/$G$40)</f>
        <v>0.297376764719941</v>
      </c>
    </row>
    <row r="44" customFormat="false" ht="15" hidden="false" customHeight="false" outlineLevel="0" collapsed="false">
      <c r="B44" s="55" t="str">
        <f aca="false">B17</f>
        <v>Esc. 4 · Sin SSC, tareas Plan Safe al 50 %</v>
      </c>
      <c r="C44" s="61"/>
      <c r="D44" s="56" t="n">
        <f aca="false">'Stage 1'!AH35</f>
        <v>281049.3</v>
      </c>
      <c r="E44" s="56" t="n">
        <f aca="false">'Stage 2'!AH35</f>
        <v>553669.9875</v>
      </c>
      <c r="F44" s="56" t="n">
        <f aca="false">'Stage 3'!AH35</f>
        <v>1176378.525</v>
      </c>
      <c r="G44" s="57" t="n">
        <f aca="false">SUM(D44:F44)</f>
        <v>2011097.8125</v>
      </c>
      <c r="H44" s="62" t="n">
        <f aca="false">IF($G$40=0,0,1-G44/$G$40)</f>
        <v>0.207369710909652</v>
      </c>
    </row>
    <row r="47" customFormat="false" ht="15" hidden="false" customHeight="false" outlineLevel="0" collapsed="false">
      <c r="B47" s="45" t="s">
        <v>157</v>
      </c>
    </row>
    <row r="48" customFormat="false" ht="30" hidden="false" customHeight="true" outlineLevel="0" collapsed="false">
      <c r="B48" s="46" t="s">
        <v>144</v>
      </c>
      <c r="C48" s="46"/>
      <c r="D48" s="46" t="s">
        <v>158</v>
      </c>
      <c r="E48" s="46" t="s">
        <v>159</v>
      </c>
      <c r="F48" s="46" t="s">
        <v>160</v>
      </c>
      <c r="G48" s="46" t="s">
        <v>161</v>
      </c>
      <c r="H48" s="46" t="s">
        <v>162</v>
      </c>
    </row>
    <row r="49" customFormat="false" ht="15" hidden="false" customHeight="false" outlineLevel="0" collapsed="false">
      <c r="B49" s="55" t="str">
        <f aca="false">B14</f>
        <v>Esc. 1 · Original</v>
      </c>
      <c r="C49" s="61"/>
      <c r="D49" s="56" t="n">
        <f aca="false">'Stage 1'!P33</f>
        <v>335082.825</v>
      </c>
      <c r="E49" s="56" t="n">
        <f aca="false">'Stage 1'!P34</f>
        <v>0</v>
      </c>
      <c r="F49" s="57" t="n">
        <f aca="false">D49+E49</f>
        <v>335082.825</v>
      </c>
      <c r="G49" s="62" t="n">
        <f aca="false">IF(H14-E49-H49=0,0,-E49/(H14-E49-H49))</f>
        <v>-0</v>
      </c>
      <c r="H49" s="56" t="n">
        <f aca="false">'Stage 2'!P34</f>
        <v>0</v>
      </c>
    </row>
    <row r="50" customFormat="false" ht="15" hidden="false" customHeight="false" outlineLevel="0" collapsed="false">
      <c r="B50" s="55" t="str">
        <f aca="false">B15</f>
        <v>Esc. 2 · Sin las 4 tareas de Plan Safe</v>
      </c>
      <c r="C50" s="61"/>
      <c r="D50" s="56" t="n">
        <f aca="false">'Stage 1'!V33</f>
        <v>227015.775</v>
      </c>
      <c r="E50" s="56" t="n">
        <f aca="false">'Stage 1'!V34</f>
        <v>0</v>
      </c>
      <c r="F50" s="57" t="n">
        <f aca="false">D50+E50</f>
        <v>227015.775</v>
      </c>
      <c r="G50" s="62" t="n">
        <f aca="false">IF(H15-E50-H50=0,0,-E50/(H15-E50-H50))</f>
        <v>-0</v>
      </c>
      <c r="H50" s="56" t="n">
        <f aca="false">'Stage 2'!V34</f>
        <v>0</v>
      </c>
    </row>
    <row r="51" customFormat="false" ht="15" hidden="false" customHeight="false" outlineLevel="0" collapsed="false">
      <c r="B51" s="55" t="str">
        <f aca="false">B16</f>
        <v>Esc. 3 · Sin tareas Plan Safe ni SSC</v>
      </c>
      <c r="C51" s="61"/>
      <c r="D51" s="56" t="n">
        <f aca="false">'Stage 1'!AB33</f>
        <v>227015.775</v>
      </c>
      <c r="E51" s="56" t="n">
        <f aca="false">'Stage 1'!AB34</f>
        <v>0</v>
      </c>
      <c r="F51" s="57" t="n">
        <f aca="false">D51+E51</f>
        <v>227015.775</v>
      </c>
      <c r="G51" s="62" t="n">
        <f aca="false">IF(H16-E51-H51=0,0,-E51/(H16-E51-H51))</f>
        <v>-0</v>
      </c>
      <c r="H51" s="56" t="n">
        <f aca="false">'Stage 2'!AB34</f>
        <v>0</v>
      </c>
    </row>
    <row r="52" customFormat="false" ht="15" hidden="false" customHeight="false" outlineLevel="0" collapsed="false">
      <c r="B52" s="55" t="str">
        <f aca="false">B17</f>
        <v>Esc. 4 · Sin SSC, tareas Plan Safe al 50 %</v>
      </c>
      <c r="C52" s="61"/>
      <c r="D52" s="56" t="n">
        <f aca="false">'Stage 1'!AH33</f>
        <v>281049.3</v>
      </c>
      <c r="E52" s="56" t="n">
        <f aca="false">'Stage 1'!AH34</f>
        <v>0</v>
      </c>
      <c r="F52" s="57" t="n">
        <f aca="false">D52+E52</f>
        <v>281049.3</v>
      </c>
      <c r="G52" s="62" t="n">
        <f aca="false">IF(H17-E52-H52=0,0,-E52/(H17-E52-H52))</f>
        <v>-0</v>
      </c>
      <c r="H52" s="56" t="n">
        <f aca="false">'Stage 2'!AH34</f>
        <v>0</v>
      </c>
    </row>
    <row r="53" customFormat="false" ht="15" hidden="false" customHeight="false" outlineLevel="0" collapsed="false">
      <c r="B53" s="2" t="s">
        <v>163</v>
      </c>
    </row>
    <row r="55" customFormat="false" ht="15" hidden="false" customHeight="false" outlineLevel="0" collapsed="false">
      <c r="B55" s="65" t="s">
        <v>164</v>
      </c>
    </row>
    <row r="56" customFormat="false" ht="15" hidden="false" customHeight="false" outlineLevel="0" collapsed="false">
      <c r="B56" s="2" t="s">
        <v>165</v>
      </c>
    </row>
    <row r="57" customFormat="false" ht="15" hidden="false" customHeight="false" outlineLevel="0" collapsed="false">
      <c r="B57" s="2" t="s">
        <v>166</v>
      </c>
    </row>
    <row r="58" customFormat="false" ht="15" hidden="false" customHeight="false" outlineLevel="0" collapsed="false">
      <c r="B58" s="2" t="s">
        <v>167</v>
      </c>
    </row>
    <row r="59" customFormat="false" ht="15" hidden="false" customHeight="false" outlineLevel="0" collapsed="false">
      <c r="B59" s="2" t="s">
        <v>168</v>
      </c>
    </row>
    <row r="60" customFormat="false" ht="15" hidden="false" customHeight="false" outlineLevel="0" collapsed="false">
      <c r="B60" s="2" t="s">
        <v>169</v>
      </c>
    </row>
    <row r="61" customFormat="false" ht="15" hidden="false" customHeight="false" outlineLevel="0" collapsed="false">
      <c r="B61" s="2" t="s">
        <v>170</v>
      </c>
    </row>
    <row r="62" customFormat="false" ht="15" hidden="false" customHeight="false" outlineLevel="0" collapsed="false">
      <c r="B62" s="2" t="s">
        <v>171</v>
      </c>
    </row>
  </sheetData>
  <mergeCells count="5">
    <mergeCell ref="C5:E5"/>
    <mergeCell ref="C6:E6"/>
    <mergeCell ref="C7:E7"/>
    <mergeCell ref="C8:E8"/>
    <mergeCell ref="C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1:J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7" min="4" style="0" width="14"/>
    <col collapsed="false" customWidth="true" hidden="false" outlineLevel="0" max="9" min="8" style="0" width="15"/>
    <col collapsed="false" customWidth="true" hidden="false" outlineLevel="0" max="12" min="10" style="0" width="13"/>
  </cols>
  <sheetData>
    <row r="1" customFormat="false" ht="16.15" hidden="false" customHeight="false" outlineLevel="0" collapsed="false">
      <c r="B1" s="1" t="s">
        <v>172</v>
      </c>
    </row>
    <row r="2" customFormat="false" ht="15" hidden="false" customHeight="false" outlineLevel="0" collapsed="false">
      <c r="B2" s="2" t="s">
        <v>138</v>
      </c>
    </row>
    <row r="4" customFormat="false" ht="15" hidden="false" customHeight="false" outlineLevel="0" collapsed="false">
      <c r="B4" s="3" t="s">
        <v>139</v>
      </c>
      <c r="C4" s="43"/>
      <c r="D4" s="43"/>
    </row>
    <row r="5" customFormat="false" ht="15" hidden="false" customHeight="false" outlineLevel="0" collapsed="false">
      <c r="B5" s="4" t="s">
        <v>140</v>
      </c>
      <c r="C5" s="44" t="str">
        <f aca="false">Inputs!$C$7&amp;" loops · "&amp;TEXT(Inputs!$C$9-1,"+0.0%;-0.0%;0.0%")&amp;" · "&amp;Inputs!$C$10</f>
        <v>3 loops · 0.0% · Todas las etapas</v>
      </c>
      <c r="D5" s="44"/>
      <c r="E5" s="44"/>
    </row>
    <row r="6" customFormat="false" ht="15" hidden="false" customHeight="false" outlineLevel="0" collapsed="false">
      <c r="B6" s="4" t="s">
        <v>141</v>
      </c>
      <c r="C6" s="44" t="str">
        <f aca="false">TEXT(Inputs!$C$14,"0%")&amp;" / "&amp;TEXT(Inputs!$C$13,"0%")</f>
        <v>35% / 35%</v>
      </c>
      <c r="D6" s="44"/>
      <c r="E6" s="44"/>
    </row>
    <row r="7" customFormat="false" ht="15" hidden="false" customHeight="false" outlineLevel="0" collapsed="false">
      <c r="B7" s="4" t="s">
        <v>22</v>
      </c>
      <c r="C7" s="44" t="str">
        <f aca="false">Inputs!$C$18</f>
        <v>Sí</v>
      </c>
      <c r="D7" s="44"/>
      <c r="E7" s="44"/>
    </row>
    <row r="8" customFormat="false" ht="15" hidden="false" customHeight="false" outlineLevel="0" collapsed="false">
      <c r="B8" s="4" t="s">
        <v>26</v>
      </c>
      <c r="C8" s="44" t="str">
        <f aca="false">TEXT(Inputs!$C$21,"0.0%")&amp;" · absorbe "&amp;Inputs!$C$22</f>
        <v>0.0% · absorbe IDOM</v>
      </c>
      <c r="D8" s="44"/>
      <c r="E8" s="44"/>
    </row>
    <row r="9" customFormat="false" ht="15" hidden="false" customHeight="false" outlineLevel="0" collapsed="false">
      <c r="B9" s="4" t="s">
        <v>142</v>
      </c>
      <c r="C9" s="44" t="str">
        <f aca="false">TEXT(Inputs!$C$25,"0%")&amp;" / "&amp;TEXT(Inputs!$C$26,"0%")</f>
        <v>10% / 0%</v>
      </c>
      <c r="D9" s="44"/>
      <c r="E9" s="44"/>
    </row>
    <row r="11" customFormat="false" ht="15" hidden="false" customHeight="false" outlineLevel="0" collapsed="false">
      <c r="B11" s="45" t="s">
        <v>143</v>
      </c>
    </row>
    <row r="12" customFormat="false" ht="30" hidden="false" customHeight="true" outlineLevel="0" collapsed="false">
      <c r="B12" s="46" t="s">
        <v>144</v>
      </c>
      <c r="C12" s="46" t="s">
        <v>58</v>
      </c>
      <c r="D12" s="47" t="s">
        <v>29</v>
      </c>
      <c r="E12" s="48" t="s">
        <v>59</v>
      </c>
      <c r="F12" s="49" t="s">
        <v>60</v>
      </c>
      <c r="G12" s="50" t="s">
        <v>61</v>
      </c>
      <c r="H12" s="46" t="s">
        <v>62</v>
      </c>
      <c r="I12" s="46" t="s">
        <v>145</v>
      </c>
      <c r="J12" s="46" t="s">
        <v>146</v>
      </c>
    </row>
    <row r="13" customFormat="false" ht="15" hidden="false" customHeight="false" outlineLevel="0" collapsed="false">
      <c r="B13" s="51" t="s">
        <v>147</v>
      </c>
      <c r="C13" s="52" t="n">
        <f aca="false">'Stage 4'!E35+'Stage 5'!E35</f>
        <v>16197</v>
      </c>
      <c r="D13" s="52" t="n">
        <f aca="false">'Stage 4'!G37+'Stage 5'!G37</f>
        <v>2979196.08</v>
      </c>
      <c r="E13" s="52" t="n">
        <f aca="false">'Stage 4'!H37+'Stage 5'!H37</f>
        <v>745297.35</v>
      </c>
      <c r="F13" s="52" t="n">
        <f aca="false">'Stage 4'!I37+'Stage 5'!I37</f>
        <v>0</v>
      </c>
      <c r="G13" s="52" t="n">
        <f aca="false">'Stage 4'!J37+'Stage 5'!J37</f>
        <v>0</v>
      </c>
      <c r="H13" s="53" t="n">
        <f aca="false">SUM(D13:G13)</f>
        <v>3724493.43</v>
      </c>
      <c r="I13" s="54" t="s">
        <v>148</v>
      </c>
      <c r="J13" s="54" t="s">
        <v>148</v>
      </c>
    </row>
    <row r="14" customFormat="false" ht="15" hidden="false" customHeight="false" outlineLevel="0" collapsed="false">
      <c r="B14" s="55" t="str">
        <f aca="false">"Esc. 1 · "&amp;Escenarios!I$11</f>
        <v>Esc. 1 · Original</v>
      </c>
      <c r="C14" s="56" t="n">
        <f aca="false">'Stage 4'!K35+'Stage 5'!K35</f>
        <v>16197</v>
      </c>
      <c r="D14" s="56" t="n">
        <f aca="false">'Stage 4'!L35+'Stage 5'!L35</f>
        <v>2979196.08</v>
      </c>
      <c r="E14" s="56" t="n">
        <f aca="false">'Stage 4'!M35+'Stage 5'!M35</f>
        <v>745297.35</v>
      </c>
      <c r="F14" s="56" t="n">
        <f aca="false">'Stage 4'!N35+'Stage 5'!N35</f>
        <v>0</v>
      </c>
      <c r="G14" s="56" t="n">
        <f aca="false">'Stage 4'!O35+'Stage 5'!O35</f>
        <v>0</v>
      </c>
      <c r="H14" s="57" t="n">
        <f aca="false">SUM(D14:G14)</f>
        <v>3724493.43</v>
      </c>
      <c r="I14" s="56" t="n">
        <f aca="false">H14-$H$13</f>
        <v>0</v>
      </c>
      <c r="J14" s="58" t="n">
        <f aca="false">IF($H$13=0,0,1-H14/$H$13)</f>
        <v>0</v>
      </c>
    </row>
    <row r="15" customFormat="false" ht="15" hidden="false" customHeight="false" outlineLevel="0" collapsed="false">
      <c r="B15" s="55" t="str">
        <f aca="false">"Esc. 2 · "&amp;Escenarios!J$11</f>
        <v>Esc. 2 · Sin las 4 tareas de Plan Safe</v>
      </c>
      <c r="C15" s="56" t="n">
        <f aca="false">'Stage 4'!Q35+'Stage 5'!Q35</f>
        <v>13750</v>
      </c>
      <c r="D15" s="56" t="n">
        <f aca="false">'Stage 4'!R35+'Stage 5'!R35</f>
        <v>2979196.08</v>
      </c>
      <c r="E15" s="56" t="n">
        <f aca="false">'Stage 4'!S35+'Stage 5'!S35</f>
        <v>183659.595</v>
      </c>
      <c r="F15" s="56" t="n">
        <f aca="false">'Stage 4'!T35+'Stage 5'!T35</f>
        <v>0</v>
      </c>
      <c r="G15" s="56" t="n">
        <f aca="false">'Stage 4'!U35+'Stage 5'!U35</f>
        <v>0</v>
      </c>
      <c r="H15" s="57" t="n">
        <f aca="false">SUM(D15:G15)</f>
        <v>3162855.675</v>
      </c>
      <c r="I15" s="56" t="n">
        <f aca="false">H15-$H$13</f>
        <v>-561637.755</v>
      </c>
      <c r="J15" s="58" t="n">
        <f aca="false">IF($H$13=0,0,1-H15/$H$13)</f>
        <v>0.15079574324823</v>
      </c>
    </row>
    <row r="16" customFormat="false" ht="15" hidden="false" customHeight="false" outlineLevel="0" collapsed="false">
      <c r="B16" s="55" t="str">
        <f aca="false">"Esc. 3 · "&amp;Escenarios!K$11</f>
        <v>Esc. 3 · Sin tareas Plan Safe ni SSC</v>
      </c>
      <c r="C16" s="56" t="n">
        <f aca="false">'Stage 4'!W35+'Stage 5'!W35</f>
        <v>11135</v>
      </c>
      <c r="D16" s="56" t="n">
        <f aca="false">'Stage 4'!X35+'Stage 5'!X35</f>
        <v>2399593.455</v>
      </c>
      <c r="E16" s="56" t="n">
        <f aca="false">'Stage 4'!Y35+'Stage 5'!Y35</f>
        <v>162936.27</v>
      </c>
      <c r="F16" s="56" t="n">
        <f aca="false">'Stage 4'!Z35+'Stage 5'!Z35</f>
        <v>0</v>
      </c>
      <c r="G16" s="56" t="n">
        <f aca="false">'Stage 4'!AA35+'Stage 5'!AA35</f>
        <v>0</v>
      </c>
      <c r="H16" s="57" t="n">
        <f aca="false">SUM(D16:G16)</f>
        <v>2562529.725</v>
      </c>
      <c r="I16" s="56" t="n">
        <f aca="false">H16-$H$13</f>
        <v>-1161963.705</v>
      </c>
      <c r="J16" s="58" t="n">
        <f aca="false">IF($H$13=0,0,1-H16/$H$13)</f>
        <v>0.311978991730964</v>
      </c>
    </row>
    <row r="17" customFormat="false" ht="15" hidden="false" customHeight="false" outlineLevel="0" collapsed="false">
      <c r="B17" s="55" t="str">
        <f aca="false">"Esc. 4 · "&amp;Escenarios!L$11</f>
        <v>Esc. 4 · Sin SSC, tareas Plan Safe al 50 %</v>
      </c>
      <c r="C17" s="56" t="n">
        <f aca="false">'Stage 4'!AC35+'Stage 5'!AC35</f>
        <v>13582</v>
      </c>
      <c r="D17" s="56" t="n">
        <f aca="false">'Stage 4'!AD35+'Stage 5'!AD35</f>
        <v>2399593.455</v>
      </c>
      <c r="E17" s="56" t="n">
        <f aca="false">'Stage 4'!AE35+'Stage 5'!AE35</f>
        <v>443755.1475</v>
      </c>
      <c r="F17" s="56" t="n">
        <f aca="false">'Stage 4'!AF35+'Stage 5'!AF35</f>
        <v>0</v>
      </c>
      <c r="G17" s="56" t="n">
        <f aca="false">'Stage 4'!AG35+'Stage 5'!AG35</f>
        <v>0</v>
      </c>
      <c r="H17" s="57" t="n">
        <f aca="false">SUM(D17:G17)</f>
        <v>2843348.6025</v>
      </c>
      <c r="I17" s="56" t="n">
        <f aca="false">H17-$H$13</f>
        <v>-881144.8275</v>
      </c>
      <c r="J17" s="58" t="n">
        <f aca="false">IF($H$13=0,0,1-H17/$H$13)</f>
        <v>0.236581120106849</v>
      </c>
    </row>
    <row r="18" customFormat="false" ht="15" hidden="false" customHeight="false" outlineLevel="0" collapsed="false">
      <c r="B18" s="2" t="s">
        <v>173</v>
      </c>
      <c r="H18" s="59" t="n">
        <v>3724493</v>
      </c>
      <c r="I18" s="41" t="n">
        <f aca="false">ROUND(H13-H18,0)</f>
        <v>0</v>
      </c>
      <c r="J18" s="60" t="str">
        <f aca="false">IF(ABS(I18)&lt;=2,"cuadra","revisar")</f>
        <v>cuadra</v>
      </c>
    </row>
    <row r="21" customFormat="false" ht="15" hidden="false" customHeight="false" outlineLevel="0" collapsed="false">
      <c r="B21" s="45" t="s">
        <v>150</v>
      </c>
    </row>
    <row r="22" customFormat="false" ht="30" hidden="false" customHeight="true" outlineLevel="0" collapsed="false">
      <c r="B22" s="46" t="s">
        <v>144</v>
      </c>
      <c r="C22" s="46"/>
      <c r="D22" s="47" t="s">
        <v>29</v>
      </c>
      <c r="E22" s="48" t="s">
        <v>59</v>
      </c>
      <c r="F22" s="49" t="s">
        <v>60</v>
      </c>
      <c r="G22" s="50" t="s">
        <v>61</v>
      </c>
      <c r="H22" s="46" t="s">
        <v>62</v>
      </c>
    </row>
    <row r="23" customFormat="false" ht="15" hidden="false" customHeight="false" outlineLevel="0" collapsed="false">
      <c r="B23" s="55" t="str">
        <f aca="false">B14</f>
        <v>Esc. 1 · Original</v>
      </c>
      <c r="C23" s="61"/>
      <c r="D23" s="62" t="n">
        <f aca="false">IF(D$13=0,0,1-D14/D$13)</f>
        <v>0</v>
      </c>
      <c r="E23" s="62" t="n">
        <f aca="false">IF(E$13=0,0,1-E14/E$13)</f>
        <v>0</v>
      </c>
      <c r="F23" s="62" t="n">
        <f aca="false">IF(F$13=0,0,1-F14/F$13)</f>
        <v>0</v>
      </c>
      <c r="G23" s="62" t="n">
        <f aca="false">IF(G$13=0,0,1-G14/G$13)</f>
        <v>0</v>
      </c>
      <c r="H23" s="62" t="n">
        <f aca="false">IF(H$13=0,0,1-H14/H$13)</f>
        <v>0</v>
      </c>
    </row>
    <row r="24" customFormat="false" ht="15" hidden="false" customHeight="false" outlineLevel="0" collapsed="false">
      <c r="B24" s="55" t="str">
        <f aca="false">B15</f>
        <v>Esc. 2 · Sin las 4 tareas de Plan Safe</v>
      </c>
      <c r="C24" s="61"/>
      <c r="D24" s="62" t="n">
        <f aca="false">IF(D$13=0,0,1-D15/D$13)</f>
        <v>0</v>
      </c>
      <c r="E24" s="62" t="n">
        <f aca="false">IF(E$13=0,0,1-E15/E$13)</f>
        <v>0.753575408526543</v>
      </c>
      <c r="F24" s="62" t="n">
        <f aca="false">IF(F$13=0,0,1-F15/F$13)</f>
        <v>0</v>
      </c>
      <c r="G24" s="62" t="n">
        <f aca="false">IF(G$13=0,0,1-G15/G$13)</f>
        <v>0</v>
      </c>
      <c r="H24" s="62" t="n">
        <f aca="false">IF(H$13=0,0,1-H15/H$13)</f>
        <v>0.15079574324823</v>
      </c>
    </row>
    <row r="25" customFormat="false" ht="15" hidden="false" customHeight="false" outlineLevel="0" collapsed="false">
      <c r="B25" s="55" t="str">
        <f aca="false">B16</f>
        <v>Esc. 3 · Sin tareas Plan Safe ni SSC</v>
      </c>
      <c r="C25" s="61"/>
      <c r="D25" s="62" t="n">
        <f aca="false">IF(D$13=0,0,1-D16/D$13)</f>
        <v>0.194550009276328</v>
      </c>
      <c r="E25" s="62" t="n">
        <f aca="false">IF(E$13=0,0,1-E16/E$13)</f>
        <v>0.781380854232207</v>
      </c>
      <c r="F25" s="62" t="n">
        <f aca="false">IF(F$13=0,0,1-F16/F$13)</f>
        <v>0</v>
      </c>
      <c r="G25" s="62" t="n">
        <f aca="false">IF(G$13=0,0,1-G16/G$13)</f>
        <v>0</v>
      </c>
      <c r="H25" s="62" t="n">
        <f aca="false">IF(H$13=0,0,1-H16/H$13)</f>
        <v>0.311978991730964</v>
      </c>
    </row>
    <row r="26" customFormat="false" ht="15" hidden="false" customHeight="false" outlineLevel="0" collapsed="false">
      <c r="B26" s="55" t="str">
        <f aca="false">B17</f>
        <v>Esc. 4 · Sin SSC, tareas Plan Safe al 50 %</v>
      </c>
      <c r="C26" s="61"/>
      <c r="D26" s="62" t="n">
        <f aca="false">IF(D$13=0,0,1-D17/D$13)</f>
        <v>0.194550009276328</v>
      </c>
      <c r="E26" s="62" t="n">
        <f aca="false">IF(E$13=0,0,1-E17/E$13)</f>
        <v>0.404593149968935</v>
      </c>
      <c r="F26" s="62" t="n">
        <f aca="false">IF(F$13=0,0,1-F17/F$13)</f>
        <v>0</v>
      </c>
      <c r="G26" s="62" t="n">
        <f aca="false">IF(G$13=0,0,1-G17/G$13)</f>
        <v>0</v>
      </c>
      <c r="H26" s="62" t="n">
        <f aca="false">IF(H$13=0,0,1-H17/H$13)</f>
        <v>0.236581120106849</v>
      </c>
    </row>
    <row r="27" customFormat="false" ht="15" hidden="false" customHeight="false" outlineLevel="0" collapsed="false">
      <c r="B27" s="2" t="s">
        <v>151</v>
      </c>
    </row>
    <row r="29" customFormat="false" ht="15" hidden="false" customHeight="false" outlineLevel="0" collapsed="false">
      <c r="B29" s="45" t="s">
        <v>152</v>
      </c>
    </row>
    <row r="30" customFormat="false" ht="30" hidden="false" customHeight="true" outlineLevel="0" collapsed="false">
      <c r="B30" s="46" t="s">
        <v>144</v>
      </c>
      <c r="C30" s="46"/>
      <c r="D30" s="47" t="s">
        <v>29</v>
      </c>
      <c r="E30" s="48" t="s">
        <v>59</v>
      </c>
      <c r="F30" s="49" t="s">
        <v>60</v>
      </c>
      <c r="G30" s="50" t="s">
        <v>61</v>
      </c>
      <c r="H30" s="46" t="s">
        <v>62</v>
      </c>
    </row>
    <row r="31" customFormat="false" ht="15" hidden="false" customHeight="false" outlineLevel="0" collapsed="false">
      <c r="B31" s="55" t="str">
        <f aca="false">B13</f>
        <v>Oferta original (referencia)</v>
      </c>
      <c r="C31" s="61"/>
      <c r="D31" s="62" t="n">
        <f aca="false">IF($H13=0,0,D13/$H13)</f>
        <v>0.799892961551016</v>
      </c>
      <c r="E31" s="62" t="n">
        <f aca="false">IF($H13=0,0,E13/$H13)</f>
        <v>0.200107038448984</v>
      </c>
      <c r="F31" s="62" t="n">
        <f aca="false">IF($H13=0,0,F13/$H13)</f>
        <v>0</v>
      </c>
      <c r="G31" s="62" t="n">
        <f aca="false">IF($H13=0,0,G13/$H13)</f>
        <v>0</v>
      </c>
      <c r="H31" s="62" t="n">
        <f aca="false">IF($H13=0,0,H13/$H13)</f>
        <v>1</v>
      </c>
    </row>
    <row r="32" customFormat="false" ht="15" hidden="false" customHeight="false" outlineLevel="0" collapsed="false">
      <c r="B32" s="55" t="str">
        <f aca="false">B14</f>
        <v>Esc. 1 · Original</v>
      </c>
      <c r="C32" s="61"/>
      <c r="D32" s="62" t="n">
        <f aca="false">IF($H14=0,0,D14/$H14)</f>
        <v>0.799892961551016</v>
      </c>
      <c r="E32" s="62" t="n">
        <f aca="false">IF($H14=0,0,E14/$H14)</f>
        <v>0.200107038448984</v>
      </c>
      <c r="F32" s="62" t="n">
        <f aca="false">IF($H14=0,0,F14/$H14)</f>
        <v>0</v>
      </c>
      <c r="G32" s="62" t="n">
        <f aca="false">IF($H14=0,0,G14/$H14)</f>
        <v>0</v>
      </c>
      <c r="H32" s="62" t="n">
        <f aca="false">IF($H14=0,0,H14/$H14)</f>
        <v>1</v>
      </c>
    </row>
    <row r="33" customFormat="false" ht="15" hidden="false" customHeight="false" outlineLevel="0" collapsed="false">
      <c r="B33" s="55" t="str">
        <f aca="false">B15</f>
        <v>Esc. 2 · Sin las 4 tareas de Plan Safe</v>
      </c>
      <c r="C33" s="61"/>
      <c r="D33" s="62" t="n">
        <f aca="false">IF($H15=0,0,D15/$H15)</f>
        <v>0.941932350422534</v>
      </c>
      <c r="E33" s="62" t="n">
        <f aca="false">IF($H15=0,0,E15/$H15)</f>
        <v>0.0580676495774661</v>
      </c>
      <c r="F33" s="62" t="n">
        <f aca="false">IF($H15=0,0,F15/$H15)</f>
        <v>0</v>
      </c>
      <c r="G33" s="62" t="n">
        <f aca="false">IF($H15=0,0,G15/$H15)</f>
        <v>0</v>
      </c>
      <c r="H33" s="62" t="n">
        <f aca="false">IF($H15=0,0,H15/$H15)</f>
        <v>1</v>
      </c>
    </row>
    <row r="34" customFormat="false" ht="15" hidden="false" customHeight="false" outlineLevel="0" collapsed="false">
      <c r="B34" s="55" t="str">
        <f aca="false">B16</f>
        <v>Esc. 3 · Sin tareas Plan Safe ni SSC</v>
      </c>
      <c r="C34" s="61"/>
      <c r="D34" s="62" t="n">
        <f aca="false">IF($H16=0,0,D16/$H16)</f>
        <v>0.936415851722461</v>
      </c>
      <c r="E34" s="62" t="n">
        <f aca="false">IF($H16=0,0,E16/$H16)</f>
        <v>0.0635841482775385</v>
      </c>
      <c r="F34" s="62" t="n">
        <f aca="false">IF($H16=0,0,F16/$H16)</f>
        <v>0</v>
      </c>
      <c r="G34" s="62" t="n">
        <f aca="false">IF($H16=0,0,G16/$H16)</f>
        <v>0</v>
      </c>
      <c r="H34" s="62" t="n">
        <f aca="false">IF($H16=0,0,H16/$H16)</f>
        <v>1</v>
      </c>
    </row>
    <row r="35" customFormat="false" ht="15" hidden="false" customHeight="false" outlineLevel="0" collapsed="false">
      <c r="B35" s="55" t="str">
        <f aca="false">B17</f>
        <v>Esc. 4 · Sin SSC, tareas Plan Safe al 50 %</v>
      </c>
      <c r="C35" s="61"/>
      <c r="D35" s="62" t="n">
        <f aca="false">IF($H17=0,0,D17/$H17)</f>
        <v>0.843932204756803</v>
      </c>
      <c r="E35" s="62" t="n">
        <f aca="false">IF($H17=0,0,E17/$H17)</f>
        <v>0.156067795243197</v>
      </c>
      <c r="F35" s="62" t="n">
        <f aca="false">IF($H17=0,0,F17/$H17)</f>
        <v>0</v>
      </c>
      <c r="G35" s="62" t="n">
        <f aca="false">IF($H17=0,0,G17/$H17)</f>
        <v>0</v>
      </c>
      <c r="H35" s="62" t="n">
        <f aca="false">IF($H17=0,0,H17/$H17)</f>
        <v>1</v>
      </c>
    </row>
    <row r="38" customFormat="false" ht="15" hidden="false" customHeight="false" outlineLevel="0" collapsed="false">
      <c r="B38" s="45" t="s">
        <v>153</v>
      </c>
    </row>
    <row r="39" customFormat="false" ht="30" hidden="false" customHeight="true" outlineLevel="0" collapsed="false">
      <c r="B39" s="46" t="s">
        <v>144</v>
      </c>
      <c r="C39" s="46"/>
      <c r="D39" s="46" t="s">
        <v>174</v>
      </c>
      <c r="E39" s="46" t="s">
        <v>175</v>
      </c>
      <c r="F39" s="46" t="s">
        <v>62</v>
      </c>
      <c r="G39" s="46" t="s">
        <v>146</v>
      </c>
    </row>
    <row r="40" customFormat="false" ht="15" hidden="false" customHeight="false" outlineLevel="0" collapsed="false">
      <c r="B40" s="63" t="s">
        <v>147</v>
      </c>
      <c r="C40" s="61"/>
      <c r="D40" s="56" t="n">
        <f aca="false">'Stage 4'!F37</f>
        <v>3183882.555</v>
      </c>
      <c r="E40" s="56" t="n">
        <f aca="false">'Stage 5'!F37</f>
        <v>540610.875</v>
      </c>
      <c r="F40" s="57" t="n">
        <f aca="false">SUM(D40:E40)</f>
        <v>3724493.43</v>
      </c>
      <c r="G40" s="64" t="s">
        <v>148</v>
      </c>
    </row>
    <row r="41" customFormat="false" ht="15" hidden="false" customHeight="false" outlineLevel="0" collapsed="false">
      <c r="B41" s="55" t="str">
        <f aca="false">B14</f>
        <v>Esc. 1 · Original</v>
      </c>
      <c r="C41" s="61"/>
      <c r="D41" s="56" t="n">
        <f aca="false">'Stage 4'!P35</f>
        <v>3183882.555</v>
      </c>
      <c r="E41" s="56" t="n">
        <f aca="false">'Stage 5'!P35</f>
        <v>540610.875</v>
      </c>
      <c r="F41" s="57" t="n">
        <f aca="false">SUM(D41:E41)</f>
        <v>3724493.43</v>
      </c>
      <c r="G41" s="62" t="n">
        <f aca="false">IF($F$40=0,0,1-F41/$F$40)</f>
        <v>0</v>
      </c>
    </row>
    <row r="42" customFormat="false" ht="15" hidden="false" customHeight="false" outlineLevel="0" collapsed="false">
      <c r="B42" s="55" t="str">
        <f aca="false">B15</f>
        <v>Esc. 2 · Sin las 4 tareas de Plan Safe</v>
      </c>
      <c r="C42" s="61"/>
      <c r="D42" s="56" t="n">
        <f aca="false">'Stage 4'!V35</f>
        <v>2750777.925</v>
      </c>
      <c r="E42" s="56" t="n">
        <f aca="false">'Stage 5'!V35</f>
        <v>412077.75</v>
      </c>
      <c r="F42" s="57" t="n">
        <f aca="false">SUM(D42:E42)</f>
        <v>3162855.675</v>
      </c>
      <c r="G42" s="62" t="n">
        <f aca="false">IF($F$40=0,0,1-F42/$F$40)</f>
        <v>0.15079574324823</v>
      </c>
    </row>
    <row r="43" customFormat="false" ht="15" hidden="false" customHeight="false" outlineLevel="0" collapsed="false">
      <c r="B43" s="55" t="str">
        <f aca="false">B16</f>
        <v>Esc. 3 · Sin tareas Plan Safe ni SSC</v>
      </c>
      <c r="C43" s="61"/>
      <c r="D43" s="56" t="n">
        <f aca="false">'Stage 4'!AB35</f>
        <v>2313221.4</v>
      </c>
      <c r="E43" s="56" t="n">
        <f aca="false">'Stage 5'!AB35</f>
        <v>249308.325</v>
      </c>
      <c r="F43" s="57" t="n">
        <f aca="false">SUM(D43:E43)</f>
        <v>2562529.725</v>
      </c>
      <c r="G43" s="62" t="n">
        <f aca="false">IF($F$40=0,0,1-F43/$F$40)</f>
        <v>0.311978991730964</v>
      </c>
    </row>
    <row r="44" customFormat="false" ht="15" hidden="false" customHeight="false" outlineLevel="0" collapsed="false">
      <c r="B44" s="55" t="str">
        <f aca="false">B17</f>
        <v>Esc. 4 · Sin SSC, tareas Plan Safe al 50 %</v>
      </c>
      <c r="C44" s="61"/>
      <c r="D44" s="56" t="n">
        <f aca="false">'Stage 4'!AH35</f>
        <v>2529773.715</v>
      </c>
      <c r="E44" s="56" t="n">
        <f aca="false">'Stage 5'!AH35</f>
        <v>313574.8875</v>
      </c>
      <c r="F44" s="57" t="n">
        <f aca="false">SUM(D44:E44)</f>
        <v>2843348.6025</v>
      </c>
      <c r="G44" s="62" t="n">
        <f aca="false">IF($F$40=0,0,1-F44/$F$40)</f>
        <v>0.236581120106849</v>
      </c>
    </row>
    <row r="46" customFormat="false" ht="15" hidden="false" customHeight="false" outlineLevel="0" collapsed="false">
      <c r="B46" s="65" t="s">
        <v>164</v>
      </c>
    </row>
    <row r="47" customFormat="false" ht="15" hidden="false" customHeight="false" outlineLevel="0" collapsed="false">
      <c r="B47" s="2" t="s">
        <v>165</v>
      </c>
    </row>
    <row r="48" customFormat="false" ht="15" hidden="false" customHeight="false" outlineLevel="0" collapsed="false">
      <c r="B48" s="2" t="s">
        <v>166</v>
      </c>
    </row>
    <row r="49" customFormat="false" ht="15" hidden="false" customHeight="false" outlineLevel="0" collapsed="false">
      <c r="B49" s="2" t="s">
        <v>167</v>
      </c>
    </row>
    <row r="50" customFormat="false" ht="15" hidden="false" customHeight="false" outlineLevel="0" collapsed="false">
      <c r="B50" s="2" t="s">
        <v>168</v>
      </c>
    </row>
    <row r="51" customFormat="false" ht="15" hidden="false" customHeight="false" outlineLevel="0" collapsed="false">
      <c r="B51" s="2" t="s">
        <v>169</v>
      </c>
    </row>
    <row r="52" customFormat="false" ht="15" hidden="false" customHeight="false" outlineLevel="0" collapsed="false">
      <c r="B52" s="2" t="s">
        <v>170</v>
      </c>
    </row>
    <row r="53" customFormat="false" ht="15" hidden="false" customHeight="false" outlineLevel="0" collapsed="false">
      <c r="B53" s="2" t="s">
        <v>171</v>
      </c>
    </row>
  </sheetData>
  <mergeCells count="5">
    <mergeCell ref="C5:E5"/>
    <mergeCell ref="C6:E6"/>
    <mergeCell ref="C7:E7"/>
    <mergeCell ref="C8:E8"/>
    <mergeCell ref="C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1:J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7" min="4" style="0" width="14"/>
    <col collapsed="false" customWidth="true" hidden="false" outlineLevel="0" max="9" min="8" style="0" width="15"/>
    <col collapsed="false" customWidth="true" hidden="false" outlineLevel="0" max="12" min="10" style="0" width="13"/>
  </cols>
  <sheetData>
    <row r="1" customFormat="false" ht="16.15" hidden="false" customHeight="false" outlineLevel="0" collapsed="false">
      <c r="B1" s="1" t="s">
        <v>176</v>
      </c>
    </row>
    <row r="2" customFormat="false" ht="15" hidden="false" customHeight="false" outlineLevel="0" collapsed="false">
      <c r="B2" s="2" t="s">
        <v>138</v>
      </c>
    </row>
    <row r="4" customFormat="false" ht="15" hidden="false" customHeight="false" outlineLevel="0" collapsed="false">
      <c r="B4" s="3" t="s">
        <v>139</v>
      </c>
      <c r="C4" s="43"/>
      <c r="D4" s="43"/>
    </row>
    <row r="5" customFormat="false" ht="15" hidden="false" customHeight="false" outlineLevel="0" collapsed="false">
      <c r="B5" s="4" t="s">
        <v>140</v>
      </c>
      <c r="C5" s="44" t="str">
        <f aca="false">Inputs!$C$7&amp;" loops · "&amp;TEXT(Inputs!$C$9-1,"+0.0%;-0.0%;0.0%")&amp;" · "&amp;Inputs!$C$10</f>
        <v>3 loops · 0.0% · Todas las etapas</v>
      </c>
      <c r="D5" s="44"/>
      <c r="E5" s="44"/>
    </row>
    <row r="6" customFormat="false" ht="15" hidden="false" customHeight="false" outlineLevel="0" collapsed="false">
      <c r="B6" s="4" t="s">
        <v>141</v>
      </c>
      <c r="C6" s="44" t="str">
        <f aca="false">TEXT(Inputs!$C$14,"0%")&amp;" / "&amp;TEXT(Inputs!$C$13,"0%")</f>
        <v>35% / 35%</v>
      </c>
      <c r="D6" s="44"/>
      <c r="E6" s="44"/>
    </row>
    <row r="7" customFormat="false" ht="15" hidden="false" customHeight="false" outlineLevel="0" collapsed="false">
      <c r="B7" s="4" t="s">
        <v>22</v>
      </c>
      <c r="C7" s="44" t="str">
        <f aca="false">Inputs!$C$18</f>
        <v>Sí</v>
      </c>
      <c r="D7" s="44"/>
      <c r="E7" s="44"/>
    </row>
    <row r="8" customFormat="false" ht="15" hidden="false" customHeight="false" outlineLevel="0" collapsed="false">
      <c r="B8" s="4" t="s">
        <v>26</v>
      </c>
      <c r="C8" s="44" t="str">
        <f aca="false">TEXT(Inputs!$C$21,"0.0%")&amp;" · absorbe "&amp;Inputs!$C$22</f>
        <v>0.0% · absorbe IDOM</v>
      </c>
      <c r="D8" s="44"/>
      <c r="E8" s="44"/>
    </row>
    <row r="9" customFormat="false" ht="15" hidden="false" customHeight="false" outlineLevel="0" collapsed="false">
      <c r="B9" s="4" t="s">
        <v>142</v>
      </c>
      <c r="C9" s="44" t="str">
        <f aca="false">TEXT(Inputs!$C$25,"0%")&amp;" / "&amp;TEXT(Inputs!$C$26,"0%")</f>
        <v>10% / 0%</v>
      </c>
      <c r="D9" s="44"/>
      <c r="E9" s="44"/>
    </row>
    <row r="11" customFormat="false" ht="15" hidden="false" customHeight="false" outlineLevel="0" collapsed="false">
      <c r="B11" s="45" t="s">
        <v>143</v>
      </c>
    </row>
    <row r="12" customFormat="false" ht="30" hidden="false" customHeight="true" outlineLevel="0" collapsed="false">
      <c r="B12" s="46" t="s">
        <v>144</v>
      </c>
      <c r="C12" s="46" t="s">
        <v>58</v>
      </c>
      <c r="D12" s="47" t="s">
        <v>29</v>
      </c>
      <c r="E12" s="48" t="s">
        <v>59</v>
      </c>
      <c r="F12" s="49" t="s">
        <v>60</v>
      </c>
      <c r="G12" s="50" t="s">
        <v>61</v>
      </c>
      <c r="H12" s="46" t="s">
        <v>62</v>
      </c>
      <c r="I12" s="46" t="s">
        <v>145</v>
      </c>
      <c r="J12" s="46" t="s">
        <v>146</v>
      </c>
    </row>
    <row r="13" customFormat="false" ht="15" hidden="false" customHeight="false" outlineLevel="0" collapsed="false">
      <c r="B13" s="51" t="s">
        <v>147</v>
      </c>
      <c r="C13" s="52" t="n">
        <f aca="false">'Stage 6'!E35+'Stage 7'!E35</f>
        <v>5500</v>
      </c>
      <c r="D13" s="52" t="n">
        <f aca="false">'Stage 6'!G37+'Stage 7'!G37</f>
        <v>996230.76</v>
      </c>
      <c r="E13" s="52" t="n">
        <f aca="false">'Stage 6'!H37+'Stage 7'!H37</f>
        <v>272754.09</v>
      </c>
      <c r="F13" s="52" t="n">
        <f aca="false">'Stage 6'!I37+'Stage 7'!I37</f>
        <v>0</v>
      </c>
      <c r="G13" s="52" t="n">
        <f aca="false">'Stage 6'!J37+'Stage 7'!J37</f>
        <v>0</v>
      </c>
      <c r="H13" s="53" t="n">
        <f aca="false">SUM(D13:G13)</f>
        <v>1268984.85</v>
      </c>
      <c r="I13" s="54" t="s">
        <v>148</v>
      </c>
      <c r="J13" s="54" t="s">
        <v>148</v>
      </c>
    </row>
    <row r="14" customFormat="false" ht="15" hidden="false" customHeight="false" outlineLevel="0" collapsed="false">
      <c r="B14" s="55" t="str">
        <f aca="false">"Esc. 1 · "&amp;Escenarios!I$11</f>
        <v>Esc. 1 · Original</v>
      </c>
      <c r="C14" s="56" t="n">
        <f aca="false">'Stage 6'!K35+'Stage 7'!K35</f>
        <v>5500</v>
      </c>
      <c r="D14" s="56" t="n">
        <f aca="false">'Stage 6'!L35+'Stage 7'!L35</f>
        <v>996230.76</v>
      </c>
      <c r="E14" s="56" t="n">
        <f aca="false">'Stage 6'!M35+'Stage 7'!M35</f>
        <v>272754.09</v>
      </c>
      <c r="F14" s="56" t="n">
        <f aca="false">'Stage 6'!N35+'Stage 7'!N35</f>
        <v>0</v>
      </c>
      <c r="G14" s="56" t="n">
        <f aca="false">'Stage 6'!O35+'Stage 7'!O35</f>
        <v>0</v>
      </c>
      <c r="H14" s="57" t="n">
        <f aca="false">SUM(D14:G14)</f>
        <v>1268984.85</v>
      </c>
      <c r="I14" s="56" t="n">
        <f aca="false">H14-$H$13</f>
        <v>0</v>
      </c>
      <c r="J14" s="58" t="n">
        <f aca="false">IF($H$13=0,0,1-H14/$H$13)</f>
        <v>0</v>
      </c>
    </row>
    <row r="15" customFormat="false" ht="15" hidden="false" customHeight="false" outlineLevel="0" collapsed="false">
      <c r="B15" s="55" t="str">
        <f aca="false">"Esc. 2 · "&amp;Escenarios!J$11</f>
        <v>Esc. 2 · Sin las 4 tareas de Plan Safe</v>
      </c>
      <c r="C15" s="56" t="n">
        <f aca="false">'Stage 6'!Q35+'Stage 7'!Q35</f>
        <v>4615</v>
      </c>
      <c r="D15" s="56" t="n">
        <f aca="false">'Stage 6'!R35+'Stage 7'!R35</f>
        <v>996230.76</v>
      </c>
      <c r="E15" s="56" t="n">
        <f aca="false">'Stage 6'!S35+'Stage 7'!S35</f>
        <v>69416.34</v>
      </c>
      <c r="F15" s="56" t="n">
        <f aca="false">'Stage 6'!T35+'Stage 7'!T35</f>
        <v>0</v>
      </c>
      <c r="G15" s="56" t="n">
        <f aca="false">'Stage 6'!U35+'Stage 7'!U35</f>
        <v>0</v>
      </c>
      <c r="H15" s="57" t="n">
        <f aca="false">SUM(D15:G15)</f>
        <v>1065647.1</v>
      </c>
      <c r="I15" s="56" t="n">
        <f aca="false">H15-$H$13</f>
        <v>-203337.75</v>
      </c>
      <c r="J15" s="58" t="n">
        <f aca="false">IF($H$13=0,0,1-H15/$H$13)</f>
        <v>0.160236546559244</v>
      </c>
    </row>
    <row r="16" customFormat="false" ht="15" hidden="false" customHeight="false" outlineLevel="0" collapsed="false">
      <c r="B16" s="55" t="str">
        <f aca="false">"Esc. 3 · "&amp;Escenarios!K$11</f>
        <v>Esc. 3 · Sin tareas Plan Safe ni SSC</v>
      </c>
      <c r="C16" s="56" t="n">
        <f aca="false">'Stage 6'!W35+'Stage 7'!W35</f>
        <v>3485</v>
      </c>
      <c r="D16" s="56" t="n">
        <f aca="false">'Stage 6'!X35+'Stage 7'!X35</f>
        <v>743760.465</v>
      </c>
      <c r="E16" s="56" t="n">
        <f aca="false">'Stage 6'!Y35+'Stage 7'!Y35</f>
        <v>61520.235</v>
      </c>
      <c r="F16" s="56" t="n">
        <f aca="false">'Stage 6'!Z35+'Stage 7'!Z35</f>
        <v>0</v>
      </c>
      <c r="G16" s="56" t="n">
        <f aca="false">'Stage 6'!AA35+'Stage 7'!AA35</f>
        <v>0</v>
      </c>
      <c r="H16" s="57" t="n">
        <f aca="false">SUM(D16:G16)</f>
        <v>805280.7</v>
      </c>
      <c r="I16" s="56" t="n">
        <f aca="false">H16-$H$13</f>
        <v>-463704.15</v>
      </c>
      <c r="J16" s="58" t="n">
        <f aca="false">IF($H$13=0,0,1-H16/$H$13)</f>
        <v>0.365413464156014</v>
      </c>
    </row>
    <row r="17" customFormat="false" ht="15" hidden="false" customHeight="false" outlineLevel="0" collapsed="false">
      <c r="B17" s="55" t="str">
        <f aca="false">"Esc. 4 · "&amp;Escenarios!L$11</f>
        <v>Esc. 4 · Sin SSC, tareas Plan Safe al 50 %</v>
      </c>
      <c r="C17" s="56" t="n">
        <f aca="false">'Stage 6'!AC35+'Stage 7'!AC35</f>
        <v>4370</v>
      </c>
      <c r="D17" s="56" t="n">
        <f aca="false">'Stage 6'!AD35+'Stage 7'!AD35</f>
        <v>743760.465</v>
      </c>
      <c r="E17" s="56" t="n">
        <f aca="false">'Stage 6'!AE35+'Stage 7'!AE35</f>
        <v>163189.11</v>
      </c>
      <c r="F17" s="56" t="n">
        <f aca="false">'Stage 6'!AF35+'Stage 7'!AF35</f>
        <v>0</v>
      </c>
      <c r="G17" s="56" t="n">
        <f aca="false">'Stage 6'!AG35+'Stage 7'!AG35</f>
        <v>0</v>
      </c>
      <c r="H17" s="57" t="n">
        <f aca="false">SUM(D17:G17)</f>
        <v>906949.575</v>
      </c>
      <c r="I17" s="56" t="n">
        <f aca="false">H17-$H$13</f>
        <v>-362035.275</v>
      </c>
      <c r="J17" s="58" t="n">
        <f aca="false">IF($H$13=0,0,1-H17/$H$13)</f>
        <v>0.285295190876392</v>
      </c>
    </row>
    <row r="18" customFormat="false" ht="15" hidden="false" customHeight="false" outlineLevel="0" collapsed="false">
      <c r="B18" s="2" t="s">
        <v>177</v>
      </c>
      <c r="H18" s="59" t="n">
        <v>1268985</v>
      </c>
      <c r="I18" s="41" t="n">
        <f aca="false">ROUND(H13-H18,0)</f>
        <v>-0</v>
      </c>
      <c r="J18" s="60" t="str">
        <f aca="false">IF(ABS(I18)&lt;=2,"cuadra","revisar")</f>
        <v>cuadra</v>
      </c>
    </row>
    <row r="21" customFormat="false" ht="15" hidden="false" customHeight="false" outlineLevel="0" collapsed="false">
      <c r="B21" s="45" t="s">
        <v>150</v>
      </c>
    </row>
    <row r="22" customFormat="false" ht="30" hidden="false" customHeight="true" outlineLevel="0" collapsed="false">
      <c r="B22" s="46" t="s">
        <v>144</v>
      </c>
      <c r="C22" s="46"/>
      <c r="D22" s="47" t="s">
        <v>29</v>
      </c>
      <c r="E22" s="48" t="s">
        <v>59</v>
      </c>
      <c r="F22" s="49" t="s">
        <v>60</v>
      </c>
      <c r="G22" s="50" t="s">
        <v>61</v>
      </c>
      <c r="H22" s="46" t="s">
        <v>62</v>
      </c>
    </row>
    <row r="23" customFormat="false" ht="15" hidden="false" customHeight="false" outlineLevel="0" collapsed="false">
      <c r="B23" s="55" t="str">
        <f aca="false">B14</f>
        <v>Esc. 1 · Original</v>
      </c>
      <c r="C23" s="61"/>
      <c r="D23" s="62" t="n">
        <f aca="false">IF(D$13=0,0,1-D14/D$13)</f>
        <v>0</v>
      </c>
      <c r="E23" s="62" t="n">
        <f aca="false">IF(E$13=0,0,1-E14/E$13)</f>
        <v>0</v>
      </c>
      <c r="F23" s="62" t="n">
        <f aca="false">IF(F$13=0,0,1-F14/F$13)</f>
        <v>0</v>
      </c>
      <c r="G23" s="62" t="n">
        <f aca="false">IF(G$13=0,0,1-G14/G$13)</f>
        <v>0</v>
      </c>
      <c r="H23" s="62" t="n">
        <f aca="false">IF(H$13=0,0,1-H14/H$13)</f>
        <v>0</v>
      </c>
    </row>
    <row r="24" customFormat="false" ht="15" hidden="false" customHeight="false" outlineLevel="0" collapsed="false">
      <c r="B24" s="55" t="str">
        <f aca="false">B15</f>
        <v>Esc. 2 · Sin las 4 tareas de Plan Safe</v>
      </c>
      <c r="C24" s="61"/>
      <c r="D24" s="62" t="n">
        <f aca="false">IF(D$13=0,0,1-D15/D$13)</f>
        <v>0</v>
      </c>
      <c r="E24" s="62" t="n">
        <f aca="false">IF(E$13=0,0,1-E15/E$13)</f>
        <v>0.74549844513789</v>
      </c>
      <c r="F24" s="62" t="n">
        <f aca="false">IF(F$13=0,0,1-F15/F$13)</f>
        <v>0</v>
      </c>
      <c r="G24" s="62" t="n">
        <f aca="false">IF(G$13=0,0,1-G15/G$13)</f>
        <v>0</v>
      </c>
      <c r="H24" s="62" t="n">
        <f aca="false">IF(H$13=0,0,1-H15/H$13)</f>
        <v>0.160236546559244</v>
      </c>
    </row>
    <row r="25" customFormat="false" ht="15" hidden="false" customHeight="false" outlineLevel="0" collapsed="false">
      <c r="B25" s="55" t="str">
        <f aca="false">B16</f>
        <v>Esc. 3 · Sin tareas Plan Safe ni SSC</v>
      </c>
      <c r="C25" s="61"/>
      <c r="D25" s="62" t="n">
        <f aca="false">IF(D$13=0,0,1-D16/D$13)</f>
        <v>0.253425516594167</v>
      </c>
      <c r="E25" s="62" t="n">
        <f aca="false">IF(E$13=0,0,1-E16/E$13)</f>
        <v>0.77444798352978</v>
      </c>
      <c r="F25" s="62" t="n">
        <f aca="false">IF(F$13=0,0,1-F16/F$13)</f>
        <v>0</v>
      </c>
      <c r="G25" s="62" t="n">
        <f aca="false">IF(G$13=0,0,1-G16/G$13)</f>
        <v>0</v>
      </c>
      <c r="H25" s="62" t="n">
        <f aca="false">IF(H$13=0,0,1-H16/H$13)</f>
        <v>0.365413464156014</v>
      </c>
    </row>
    <row r="26" customFormat="false" ht="15" hidden="false" customHeight="false" outlineLevel="0" collapsed="false">
      <c r="B26" s="55" t="str">
        <f aca="false">B17</f>
        <v>Esc. 4 · Sin SSC, tareas Plan Safe al 50 %</v>
      </c>
      <c r="C26" s="61"/>
      <c r="D26" s="62" t="n">
        <f aca="false">IF(D$13=0,0,1-D17/D$13)</f>
        <v>0.253425516594167</v>
      </c>
      <c r="E26" s="62" t="n">
        <f aca="false">IF(E$13=0,0,1-E17/E$13)</f>
        <v>0.401698760960835</v>
      </c>
      <c r="F26" s="62" t="n">
        <f aca="false">IF(F$13=0,0,1-F17/F$13)</f>
        <v>0</v>
      </c>
      <c r="G26" s="62" t="n">
        <f aca="false">IF(G$13=0,0,1-G17/G$13)</f>
        <v>0</v>
      </c>
      <c r="H26" s="62" t="n">
        <f aca="false">IF(H$13=0,0,1-H17/H$13)</f>
        <v>0.285295190876392</v>
      </c>
    </row>
    <row r="27" customFormat="false" ht="15" hidden="false" customHeight="false" outlineLevel="0" collapsed="false">
      <c r="B27" s="2" t="s">
        <v>151</v>
      </c>
    </row>
    <row r="29" customFormat="false" ht="15" hidden="false" customHeight="false" outlineLevel="0" collapsed="false">
      <c r="B29" s="45" t="s">
        <v>152</v>
      </c>
    </row>
    <row r="30" customFormat="false" ht="30" hidden="false" customHeight="true" outlineLevel="0" collapsed="false">
      <c r="B30" s="46" t="s">
        <v>144</v>
      </c>
      <c r="C30" s="46"/>
      <c r="D30" s="47" t="s">
        <v>29</v>
      </c>
      <c r="E30" s="48" t="s">
        <v>59</v>
      </c>
      <c r="F30" s="49" t="s">
        <v>60</v>
      </c>
      <c r="G30" s="50" t="s">
        <v>61</v>
      </c>
      <c r="H30" s="46" t="s">
        <v>62</v>
      </c>
    </row>
    <row r="31" customFormat="false" ht="15" hidden="false" customHeight="false" outlineLevel="0" collapsed="false">
      <c r="B31" s="55" t="str">
        <f aca="false">B13</f>
        <v>Oferta original (referencia)</v>
      </c>
      <c r="C31" s="61"/>
      <c r="D31" s="62" t="n">
        <f aca="false">IF($H13=0,0,D13/$H13)</f>
        <v>0.785061192810931</v>
      </c>
      <c r="E31" s="62" t="n">
        <f aca="false">IF($H13=0,0,E13/$H13)</f>
        <v>0.214938807189069</v>
      </c>
      <c r="F31" s="62" t="n">
        <f aca="false">IF($H13=0,0,F13/$H13)</f>
        <v>0</v>
      </c>
      <c r="G31" s="62" t="n">
        <f aca="false">IF($H13=0,0,G13/$H13)</f>
        <v>0</v>
      </c>
      <c r="H31" s="62" t="n">
        <f aca="false">IF($H13=0,0,H13/$H13)</f>
        <v>1</v>
      </c>
    </row>
    <row r="32" customFormat="false" ht="15" hidden="false" customHeight="false" outlineLevel="0" collapsed="false">
      <c r="B32" s="55" t="str">
        <f aca="false">B14</f>
        <v>Esc. 1 · Original</v>
      </c>
      <c r="C32" s="61"/>
      <c r="D32" s="62" t="n">
        <f aca="false">IF($H14=0,0,D14/$H14)</f>
        <v>0.785061192810931</v>
      </c>
      <c r="E32" s="62" t="n">
        <f aca="false">IF($H14=0,0,E14/$H14)</f>
        <v>0.214938807189069</v>
      </c>
      <c r="F32" s="62" t="n">
        <f aca="false">IF($H14=0,0,F14/$H14)</f>
        <v>0</v>
      </c>
      <c r="G32" s="62" t="n">
        <f aca="false">IF($H14=0,0,G14/$H14)</f>
        <v>0</v>
      </c>
      <c r="H32" s="62" t="n">
        <f aca="false">IF($H14=0,0,H14/$H14)</f>
        <v>1</v>
      </c>
    </row>
    <row r="33" customFormat="false" ht="15" hidden="false" customHeight="false" outlineLevel="0" collapsed="false">
      <c r="B33" s="55" t="str">
        <f aca="false">B15</f>
        <v>Esc. 2 · Sin las 4 tareas de Plan Safe</v>
      </c>
      <c r="C33" s="61"/>
      <c r="D33" s="62" t="n">
        <f aca="false">IF($H15=0,0,D15/$H15)</f>
        <v>0.934859917509277</v>
      </c>
      <c r="E33" s="62" t="n">
        <f aca="false">IF($H15=0,0,E15/$H15)</f>
        <v>0.0651400824907232</v>
      </c>
      <c r="F33" s="62" t="n">
        <f aca="false">IF($H15=0,0,F15/$H15)</f>
        <v>0</v>
      </c>
      <c r="G33" s="62" t="n">
        <f aca="false">IF($H15=0,0,G15/$H15)</f>
        <v>0</v>
      </c>
      <c r="H33" s="62" t="n">
        <f aca="false">IF($H15=0,0,H15/$H15)</f>
        <v>1</v>
      </c>
    </row>
    <row r="34" customFormat="false" ht="15" hidden="false" customHeight="false" outlineLevel="0" collapsed="false">
      <c r="B34" s="55" t="str">
        <f aca="false">B16</f>
        <v>Esc. 3 · Sin tareas Plan Safe ni SSC</v>
      </c>
      <c r="C34" s="61"/>
      <c r="D34" s="62" t="n">
        <f aca="false">IF($H16=0,0,D16/$H16)</f>
        <v>0.923603986783739</v>
      </c>
      <c r="E34" s="62" t="n">
        <f aca="false">IF($H16=0,0,E16/$H16)</f>
        <v>0.0763960132162611</v>
      </c>
      <c r="F34" s="62" t="n">
        <f aca="false">IF($H16=0,0,F16/$H16)</f>
        <v>0</v>
      </c>
      <c r="G34" s="62" t="n">
        <f aca="false">IF($H16=0,0,G16/$H16)</f>
        <v>0</v>
      </c>
      <c r="H34" s="62" t="n">
        <f aca="false">IF($H16=0,0,H16/$H16)</f>
        <v>1</v>
      </c>
    </row>
    <row r="35" customFormat="false" ht="15" hidden="false" customHeight="false" outlineLevel="0" collapsed="false">
      <c r="B35" s="55" t="str">
        <f aca="false">B17</f>
        <v>Esc. 4 · Sin SSC, tareas Plan Safe al 50 %</v>
      </c>
      <c r="C35" s="61"/>
      <c r="D35" s="62" t="n">
        <f aca="false">IF($H17=0,0,D17/$H17)</f>
        <v>0.820068155387801</v>
      </c>
      <c r="E35" s="62" t="n">
        <f aca="false">IF($H17=0,0,E17/$H17)</f>
        <v>0.179931844612199</v>
      </c>
      <c r="F35" s="62" t="n">
        <f aca="false">IF($H17=0,0,F17/$H17)</f>
        <v>0</v>
      </c>
      <c r="G35" s="62" t="n">
        <f aca="false">IF($H17=0,0,G17/$H17)</f>
        <v>0</v>
      </c>
      <c r="H35" s="62" t="n">
        <f aca="false">IF($H17=0,0,H17/$H17)</f>
        <v>1</v>
      </c>
    </row>
    <row r="38" customFormat="false" ht="15" hidden="false" customHeight="false" outlineLevel="0" collapsed="false">
      <c r="B38" s="45" t="s">
        <v>153</v>
      </c>
    </row>
    <row r="39" customFormat="false" ht="30" hidden="false" customHeight="true" outlineLevel="0" collapsed="false">
      <c r="B39" s="46" t="s">
        <v>144</v>
      </c>
      <c r="C39" s="46"/>
      <c r="D39" s="46" t="s">
        <v>178</v>
      </c>
      <c r="E39" s="46" t="s">
        <v>179</v>
      </c>
      <c r="F39" s="46" t="s">
        <v>62</v>
      </c>
      <c r="G39" s="46" t="s">
        <v>146</v>
      </c>
    </row>
    <row r="40" customFormat="false" ht="15" hidden="false" customHeight="false" outlineLevel="0" collapsed="false">
      <c r="B40" s="63" t="s">
        <v>147</v>
      </c>
      <c r="C40" s="61"/>
      <c r="D40" s="56" t="n">
        <f aca="false">'Stage 6'!F37</f>
        <v>775079.55</v>
      </c>
      <c r="E40" s="56" t="n">
        <f aca="false">'Stage 7'!F37</f>
        <v>493905.3</v>
      </c>
      <c r="F40" s="57" t="n">
        <f aca="false">SUM(D40:E40)</f>
        <v>1268984.85</v>
      </c>
      <c r="G40" s="64" t="s">
        <v>148</v>
      </c>
    </row>
    <row r="41" customFormat="false" ht="15" hidden="false" customHeight="false" outlineLevel="0" collapsed="false">
      <c r="B41" s="55" t="str">
        <f aca="false">B14</f>
        <v>Esc. 1 · Original</v>
      </c>
      <c r="C41" s="61"/>
      <c r="D41" s="56" t="n">
        <f aca="false">'Stage 6'!P35</f>
        <v>775079.55</v>
      </c>
      <c r="E41" s="56" t="n">
        <f aca="false">'Stage 7'!P35</f>
        <v>493905.3</v>
      </c>
      <c r="F41" s="57" t="n">
        <f aca="false">SUM(D41:E41)</f>
        <v>1268984.85</v>
      </c>
      <c r="G41" s="62" t="n">
        <f aca="false">IF($F$40=0,0,1-F41/$F$40)</f>
        <v>0</v>
      </c>
    </row>
    <row r="42" customFormat="false" ht="15" hidden="false" customHeight="false" outlineLevel="0" collapsed="false">
      <c r="B42" s="55" t="str">
        <f aca="false">B15</f>
        <v>Esc. 2 · Sin las 4 tareas de Plan Safe</v>
      </c>
      <c r="C42" s="61"/>
      <c r="D42" s="56" t="n">
        <f aca="false">'Stage 6'!V35</f>
        <v>628189.8</v>
      </c>
      <c r="E42" s="56" t="n">
        <f aca="false">'Stage 7'!V35</f>
        <v>437457.3</v>
      </c>
      <c r="F42" s="57" t="n">
        <f aca="false">SUM(D42:E42)</f>
        <v>1065647.1</v>
      </c>
      <c r="G42" s="62" t="n">
        <f aca="false">IF($F$40=0,0,1-F42/$F$40)</f>
        <v>0.160236546559244</v>
      </c>
    </row>
    <row r="43" customFormat="false" ht="15" hidden="false" customHeight="false" outlineLevel="0" collapsed="false">
      <c r="B43" s="55" t="str">
        <f aca="false">B16</f>
        <v>Esc. 3 · Sin tareas Plan Safe ni SSC</v>
      </c>
      <c r="C43" s="61"/>
      <c r="D43" s="56" t="n">
        <f aca="false">'Stage 6'!AB35</f>
        <v>444017.175</v>
      </c>
      <c r="E43" s="56" t="n">
        <f aca="false">'Stage 7'!AB35</f>
        <v>361263.525</v>
      </c>
      <c r="F43" s="57" t="n">
        <f aca="false">SUM(D43:E43)</f>
        <v>805280.7</v>
      </c>
      <c r="G43" s="62" t="n">
        <f aca="false">IF($F$40=0,0,1-F43/$F$40)</f>
        <v>0.365413464156014</v>
      </c>
    </row>
    <row r="44" customFormat="false" ht="15" hidden="false" customHeight="false" outlineLevel="0" collapsed="false">
      <c r="B44" s="55" t="str">
        <f aca="false">B17</f>
        <v>Esc. 4 · Sin SSC, tareas Plan Safe al 50 %</v>
      </c>
      <c r="C44" s="61"/>
      <c r="D44" s="56" t="n">
        <f aca="false">'Stage 6'!AH35</f>
        <v>517462.05</v>
      </c>
      <c r="E44" s="56" t="n">
        <f aca="false">'Stage 7'!AH35</f>
        <v>389487.525</v>
      </c>
      <c r="F44" s="57" t="n">
        <f aca="false">SUM(D44:E44)</f>
        <v>906949.575</v>
      </c>
      <c r="G44" s="62" t="n">
        <f aca="false">IF($F$40=0,0,1-F44/$F$40)</f>
        <v>0.285295190876392</v>
      </c>
    </row>
    <row r="46" customFormat="false" ht="15" hidden="false" customHeight="false" outlineLevel="0" collapsed="false">
      <c r="B46" s="65" t="s">
        <v>164</v>
      </c>
    </row>
    <row r="47" customFormat="false" ht="15" hidden="false" customHeight="false" outlineLevel="0" collapsed="false">
      <c r="B47" s="2" t="s">
        <v>165</v>
      </c>
    </row>
    <row r="48" customFormat="false" ht="15" hidden="false" customHeight="false" outlineLevel="0" collapsed="false">
      <c r="B48" s="2" t="s">
        <v>166</v>
      </c>
    </row>
    <row r="49" customFormat="false" ht="15" hidden="false" customHeight="false" outlineLevel="0" collapsed="false">
      <c r="B49" s="2" t="s">
        <v>167</v>
      </c>
    </row>
    <row r="50" customFormat="false" ht="15" hidden="false" customHeight="false" outlineLevel="0" collapsed="false">
      <c r="B50" s="2" t="s">
        <v>168</v>
      </c>
    </row>
    <row r="51" customFormat="false" ht="15" hidden="false" customHeight="false" outlineLevel="0" collapsed="false">
      <c r="B51" s="2" t="s">
        <v>169</v>
      </c>
    </row>
    <row r="52" customFormat="false" ht="15" hidden="false" customHeight="false" outlineLevel="0" collapsed="false">
      <c r="B52" s="2" t="s">
        <v>170</v>
      </c>
    </row>
    <row r="53" customFormat="false" ht="15" hidden="false" customHeight="false" outlineLevel="0" collapsed="false">
      <c r="B53" s="2" t="s">
        <v>171</v>
      </c>
    </row>
  </sheetData>
  <mergeCells count="5">
    <mergeCell ref="C5:E5"/>
    <mergeCell ref="C6:E6"/>
    <mergeCell ref="C7:E7"/>
    <mergeCell ref="C8:E8"/>
    <mergeCell ref="C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1:L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7" min="4" style="0" width="14"/>
    <col collapsed="false" customWidth="true" hidden="false" outlineLevel="0" max="9" min="8" style="0" width="15"/>
    <col collapsed="false" customWidth="true" hidden="false" outlineLevel="0" max="12" min="10" style="0" width="13"/>
  </cols>
  <sheetData>
    <row r="1" customFormat="false" ht="16.15" hidden="false" customHeight="false" outlineLevel="0" collapsed="false">
      <c r="B1" s="1" t="s">
        <v>180</v>
      </c>
    </row>
    <row r="2" customFormat="false" ht="15" hidden="false" customHeight="false" outlineLevel="0" collapsed="false">
      <c r="B2" s="2" t="s">
        <v>138</v>
      </c>
    </row>
    <row r="4" customFormat="false" ht="15" hidden="false" customHeight="false" outlineLevel="0" collapsed="false">
      <c r="B4" s="3" t="s">
        <v>139</v>
      </c>
      <c r="C4" s="43"/>
      <c r="D4" s="43"/>
    </row>
    <row r="5" customFormat="false" ht="15" hidden="false" customHeight="false" outlineLevel="0" collapsed="false">
      <c r="B5" s="4" t="s">
        <v>140</v>
      </c>
      <c r="C5" s="44" t="str">
        <f aca="false">Inputs!$C$7&amp;" loops · "&amp;TEXT(Inputs!$C$9-1,"+0.0%;-0.0%;0.0%")&amp;" · "&amp;Inputs!$C$10</f>
        <v>3 loops · 0.0% · Todas las etapas</v>
      </c>
      <c r="D5" s="44"/>
      <c r="E5" s="44"/>
    </row>
    <row r="6" customFormat="false" ht="15" hidden="false" customHeight="false" outlineLevel="0" collapsed="false">
      <c r="B6" s="4" t="s">
        <v>141</v>
      </c>
      <c r="C6" s="44" t="str">
        <f aca="false">TEXT(Inputs!$C$14,"0%")&amp;" / "&amp;TEXT(Inputs!$C$13,"0%")</f>
        <v>35% / 35%</v>
      </c>
      <c r="D6" s="44"/>
      <c r="E6" s="44"/>
    </row>
    <row r="7" customFormat="false" ht="15" hidden="false" customHeight="false" outlineLevel="0" collapsed="false">
      <c r="B7" s="4" t="s">
        <v>22</v>
      </c>
      <c r="C7" s="44" t="str">
        <f aca="false">Inputs!$C$18</f>
        <v>Sí</v>
      </c>
      <c r="D7" s="44"/>
      <c r="E7" s="44"/>
    </row>
    <row r="8" customFormat="false" ht="15" hidden="false" customHeight="false" outlineLevel="0" collapsed="false">
      <c r="B8" s="4" t="s">
        <v>26</v>
      </c>
      <c r="C8" s="44" t="str">
        <f aca="false">TEXT(Inputs!$C$21,"0.0%")&amp;" · absorbe "&amp;Inputs!$C$22</f>
        <v>0.0% · absorbe IDOM</v>
      </c>
      <c r="D8" s="44"/>
      <c r="E8" s="44"/>
    </row>
    <row r="9" customFormat="false" ht="15" hidden="false" customHeight="false" outlineLevel="0" collapsed="false">
      <c r="B9" s="4" t="s">
        <v>142</v>
      </c>
      <c r="C9" s="44" t="str">
        <f aca="false">TEXT(Inputs!$C$25,"0%")&amp;" / "&amp;TEXT(Inputs!$C$26,"0%")</f>
        <v>10% / 0%</v>
      </c>
      <c r="D9" s="44"/>
      <c r="E9" s="44"/>
    </row>
    <row r="11" customFormat="false" ht="15" hidden="false" customHeight="false" outlineLevel="0" collapsed="false">
      <c r="B11" s="45" t="s">
        <v>143</v>
      </c>
    </row>
    <row r="12" customFormat="false" ht="30" hidden="false" customHeight="true" outlineLevel="0" collapsed="false">
      <c r="B12" s="46" t="s">
        <v>144</v>
      </c>
      <c r="C12" s="46" t="s">
        <v>58</v>
      </c>
      <c r="D12" s="47" t="s">
        <v>29</v>
      </c>
      <c r="E12" s="48" t="s">
        <v>59</v>
      </c>
      <c r="F12" s="49" t="s">
        <v>60</v>
      </c>
      <c r="G12" s="50" t="s">
        <v>61</v>
      </c>
      <c r="H12" s="46" t="s">
        <v>62</v>
      </c>
      <c r="I12" s="46" t="s">
        <v>145</v>
      </c>
      <c r="J12" s="46" t="s">
        <v>146</v>
      </c>
    </row>
    <row r="13" customFormat="false" ht="15" hidden="false" customHeight="false" outlineLevel="0" collapsed="false">
      <c r="B13" s="51" t="s">
        <v>147</v>
      </c>
      <c r="C13" s="52" t="n">
        <f aca="false">'Stage 1'!E35+'Stage 2'!E35+'Stage 3'!E35+'Stage 4'!E35+'Stage 5'!E35+'Stage 6'!E35+'Stage 7'!E35</f>
        <v>32722</v>
      </c>
      <c r="D13" s="52" t="n">
        <f aca="false">'Stage 1'!G37+'Stage 2'!G37+'Stage 3'!G37+'Stage 4'!G37+'Stage 5'!G37+'Stage 6'!G37+'Stage 7'!G37</f>
        <v>5858217.9075</v>
      </c>
      <c r="E13" s="52" t="n">
        <f aca="false">'Stage 1'!H37+'Stage 2'!H37+'Stage 3'!H37+'Stage 4'!H37+'Stage 5'!H37+'Stage 6'!H37+'Stage 7'!H37</f>
        <v>1593669.9975</v>
      </c>
      <c r="F13" s="52" t="n">
        <f aca="false">'Stage 1'!I37+'Stage 2'!I37+'Stage 3'!I37+'Stage 4'!I37+'Stage 5'!I37+'Stage 6'!I37+'Stage 7'!I37</f>
        <v>0</v>
      </c>
      <c r="G13" s="52" t="n">
        <f aca="false">'Stage 1'!J37+'Stage 2'!J37+'Stage 3'!J37+'Stage 4'!J37+'Stage 5'!J37+'Stage 6'!J37+'Stage 7'!J37</f>
        <v>78836.1</v>
      </c>
      <c r="H13" s="53" t="n">
        <f aca="false">SUM(D13:G13)</f>
        <v>7530724.005</v>
      </c>
      <c r="I13" s="54" t="s">
        <v>148</v>
      </c>
      <c r="J13" s="54" t="s">
        <v>148</v>
      </c>
    </row>
    <row r="14" customFormat="false" ht="15" hidden="false" customHeight="false" outlineLevel="0" collapsed="false">
      <c r="B14" s="55" t="str">
        <f aca="false">"Esc. 1 · "&amp;Escenarios!I$11</f>
        <v>Esc. 1 · Original</v>
      </c>
      <c r="C14" s="56" t="n">
        <f aca="false">'Stage 1'!K35+'Stage 2'!K35+'Stage 3'!K35+'Stage 4'!K35+'Stage 5'!K35+'Stage 6'!K35+'Stage 7'!K35</f>
        <v>32722</v>
      </c>
      <c r="D14" s="56" t="n">
        <f aca="false">'Stage 1'!L35+'Stage 2'!L35+'Stage 3'!L35+'Stage 4'!L35+'Stage 5'!L35+'Stage 6'!L35+'Stage 7'!L35</f>
        <v>5858217.9075</v>
      </c>
      <c r="E14" s="56" t="n">
        <f aca="false">'Stage 1'!M35+'Stage 2'!M35+'Stage 3'!M35+'Stage 4'!M35+'Stage 5'!M35+'Stage 6'!M35+'Stage 7'!M35</f>
        <v>1593669.9975</v>
      </c>
      <c r="F14" s="56" t="n">
        <f aca="false">'Stage 1'!N35+'Stage 2'!N35+'Stage 3'!N35+'Stage 4'!N35+'Stage 5'!N35+'Stage 6'!N35+'Stage 7'!N35</f>
        <v>0</v>
      </c>
      <c r="G14" s="56" t="n">
        <f aca="false">'Stage 1'!O35+'Stage 2'!O35+'Stage 3'!O35+'Stage 4'!O35+'Stage 5'!O35+'Stage 6'!O35+'Stage 7'!O35</f>
        <v>78836.1</v>
      </c>
      <c r="H14" s="57" t="n">
        <f aca="false">SUM(D14:G14)</f>
        <v>7530724.005</v>
      </c>
      <c r="I14" s="56" t="n">
        <f aca="false">H14-$H$13</f>
        <v>0</v>
      </c>
      <c r="J14" s="58" t="n">
        <f aca="false">IF($H$13=0,0,1-H14/$H$13)</f>
        <v>0</v>
      </c>
    </row>
    <row r="15" customFormat="false" ht="15" hidden="false" customHeight="false" outlineLevel="0" collapsed="false">
      <c r="B15" s="55" t="str">
        <f aca="false">"Esc. 2 · "&amp;Escenarios!J$11</f>
        <v>Esc. 2 · Sin las 4 tareas de Plan Safe</v>
      </c>
      <c r="C15" s="56" t="n">
        <f aca="false">'Stage 1'!Q35+'Stage 2'!Q35+'Stage 3'!Q35+'Stage 4'!Q35+'Stage 5'!Q35+'Stage 6'!Q35+'Stage 7'!Q35</f>
        <v>27415</v>
      </c>
      <c r="D15" s="56" t="n">
        <f aca="false">'Stage 1'!R35+'Stage 2'!R35+'Stage 3'!R35+'Stage 4'!R35+'Stage 5'!R35+'Stage 6'!R35+'Stage 7'!R35</f>
        <v>5858217.9075</v>
      </c>
      <c r="E15" s="56" t="n">
        <f aca="false">'Stage 1'!S35+'Stage 2'!S35+'Stage 3'!S35+'Stage 4'!S35+'Stage 5'!S35+'Stage 6'!S35+'Stage 7'!S35</f>
        <v>371954.4675</v>
      </c>
      <c r="F15" s="56" t="n">
        <f aca="false">'Stage 1'!T35+'Stage 2'!T35+'Stage 3'!T35+'Stage 4'!T35+'Stage 5'!T35+'Stage 6'!T35+'Stage 7'!T35</f>
        <v>0</v>
      </c>
      <c r="G15" s="56" t="n">
        <f aca="false">'Stage 1'!U35+'Stage 2'!U35+'Stage 3'!U35+'Stage 4'!U35+'Stage 5'!U35+'Stage 6'!U35+'Stage 7'!U35</f>
        <v>78836.1</v>
      </c>
      <c r="H15" s="57" t="n">
        <f aca="false">SUM(D15:G15)</f>
        <v>6309008.475</v>
      </c>
      <c r="I15" s="56" t="n">
        <f aca="false">H15-$H$13</f>
        <v>-1221715.53</v>
      </c>
      <c r="J15" s="58" t="n">
        <f aca="false">IF($H$13=0,0,1-H15/$H$13)</f>
        <v>0.162230819930308</v>
      </c>
    </row>
    <row r="16" customFormat="false" ht="15" hidden="false" customHeight="false" outlineLevel="0" collapsed="false">
      <c r="B16" s="55" t="str">
        <f aca="false">"Esc. 3 · "&amp;Escenarios!K$11</f>
        <v>Esc. 3 · Sin tareas Plan Safe ni SSC</v>
      </c>
      <c r="C16" s="56" t="n">
        <f aca="false">'Stage 1'!W35+'Stage 2'!W35+'Stage 3'!W35+'Stage 4'!W35+'Stage 5'!W35+'Stage 6'!W35+'Stage 7'!W35</f>
        <v>22370</v>
      </c>
      <c r="D16" s="56" t="n">
        <f aca="false">'Stage 1'!X35+'Stage 2'!X35+'Stage 3'!X35+'Stage 4'!X35+'Stage 5'!X35+'Stage 6'!X35+'Stage 7'!X35</f>
        <v>4728367.0875</v>
      </c>
      <c r="E16" s="56" t="n">
        <f aca="false">'Stage 1'!Y35+'Stage 2'!Y35+'Stage 3'!Y35+'Stage 4'!Y35+'Stage 5'!Y35+'Stage 6'!Y35+'Stage 7'!Y35</f>
        <v>343335.0375</v>
      </c>
      <c r="F16" s="56" t="n">
        <f aca="false">'Stage 1'!Z35+'Stage 2'!Z35+'Stage 3'!Z35+'Stage 4'!Z35+'Stage 5'!Z35+'Stage 6'!Z35+'Stage 7'!Z35</f>
        <v>0</v>
      </c>
      <c r="G16" s="56" t="n">
        <f aca="false">'Stage 1'!AA35+'Stage 2'!AA35+'Stage 3'!AA35+'Stage 4'!AA35+'Stage 5'!AA35+'Stage 6'!AA35+'Stage 7'!AA35</f>
        <v>78836.1</v>
      </c>
      <c r="H16" s="57" t="n">
        <f aca="false">SUM(D16:G16)</f>
        <v>5150538.225</v>
      </c>
      <c r="I16" s="56" t="n">
        <f aca="false">H16-$H$13</f>
        <v>-2380185.78</v>
      </c>
      <c r="J16" s="58" t="n">
        <f aca="false">IF($H$13=0,0,1-H16/$H$13)</f>
        <v>0.316063339782428</v>
      </c>
    </row>
    <row r="17" customFormat="false" ht="15" hidden="false" customHeight="false" outlineLevel="0" collapsed="false">
      <c r="B17" s="55" t="str">
        <f aca="false">"Esc. 4 · "&amp;Escenarios!L$11</f>
        <v>Esc. 4 · Sin SSC, tareas Plan Safe al 50 %</v>
      </c>
      <c r="C17" s="56" t="n">
        <f aca="false">'Stage 1'!AC35+'Stage 2'!AC35+'Stage 3'!AC35+'Stage 4'!AC35+'Stage 5'!AC35+'Stage 6'!AC35+'Stage 7'!AC35</f>
        <v>27677</v>
      </c>
      <c r="D17" s="56" t="n">
        <f aca="false">'Stage 1'!AD35+'Stage 2'!AD35+'Stage 3'!AD35+'Stage 4'!AD35+'Stage 5'!AD35+'Stage 6'!AD35+'Stage 7'!AD35</f>
        <v>4728367.0875</v>
      </c>
      <c r="E17" s="56" t="n">
        <f aca="false">'Stage 1'!AE35+'Stage 2'!AE35+'Stage 3'!AE35+'Stage 4'!AE35+'Stage 5'!AE35+'Stage 6'!AE35+'Stage 7'!AE35</f>
        <v>954192.8025</v>
      </c>
      <c r="F17" s="56" t="n">
        <f aca="false">'Stage 1'!AF35+'Stage 2'!AF35+'Stage 3'!AF35+'Stage 4'!AF35+'Stage 5'!AF35+'Stage 6'!AF35+'Stage 7'!AF35</f>
        <v>0</v>
      </c>
      <c r="G17" s="56" t="n">
        <f aca="false">'Stage 1'!AG35+'Stage 2'!AG35+'Stage 3'!AG35+'Stage 4'!AG35+'Stage 5'!AG35+'Stage 6'!AG35+'Stage 7'!AG35</f>
        <v>78836.1</v>
      </c>
      <c r="H17" s="57" t="n">
        <f aca="false">SUM(D17:G17)</f>
        <v>5761395.99</v>
      </c>
      <c r="I17" s="56" t="n">
        <f aca="false">H17-$H$13</f>
        <v>-1769328.015</v>
      </c>
      <c r="J17" s="58" t="n">
        <f aca="false">IF($H$13=0,0,1-H17/$H$13)</f>
        <v>0.234947929817274</v>
      </c>
    </row>
    <row r="18" customFormat="false" ht="15" hidden="false" customHeight="false" outlineLevel="0" collapsed="false">
      <c r="B18" s="2" t="s">
        <v>181</v>
      </c>
      <c r="H18" s="59" t="n">
        <v>7530724</v>
      </c>
      <c r="I18" s="41" t="n">
        <f aca="false">ROUND(H13-H18,0)</f>
        <v>0</v>
      </c>
      <c r="J18" s="60" t="str">
        <f aca="false">IF(ABS(I18)&lt;=2,"cuadra","revisar")</f>
        <v>cuadra</v>
      </c>
    </row>
    <row r="21" customFormat="false" ht="15" hidden="false" customHeight="false" outlineLevel="0" collapsed="false">
      <c r="B21" s="45" t="s">
        <v>150</v>
      </c>
    </row>
    <row r="22" customFormat="false" ht="30" hidden="false" customHeight="true" outlineLevel="0" collapsed="false">
      <c r="B22" s="46" t="s">
        <v>144</v>
      </c>
      <c r="C22" s="46"/>
      <c r="D22" s="47" t="s">
        <v>29</v>
      </c>
      <c r="E22" s="48" t="s">
        <v>59</v>
      </c>
      <c r="F22" s="49" t="s">
        <v>60</v>
      </c>
      <c r="G22" s="50" t="s">
        <v>61</v>
      </c>
      <c r="H22" s="46" t="s">
        <v>62</v>
      </c>
    </row>
    <row r="23" customFormat="false" ht="15" hidden="false" customHeight="false" outlineLevel="0" collapsed="false">
      <c r="B23" s="55" t="str">
        <f aca="false">B14</f>
        <v>Esc. 1 · Original</v>
      </c>
      <c r="C23" s="61"/>
      <c r="D23" s="62" t="n">
        <f aca="false">IF(D$13=0,0,1-D14/D$13)</f>
        <v>0</v>
      </c>
      <c r="E23" s="62" t="n">
        <f aca="false">IF(E$13=0,0,1-E14/E$13)</f>
        <v>0</v>
      </c>
      <c r="F23" s="62" t="n">
        <f aca="false">IF(F$13=0,0,1-F14/F$13)</f>
        <v>0</v>
      </c>
      <c r="G23" s="62" t="n">
        <f aca="false">IF(G$13=0,0,1-G14/G$13)</f>
        <v>0</v>
      </c>
      <c r="H23" s="62" t="n">
        <f aca="false">IF(H$13=0,0,1-H14/H$13)</f>
        <v>0</v>
      </c>
    </row>
    <row r="24" customFormat="false" ht="15" hidden="false" customHeight="false" outlineLevel="0" collapsed="false">
      <c r="B24" s="55" t="str">
        <f aca="false">B15</f>
        <v>Esc. 2 · Sin las 4 tareas de Plan Safe</v>
      </c>
      <c r="C24" s="61"/>
      <c r="D24" s="62" t="n">
        <f aca="false">IF(D$13=0,0,1-D15/D$13)</f>
        <v>0</v>
      </c>
      <c r="E24" s="62" t="n">
        <f aca="false">IF(E$13=0,0,1-E15/E$13)</f>
        <v>0.766605088830506</v>
      </c>
      <c r="F24" s="62" t="n">
        <f aca="false">IF(F$13=0,0,1-F15/F$13)</f>
        <v>0</v>
      </c>
      <c r="G24" s="62" t="n">
        <f aca="false">IF(G$13=0,0,1-G15/G$13)</f>
        <v>0</v>
      </c>
      <c r="H24" s="62" t="n">
        <f aca="false">IF(H$13=0,0,1-H15/H$13)</f>
        <v>0.162230819930308</v>
      </c>
    </row>
    <row r="25" customFormat="false" ht="15" hidden="false" customHeight="false" outlineLevel="0" collapsed="false">
      <c r="B25" s="55" t="str">
        <f aca="false">B16</f>
        <v>Esc. 3 · Sin tareas Plan Safe ni SSC</v>
      </c>
      <c r="C25" s="61"/>
      <c r="D25" s="62" t="n">
        <f aca="false">IF(D$13=0,0,1-D16/D$13)</f>
        <v>0.192865959894306</v>
      </c>
      <c r="E25" s="62" t="n">
        <f aca="false">IF(E$13=0,0,1-E16/E$13)</f>
        <v>0.784563279701198</v>
      </c>
      <c r="F25" s="62" t="n">
        <f aca="false">IF(F$13=0,0,1-F16/F$13)</f>
        <v>0</v>
      </c>
      <c r="G25" s="62" t="n">
        <f aca="false">IF(G$13=0,0,1-G16/G$13)</f>
        <v>0</v>
      </c>
      <c r="H25" s="62" t="n">
        <f aca="false">IF(H$13=0,0,1-H16/H$13)</f>
        <v>0.316063339782428</v>
      </c>
    </row>
    <row r="26" customFormat="false" ht="15" hidden="false" customHeight="false" outlineLevel="0" collapsed="false">
      <c r="B26" s="55" t="str">
        <f aca="false">B17</f>
        <v>Esc. 4 · Sin SSC, tareas Plan Safe al 50 %</v>
      </c>
      <c r="C26" s="61"/>
      <c r="D26" s="62" t="n">
        <f aca="false">IF(D$13=0,0,1-D17/D$13)</f>
        <v>0.192865959894306</v>
      </c>
      <c r="E26" s="62" t="n">
        <f aca="false">IF(E$13=0,0,1-E17/E$13)</f>
        <v>0.401260735285945</v>
      </c>
      <c r="F26" s="62" t="n">
        <f aca="false">IF(F$13=0,0,1-F17/F$13)</f>
        <v>0</v>
      </c>
      <c r="G26" s="62" t="n">
        <f aca="false">IF(G$13=0,0,1-G17/G$13)</f>
        <v>0</v>
      </c>
      <c r="H26" s="62" t="n">
        <f aca="false">IF(H$13=0,0,1-H17/H$13)</f>
        <v>0.234947929817274</v>
      </c>
    </row>
    <row r="27" customFormat="false" ht="15" hidden="false" customHeight="false" outlineLevel="0" collapsed="false">
      <c r="B27" s="2" t="s">
        <v>151</v>
      </c>
    </row>
    <row r="29" customFormat="false" ht="15" hidden="false" customHeight="false" outlineLevel="0" collapsed="false">
      <c r="B29" s="45" t="s">
        <v>152</v>
      </c>
    </row>
    <row r="30" customFormat="false" ht="30" hidden="false" customHeight="true" outlineLevel="0" collapsed="false">
      <c r="B30" s="46" t="s">
        <v>144</v>
      </c>
      <c r="C30" s="46"/>
      <c r="D30" s="47" t="s">
        <v>29</v>
      </c>
      <c r="E30" s="48" t="s">
        <v>59</v>
      </c>
      <c r="F30" s="49" t="s">
        <v>60</v>
      </c>
      <c r="G30" s="50" t="s">
        <v>61</v>
      </c>
      <c r="H30" s="46" t="s">
        <v>62</v>
      </c>
    </row>
    <row r="31" customFormat="false" ht="15" hidden="false" customHeight="false" outlineLevel="0" collapsed="false">
      <c r="B31" s="55" t="str">
        <f aca="false">B13</f>
        <v>Oferta original (referencia)</v>
      </c>
      <c r="C31" s="61"/>
      <c r="D31" s="62" t="n">
        <f aca="false">IF($H13=0,0,D13/$H13)</f>
        <v>0.777908990372035</v>
      </c>
      <c r="E31" s="62" t="n">
        <f aca="false">IF($H13=0,0,E13/$H13)</f>
        <v>0.211622414583497</v>
      </c>
      <c r="F31" s="62" t="n">
        <f aca="false">IF($H13=0,0,F13/$H13)</f>
        <v>0</v>
      </c>
      <c r="G31" s="62" t="n">
        <f aca="false">IF($H13=0,0,G13/$H13)</f>
        <v>0.0104685950444681</v>
      </c>
      <c r="H31" s="62" t="n">
        <f aca="false">IF($H13=0,0,H13/$H13)</f>
        <v>1</v>
      </c>
    </row>
    <row r="32" customFormat="false" ht="15" hidden="false" customHeight="false" outlineLevel="0" collapsed="false">
      <c r="B32" s="55" t="str">
        <f aca="false">B14</f>
        <v>Esc. 1 · Original</v>
      </c>
      <c r="C32" s="61"/>
      <c r="D32" s="62" t="n">
        <f aca="false">IF($H14=0,0,D14/$H14)</f>
        <v>0.777908990372035</v>
      </c>
      <c r="E32" s="62" t="n">
        <f aca="false">IF($H14=0,0,E14/$H14)</f>
        <v>0.211622414583497</v>
      </c>
      <c r="F32" s="62" t="n">
        <f aca="false">IF($H14=0,0,F14/$H14)</f>
        <v>0</v>
      </c>
      <c r="G32" s="62" t="n">
        <f aca="false">IF($H14=0,0,G14/$H14)</f>
        <v>0.0104685950444681</v>
      </c>
      <c r="H32" s="62" t="n">
        <f aca="false">IF($H14=0,0,H14/$H14)</f>
        <v>1</v>
      </c>
    </row>
    <row r="33" customFormat="false" ht="15" hidden="false" customHeight="false" outlineLevel="0" collapsed="false">
      <c r="B33" s="55" t="str">
        <f aca="false">B15</f>
        <v>Esc. 2 · Sin las 4 tareas de Plan Safe</v>
      </c>
      <c r="C33" s="61"/>
      <c r="D33" s="62" t="n">
        <f aca="false">IF($H15=0,0,D15/$H15)</f>
        <v>0.928548111912308</v>
      </c>
      <c r="E33" s="62" t="n">
        <f aca="false">IF($H15=0,0,E15/$H15)</f>
        <v>0.0589560893718723</v>
      </c>
      <c r="F33" s="62" t="n">
        <f aca="false">IF($H15=0,0,F15/$H15)</f>
        <v>0</v>
      </c>
      <c r="G33" s="62" t="n">
        <f aca="false">IF($H15=0,0,G15/$H15)</f>
        <v>0.0124957987158196</v>
      </c>
      <c r="H33" s="62" t="n">
        <f aca="false">IF($H15=0,0,H15/$H15)</f>
        <v>1</v>
      </c>
    </row>
    <row r="34" customFormat="false" ht="15" hidden="false" customHeight="false" outlineLevel="0" collapsed="false">
      <c r="B34" s="55" t="str">
        <f aca="false">B16</f>
        <v>Esc. 3 · Sin tareas Plan Safe ni SSC</v>
      </c>
      <c r="C34" s="61"/>
      <c r="D34" s="62" t="n">
        <f aca="false">IF($H16=0,0,D16/$H16)</f>
        <v>0.918033588130491</v>
      </c>
      <c r="E34" s="62" t="n">
        <f aca="false">IF($H16=0,0,E16/$H16)</f>
        <v>0.0666600309523962</v>
      </c>
      <c r="F34" s="62" t="n">
        <f aca="false">IF($H16=0,0,F16/$H16)</f>
        <v>0</v>
      </c>
      <c r="G34" s="62" t="n">
        <f aca="false">IF($H16=0,0,G16/$H16)</f>
        <v>0.0153063809171128</v>
      </c>
      <c r="H34" s="62" t="n">
        <f aca="false">IF($H16=0,0,H16/$H16)</f>
        <v>1</v>
      </c>
    </row>
    <row r="35" customFormat="false" ht="15" hidden="false" customHeight="false" outlineLevel="0" collapsed="false">
      <c r="B35" s="55" t="str">
        <f aca="false">B17</f>
        <v>Esc. 4 · Sin SSC, tareas Plan Safe al 50 %</v>
      </c>
      <c r="C35" s="61"/>
      <c r="D35" s="62" t="n">
        <f aca="false">IF($H17=0,0,D17/$H17)</f>
        <v>0.820698159908984</v>
      </c>
      <c r="E35" s="62" t="n">
        <f aca="false">IF($H17=0,0,E17/$H17)</f>
        <v>0.165618333500454</v>
      </c>
      <c r="F35" s="62" t="n">
        <f aca="false">IF($H17=0,0,F17/$H17)</f>
        <v>0</v>
      </c>
      <c r="G35" s="62" t="n">
        <f aca="false">IF($H17=0,0,G17/$H17)</f>
        <v>0.0136835065905616</v>
      </c>
      <c r="H35" s="62" t="n">
        <f aca="false">IF($H17=0,0,H17/$H17)</f>
        <v>1</v>
      </c>
    </row>
    <row r="38" customFormat="false" ht="15" hidden="false" customHeight="false" outlineLevel="0" collapsed="false">
      <c r="B38" s="45" t="s">
        <v>153</v>
      </c>
    </row>
    <row r="39" customFormat="false" ht="30" hidden="false" customHeight="true" outlineLevel="0" collapsed="false">
      <c r="B39" s="46" t="s">
        <v>144</v>
      </c>
      <c r="C39" s="46"/>
      <c r="D39" s="46" t="s">
        <v>154</v>
      </c>
      <c r="E39" s="46" t="s">
        <v>155</v>
      </c>
      <c r="F39" s="46" t="s">
        <v>156</v>
      </c>
      <c r="G39" s="46" t="s">
        <v>174</v>
      </c>
      <c r="H39" s="46" t="s">
        <v>175</v>
      </c>
      <c r="I39" s="46" t="s">
        <v>178</v>
      </c>
      <c r="J39" s="46" t="s">
        <v>179</v>
      </c>
      <c r="K39" s="46" t="s">
        <v>62</v>
      </c>
      <c r="L39" s="46" t="s">
        <v>146</v>
      </c>
    </row>
    <row r="40" customFormat="false" ht="15" hidden="false" customHeight="false" outlineLevel="0" collapsed="false">
      <c r="B40" s="63" t="s">
        <v>147</v>
      </c>
      <c r="C40" s="61"/>
      <c r="D40" s="56" t="n">
        <f aca="false">'Stage 1'!F37</f>
        <v>335082.825</v>
      </c>
      <c r="E40" s="56" t="n">
        <f aca="false">'Stage 2'!F37</f>
        <v>732839.1</v>
      </c>
      <c r="F40" s="56" t="n">
        <f aca="false">'Stage 3'!F37</f>
        <v>1469323.8</v>
      </c>
      <c r="G40" s="56" t="n">
        <f aca="false">'Stage 4'!F37</f>
        <v>3183882.555</v>
      </c>
      <c r="H40" s="56" t="n">
        <f aca="false">'Stage 5'!F37</f>
        <v>540610.875</v>
      </c>
      <c r="I40" s="56" t="n">
        <f aca="false">'Stage 6'!F37</f>
        <v>775079.55</v>
      </c>
      <c r="J40" s="56" t="n">
        <f aca="false">'Stage 7'!F37</f>
        <v>493905.3</v>
      </c>
      <c r="K40" s="57" t="n">
        <f aca="false">SUM(D40:J40)</f>
        <v>7530724.005</v>
      </c>
      <c r="L40" s="64" t="s">
        <v>148</v>
      </c>
    </row>
    <row r="41" customFormat="false" ht="15" hidden="false" customHeight="false" outlineLevel="0" collapsed="false">
      <c r="B41" s="55" t="str">
        <f aca="false">B14</f>
        <v>Esc. 1 · Original</v>
      </c>
      <c r="C41" s="61"/>
      <c r="D41" s="56" t="n">
        <f aca="false">'Stage 1'!P35</f>
        <v>335082.825</v>
      </c>
      <c r="E41" s="56" t="n">
        <f aca="false">'Stage 2'!P35</f>
        <v>732839.1</v>
      </c>
      <c r="F41" s="56" t="n">
        <f aca="false">'Stage 3'!P35</f>
        <v>1469323.8</v>
      </c>
      <c r="G41" s="56" t="n">
        <f aca="false">'Stage 4'!P35</f>
        <v>3183882.555</v>
      </c>
      <c r="H41" s="56" t="n">
        <f aca="false">'Stage 5'!P35</f>
        <v>540610.875</v>
      </c>
      <c r="I41" s="56" t="n">
        <f aca="false">'Stage 6'!P35</f>
        <v>775079.55</v>
      </c>
      <c r="J41" s="56" t="n">
        <f aca="false">'Stage 7'!P35</f>
        <v>493905.3</v>
      </c>
      <c r="K41" s="57" t="n">
        <f aca="false">SUM(D41:J41)</f>
        <v>7530724.005</v>
      </c>
      <c r="L41" s="62" t="n">
        <f aca="false">IF($K$40=0,0,1-K41/$K$40)</f>
        <v>0</v>
      </c>
    </row>
    <row r="42" customFormat="false" ht="15" hidden="false" customHeight="false" outlineLevel="0" collapsed="false">
      <c r="B42" s="55" t="str">
        <f aca="false">B15</f>
        <v>Esc. 2 · Sin las 4 tareas de Plan Safe</v>
      </c>
      <c r="C42" s="61"/>
      <c r="D42" s="56" t="n">
        <f aca="false">'Stage 1'!V35</f>
        <v>227015.775</v>
      </c>
      <c r="E42" s="56" t="n">
        <f aca="false">'Stage 2'!V35</f>
        <v>573972.525</v>
      </c>
      <c r="F42" s="56" t="n">
        <f aca="false">'Stage 3'!V35</f>
        <v>1279517.4</v>
      </c>
      <c r="G42" s="56" t="n">
        <f aca="false">'Stage 4'!V35</f>
        <v>2750777.925</v>
      </c>
      <c r="H42" s="56" t="n">
        <f aca="false">'Stage 5'!V35</f>
        <v>412077.75</v>
      </c>
      <c r="I42" s="56" t="n">
        <f aca="false">'Stage 6'!V35</f>
        <v>628189.8</v>
      </c>
      <c r="J42" s="56" t="n">
        <f aca="false">'Stage 7'!V35</f>
        <v>437457.3</v>
      </c>
      <c r="K42" s="57" t="n">
        <f aca="false">SUM(D42:J42)</f>
        <v>6309008.475</v>
      </c>
      <c r="L42" s="62" t="n">
        <f aca="false">IF($K$40=0,0,1-K42/$K$40)</f>
        <v>0.162230819930308</v>
      </c>
    </row>
    <row r="43" customFormat="false" ht="15" hidden="false" customHeight="false" outlineLevel="0" collapsed="false">
      <c r="B43" s="55" t="str">
        <f aca="false">B16</f>
        <v>Esc. 3 · Sin tareas Plan Safe ni SSC</v>
      </c>
      <c r="C43" s="61"/>
      <c r="D43" s="56" t="n">
        <f aca="false">'Stage 1'!AB35</f>
        <v>227015.775</v>
      </c>
      <c r="E43" s="56" t="n">
        <f aca="false">'Stage 2'!AB35</f>
        <v>474236.7</v>
      </c>
      <c r="F43" s="56" t="n">
        <f aca="false">'Stage 3'!AB35</f>
        <v>1081475.325</v>
      </c>
      <c r="G43" s="56" t="n">
        <f aca="false">'Stage 4'!AB35</f>
        <v>2313221.4</v>
      </c>
      <c r="H43" s="56" t="n">
        <f aca="false">'Stage 5'!AB35</f>
        <v>249308.325</v>
      </c>
      <c r="I43" s="56" t="n">
        <f aca="false">'Stage 6'!AB35</f>
        <v>444017.175</v>
      </c>
      <c r="J43" s="56" t="n">
        <f aca="false">'Stage 7'!AB35</f>
        <v>361263.525</v>
      </c>
      <c r="K43" s="57" t="n">
        <f aca="false">SUM(D43:J43)</f>
        <v>5150538.225</v>
      </c>
      <c r="L43" s="62" t="n">
        <f aca="false">IF($K$40=0,0,1-K43/$K$40)</f>
        <v>0.316063339782428</v>
      </c>
    </row>
    <row r="44" customFormat="false" ht="15" hidden="false" customHeight="false" outlineLevel="0" collapsed="false">
      <c r="B44" s="55" t="str">
        <f aca="false">B17</f>
        <v>Esc. 4 · Sin SSC, tareas Plan Safe al 50 %</v>
      </c>
      <c r="C44" s="61"/>
      <c r="D44" s="56" t="n">
        <f aca="false">'Stage 1'!AH35</f>
        <v>281049.3</v>
      </c>
      <c r="E44" s="56" t="n">
        <f aca="false">'Stage 2'!AH35</f>
        <v>553669.9875</v>
      </c>
      <c r="F44" s="56" t="n">
        <f aca="false">'Stage 3'!AH35</f>
        <v>1176378.525</v>
      </c>
      <c r="G44" s="56" t="n">
        <f aca="false">'Stage 4'!AH35</f>
        <v>2529773.715</v>
      </c>
      <c r="H44" s="56" t="n">
        <f aca="false">'Stage 5'!AH35</f>
        <v>313574.8875</v>
      </c>
      <c r="I44" s="56" t="n">
        <f aca="false">'Stage 6'!AH35</f>
        <v>517462.05</v>
      </c>
      <c r="J44" s="56" t="n">
        <f aca="false">'Stage 7'!AH35</f>
        <v>389487.525</v>
      </c>
      <c r="K44" s="57" t="n">
        <f aca="false">SUM(D44:J44)</f>
        <v>5761395.99</v>
      </c>
      <c r="L44" s="62" t="n">
        <f aca="false">IF($K$40=0,0,1-K44/$K$40)</f>
        <v>0.234947929817274</v>
      </c>
    </row>
    <row r="47" customFormat="false" ht="15" hidden="false" customHeight="false" outlineLevel="0" collapsed="false">
      <c r="B47" s="45" t="s">
        <v>182</v>
      </c>
    </row>
    <row r="48" customFormat="false" ht="30" hidden="false" customHeight="true" outlineLevel="0" collapsed="false">
      <c r="B48" s="46" t="s">
        <v>144</v>
      </c>
      <c r="C48" s="46" t="s">
        <v>183</v>
      </c>
      <c r="D48" s="47" t="s">
        <v>29</v>
      </c>
      <c r="E48" s="48" t="s">
        <v>59</v>
      </c>
      <c r="F48" s="49" t="s">
        <v>60</v>
      </c>
      <c r="G48" s="50" t="s">
        <v>61</v>
      </c>
      <c r="H48" s="46" t="s">
        <v>62</v>
      </c>
      <c r="I48" s="46" t="s">
        <v>184</v>
      </c>
    </row>
    <row r="49" customFormat="false" ht="15" hidden="false" customHeight="false" outlineLevel="0" collapsed="false">
      <c r="B49" s="15" t="str">
        <f aca="false">"Oferta original (referencia)"</f>
        <v>Oferta original (referencia)</v>
      </c>
      <c r="C49" s="4" t="s">
        <v>185</v>
      </c>
      <c r="D49" s="31" t="n">
        <f aca="false">'Resumen S1-S3'!D13</f>
        <v>1882791.0675</v>
      </c>
      <c r="E49" s="31" t="n">
        <f aca="false">'Resumen S1-S3'!E13</f>
        <v>575618.5575</v>
      </c>
      <c r="F49" s="31" t="n">
        <f aca="false">'Resumen S1-S3'!F13</f>
        <v>0</v>
      </c>
      <c r="G49" s="31" t="n">
        <f aca="false">'Resumen S1-S3'!G13</f>
        <v>78836.1</v>
      </c>
      <c r="H49" s="31" t="n">
        <f aca="false">'Resumen S1-S3'!H13</f>
        <v>2537245.725</v>
      </c>
      <c r="I49" s="66" t="n">
        <f aca="false">IF($H$52=0,0,H49/$H$52)</f>
        <v>0.336919228923461</v>
      </c>
    </row>
    <row r="50" customFormat="false" ht="15" hidden="false" customHeight="false" outlineLevel="0" collapsed="false">
      <c r="C50" s="4" t="s">
        <v>186</v>
      </c>
      <c r="D50" s="31" t="n">
        <f aca="false">'Resumen S4-S5'!D13</f>
        <v>2979196.08</v>
      </c>
      <c r="E50" s="31" t="n">
        <f aca="false">'Resumen S4-S5'!E13</f>
        <v>745297.35</v>
      </c>
      <c r="F50" s="31" t="n">
        <f aca="false">'Resumen S4-S5'!F13</f>
        <v>0</v>
      </c>
      <c r="G50" s="31" t="n">
        <f aca="false">'Resumen S4-S5'!G13</f>
        <v>0</v>
      </c>
      <c r="H50" s="31" t="n">
        <f aca="false">'Resumen S4-S5'!H13</f>
        <v>3724493.43</v>
      </c>
      <c r="I50" s="66" t="n">
        <f aca="false">IF($H$52=0,0,H50/$H$52)</f>
        <v>0.494573088527363</v>
      </c>
    </row>
    <row r="51" customFormat="false" ht="15" hidden="false" customHeight="false" outlineLevel="0" collapsed="false">
      <c r="C51" s="4" t="s">
        <v>187</v>
      </c>
      <c r="D51" s="31" t="n">
        <f aca="false">'Resumen S6-S7'!D13</f>
        <v>996230.76</v>
      </c>
      <c r="E51" s="31" t="n">
        <f aca="false">'Resumen S6-S7'!E13</f>
        <v>272754.09</v>
      </c>
      <c r="F51" s="31" t="n">
        <f aca="false">'Resumen S6-S7'!F13</f>
        <v>0</v>
      </c>
      <c r="G51" s="31" t="n">
        <f aca="false">'Resumen S6-S7'!G13</f>
        <v>0</v>
      </c>
      <c r="H51" s="31" t="n">
        <f aca="false">'Resumen S6-S7'!H13</f>
        <v>1268984.85</v>
      </c>
      <c r="I51" s="66" t="n">
        <f aca="false">IF($H$52=0,0,H51/$H$52)</f>
        <v>0.168507682549176</v>
      </c>
    </row>
    <row r="52" customFormat="false" ht="15" hidden="false" customHeight="false" outlineLevel="0" collapsed="false">
      <c r="B52" s="34"/>
      <c r="C52" s="35" t="s">
        <v>188</v>
      </c>
      <c r="D52" s="36" t="n">
        <f aca="false">SUM(D49:D51)</f>
        <v>5858217.9075</v>
      </c>
      <c r="E52" s="36" t="n">
        <f aca="false">SUM(E49:E51)</f>
        <v>1593669.9975</v>
      </c>
      <c r="F52" s="36" t="n">
        <f aca="false">SUM(F49:F51)</f>
        <v>0</v>
      </c>
      <c r="G52" s="36" t="n">
        <f aca="false">SUM(G49:G51)</f>
        <v>78836.1</v>
      </c>
      <c r="H52" s="36" t="n">
        <f aca="false">SUM(H49:H51)</f>
        <v>7530724.005</v>
      </c>
      <c r="I52" s="67" t="n">
        <f aca="false">IF($H$52=0,0,H52/$H$52)</f>
        <v>1</v>
      </c>
    </row>
    <row r="54" customFormat="false" ht="15" hidden="false" customHeight="false" outlineLevel="0" collapsed="false">
      <c r="B54" s="15" t="str">
        <f aca="false">B14</f>
        <v>Esc. 1 · Original</v>
      </c>
      <c r="C54" s="4" t="s">
        <v>185</v>
      </c>
      <c r="D54" s="31" t="n">
        <f aca="false">'Resumen S1-S3'!D14</f>
        <v>1882791.0675</v>
      </c>
      <c r="E54" s="31" t="n">
        <f aca="false">'Resumen S1-S3'!E14</f>
        <v>575618.5575</v>
      </c>
      <c r="F54" s="31" t="n">
        <f aca="false">'Resumen S1-S3'!F14</f>
        <v>0</v>
      </c>
      <c r="G54" s="31" t="n">
        <f aca="false">'Resumen S1-S3'!G14</f>
        <v>78836.1</v>
      </c>
      <c r="H54" s="31" t="n">
        <f aca="false">'Resumen S1-S3'!H14</f>
        <v>2537245.725</v>
      </c>
      <c r="I54" s="66" t="n">
        <f aca="false">IF($H$57=0,0,H54/$H$57)</f>
        <v>0.336919228923461</v>
      </c>
    </row>
    <row r="55" customFormat="false" ht="15" hidden="false" customHeight="false" outlineLevel="0" collapsed="false">
      <c r="C55" s="4" t="s">
        <v>186</v>
      </c>
      <c r="D55" s="31" t="n">
        <f aca="false">'Resumen S4-S5'!D14</f>
        <v>2979196.08</v>
      </c>
      <c r="E55" s="31" t="n">
        <f aca="false">'Resumen S4-S5'!E14</f>
        <v>745297.35</v>
      </c>
      <c r="F55" s="31" t="n">
        <f aca="false">'Resumen S4-S5'!F14</f>
        <v>0</v>
      </c>
      <c r="G55" s="31" t="n">
        <f aca="false">'Resumen S4-S5'!G14</f>
        <v>0</v>
      </c>
      <c r="H55" s="31" t="n">
        <f aca="false">'Resumen S4-S5'!H14</f>
        <v>3724493.43</v>
      </c>
      <c r="I55" s="66" t="n">
        <f aca="false">IF($H$57=0,0,H55/$H$57)</f>
        <v>0.494573088527363</v>
      </c>
    </row>
    <row r="56" customFormat="false" ht="15" hidden="false" customHeight="false" outlineLevel="0" collapsed="false">
      <c r="C56" s="4" t="s">
        <v>187</v>
      </c>
      <c r="D56" s="31" t="n">
        <f aca="false">'Resumen S6-S7'!D14</f>
        <v>996230.76</v>
      </c>
      <c r="E56" s="31" t="n">
        <f aca="false">'Resumen S6-S7'!E14</f>
        <v>272754.09</v>
      </c>
      <c r="F56" s="31" t="n">
        <f aca="false">'Resumen S6-S7'!F14</f>
        <v>0</v>
      </c>
      <c r="G56" s="31" t="n">
        <f aca="false">'Resumen S6-S7'!G14</f>
        <v>0</v>
      </c>
      <c r="H56" s="31" t="n">
        <f aca="false">'Resumen S6-S7'!H14</f>
        <v>1268984.85</v>
      </c>
      <c r="I56" s="66" t="n">
        <f aca="false">IF($H$57=0,0,H56/$H$57)</f>
        <v>0.168507682549176</v>
      </c>
    </row>
    <row r="57" customFormat="false" ht="15" hidden="false" customHeight="false" outlineLevel="0" collapsed="false">
      <c r="B57" s="34"/>
      <c r="C57" s="35" t="s">
        <v>188</v>
      </c>
      <c r="D57" s="36" t="n">
        <f aca="false">SUM(D54:D56)</f>
        <v>5858217.9075</v>
      </c>
      <c r="E57" s="36" t="n">
        <f aca="false">SUM(E54:E56)</f>
        <v>1593669.9975</v>
      </c>
      <c r="F57" s="36" t="n">
        <f aca="false">SUM(F54:F56)</f>
        <v>0</v>
      </c>
      <c r="G57" s="36" t="n">
        <f aca="false">SUM(G54:G56)</f>
        <v>78836.1</v>
      </c>
      <c r="H57" s="36" t="n">
        <f aca="false">SUM(H54:H56)</f>
        <v>7530724.005</v>
      </c>
      <c r="I57" s="67" t="n">
        <f aca="false">IF($H$57=0,0,H57/$H$57)</f>
        <v>1</v>
      </c>
    </row>
    <row r="59" customFormat="false" ht="15" hidden="false" customHeight="false" outlineLevel="0" collapsed="false">
      <c r="B59" s="15" t="str">
        <f aca="false">B15</f>
        <v>Esc. 2 · Sin las 4 tareas de Plan Safe</v>
      </c>
      <c r="C59" s="4" t="s">
        <v>185</v>
      </c>
      <c r="D59" s="31" t="n">
        <f aca="false">'Resumen S1-S3'!D15</f>
        <v>1882791.0675</v>
      </c>
      <c r="E59" s="31" t="n">
        <f aca="false">'Resumen S1-S3'!E15</f>
        <v>118878.5325</v>
      </c>
      <c r="F59" s="31" t="n">
        <f aca="false">'Resumen S1-S3'!F15</f>
        <v>0</v>
      </c>
      <c r="G59" s="31" t="n">
        <f aca="false">'Resumen S1-S3'!G15</f>
        <v>78836.1</v>
      </c>
      <c r="H59" s="31" t="n">
        <f aca="false">'Resumen S1-S3'!H15</f>
        <v>2080505.7</v>
      </c>
      <c r="I59" s="66" t="n">
        <f aca="false">IF($H$62=0,0,H59/$H$62)</f>
        <v>0.329767460012803</v>
      </c>
    </row>
    <row r="60" customFormat="false" ht="15" hidden="false" customHeight="false" outlineLevel="0" collapsed="false">
      <c r="C60" s="4" t="s">
        <v>186</v>
      </c>
      <c r="D60" s="31" t="n">
        <f aca="false">'Resumen S4-S5'!D15</f>
        <v>2979196.08</v>
      </c>
      <c r="E60" s="31" t="n">
        <f aca="false">'Resumen S4-S5'!E15</f>
        <v>183659.595</v>
      </c>
      <c r="F60" s="31" t="n">
        <f aca="false">'Resumen S4-S5'!F15</f>
        <v>0</v>
      </c>
      <c r="G60" s="31" t="n">
        <f aca="false">'Resumen S4-S5'!G15</f>
        <v>0</v>
      </c>
      <c r="H60" s="31" t="n">
        <f aca="false">'Resumen S4-S5'!H15</f>
        <v>3162855.675</v>
      </c>
      <c r="I60" s="66" t="n">
        <f aca="false">IF($H$62=0,0,H60/$H$62)</f>
        <v>0.501323732173303</v>
      </c>
    </row>
    <row r="61" customFormat="false" ht="15" hidden="false" customHeight="false" outlineLevel="0" collapsed="false">
      <c r="C61" s="4" t="s">
        <v>187</v>
      </c>
      <c r="D61" s="31" t="n">
        <f aca="false">'Resumen S6-S7'!D15</f>
        <v>996230.76</v>
      </c>
      <c r="E61" s="31" t="n">
        <f aca="false">'Resumen S6-S7'!E15</f>
        <v>69416.34</v>
      </c>
      <c r="F61" s="31" t="n">
        <f aca="false">'Resumen S6-S7'!F15</f>
        <v>0</v>
      </c>
      <c r="G61" s="31" t="n">
        <f aca="false">'Resumen S6-S7'!G15</f>
        <v>0</v>
      </c>
      <c r="H61" s="31" t="n">
        <f aca="false">'Resumen S6-S7'!H15</f>
        <v>1065647.1</v>
      </c>
      <c r="I61" s="66" t="n">
        <f aca="false">IF($H$62=0,0,H61/$H$62)</f>
        <v>0.168908807813893</v>
      </c>
    </row>
    <row r="62" customFormat="false" ht="15" hidden="false" customHeight="false" outlineLevel="0" collapsed="false">
      <c r="B62" s="34"/>
      <c r="C62" s="35" t="s">
        <v>188</v>
      </c>
      <c r="D62" s="36" t="n">
        <f aca="false">SUM(D59:D61)</f>
        <v>5858217.9075</v>
      </c>
      <c r="E62" s="36" t="n">
        <f aca="false">SUM(E59:E61)</f>
        <v>371954.4675</v>
      </c>
      <c r="F62" s="36" t="n">
        <f aca="false">SUM(F59:F61)</f>
        <v>0</v>
      </c>
      <c r="G62" s="36" t="n">
        <f aca="false">SUM(G59:G61)</f>
        <v>78836.1</v>
      </c>
      <c r="H62" s="36" t="n">
        <f aca="false">SUM(H59:H61)</f>
        <v>6309008.475</v>
      </c>
      <c r="I62" s="67" t="n">
        <f aca="false">IF($H$62=0,0,H62/$H$62)</f>
        <v>1</v>
      </c>
    </row>
    <row r="64" customFormat="false" ht="15" hidden="false" customHeight="false" outlineLevel="0" collapsed="false">
      <c r="B64" s="15" t="str">
        <f aca="false">B16</f>
        <v>Esc. 3 · Sin tareas Plan Safe ni SSC</v>
      </c>
      <c r="C64" s="4" t="s">
        <v>185</v>
      </c>
      <c r="D64" s="31" t="n">
        <f aca="false">'Resumen S1-S3'!D16</f>
        <v>1585013.1675</v>
      </c>
      <c r="E64" s="31" t="n">
        <f aca="false">'Resumen S1-S3'!E16</f>
        <v>118878.5325</v>
      </c>
      <c r="F64" s="31" t="n">
        <f aca="false">'Resumen S1-S3'!F16</f>
        <v>0</v>
      </c>
      <c r="G64" s="31" t="n">
        <f aca="false">'Resumen S1-S3'!G16</f>
        <v>78836.1</v>
      </c>
      <c r="H64" s="31" t="n">
        <f aca="false">'Resumen S1-S3'!H16</f>
        <v>1782727.8</v>
      </c>
      <c r="I64" s="66" t="n">
        <f aca="false">IF($H$67=0,0,H64/$H$67)</f>
        <v>0.346124564486656</v>
      </c>
    </row>
    <row r="65" customFormat="false" ht="15" hidden="false" customHeight="false" outlineLevel="0" collapsed="false">
      <c r="C65" s="4" t="s">
        <v>186</v>
      </c>
      <c r="D65" s="31" t="n">
        <f aca="false">'Resumen S4-S5'!D16</f>
        <v>2399593.455</v>
      </c>
      <c r="E65" s="31" t="n">
        <f aca="false">'Resumen S4-S5'!E16</f>
        <v>162936.27</v>
      </c>
      <c r="F65" s="31" t="n">
        <f aca="false">'Resumen S4-S5'!F16</f>
        <v>0</v>
      </c>
      <c r="G65" s="31" t="n">
        <f aca="false">'Resumen S4-S5'!G16</f>
        <v>0</v>
      </c>
      <c r="H65" s="31" t="n">
        <f aca="false">'Resumen S4-S5'!H16</f>
        <v>2562529.725</v>
      </c>
      <c r="I65" s="66" t="n">
        <f aca="false">IF($H$67=0,0,H65/$H$67)</f>
        <v>0.497526591019524</v>
      </c>
    </row>
    <row r="66" customFormat="false" ht="15" hidden="false" customHeight="false" outlineLevel="0" collapsed="false">
      <c r="C66" s="4" t="s">
        <v>187</v>
      </c>
      <c r="D66" s="31" t="n">
        <f aca="false">'Resumen S6-S7'!D16</f>
        <v>743760.465</v>
      </c>
      <c r="E66" s="31" t="n">
        <f aca="false">'Resumen S6-S7'!E16</f>
        <v>61520.235</v>
      </c>
      <c r="F66" s="31" t="n">
        <f aca="false">'Resumen S6-S7'!F16</f>
        <v>0</v>
      </c>
      <c r="G66" s="31" t="n">
        <f aca="false">'Resumen S6-S7'!G16</f>
        <v>0</v>
      </c>
      <c r="H66" s="31" t="n">
        <f aca="false">'Resumen S6-S7'!H16</f>
        <v>805280.7</v>
      </c>
      <c r="I66" s="66" t="n">
        <f aca="false">IF($H$67=0,0,H66/$H$67)</f>
        <v>0.15634884449382</v>
      </c>
    </row>
    <row r="67" customFormat="false" ht="15" hidden="false" customHeight="false" outlineLevel="0" collapsed="false">
      <c r="B67" s="34"/>
      <c r="C67" s="35" t="s">
        <v>188</v>
      </c>
      <c r="D67" s="36" t="n">
        <f aca="false">SUM(D64:D66)</f>
        <v>4728367.0875</v>
      </c>
      <c r="E67" s="36" t="n">
        <f aca="false">SUM(E64:E66)</f>
        <v>343335.0375</v>
      </c>
      <c r="F67" s="36" t="n">
        <f aca="false">SUM(F64:F66)</f>
        <v>0</v>
      </c>
      <c r="G67" s="36" t="n">
        <f aca="false">SUM(G64:G66)</f>
        <v>78836.1</v>
      </c>
      <c r="H67" s="36" t="n">
        <f aca="false">SUM(H64:H66)</f>
        <v>5150538.225</v>
      </c>
      <c r="I67" s="67" t="n">
        <f aca="false">IF($H$67=0,0,H67/$H$67)</f>
        <v>1</v>
      </c>
    </row>
    <row r="69" customFormat="false" ht="15" hidden="false" customHeight="false" outlineLevel="0" collapsed="false">
      <c r="B69" s="15" t="str">
        <f aca="false">B17</f>
        <v>Esc. 4 · Sin SSC, tareas Plan Safe al 50 %</v>
      </c>
      <c r="C69" s="4" t="s">
        <v>185</v>
      </c>
      <c r="D69" s="31" t="n">
        <f aca="false">'Resumen S1-S3'!D17</f>
        <v>1585013.1675</v>
      </c>
      <c r="E69" s="31" t="n">
        <f aca="false">'Resumen S1-S3'!E17</f>
        <v>347248.545</v>
      </c>
      <c r="F69" s="31" t="n">
        <f aca="false">'Resumen S1-S3'!F17</f>
        <v>0</v>
      </c>
      <c r="G69" s="31" t="n">
        <f aca="false">'Resumen S1-S3'!G17</f>
        <v>78836.1</v>
      </c>
      <c r="H69" s="31" t="n">
        <f aca="false">'Resumen S1-S3'!H17</f>
        <v>2011097.8125</v>
      </c>
      <c r="I69" s="66" t="n">
        <f aca="false">IF($H$72=0,0,H69/$H$72)</f>
        <v>0.349064326769179</v>
      </c>
    </row>
    <row r="70" customFormat="false" ht="15" hidden="false" customHeight="false" outlineLevel="0" collapsed="false">
      <c r="C70" s="4" t="s">
        <v>186</v>
      </c>
      <c r="D70" s="31" t="n">
        <f aca="false">'Resumen S4-S5'!D17</f>
        <v>2399593.455</v>
      </c>
      <c r="E70" s="31" t="n">
        <f aca="false">'Resumen S4-S5'!E17</f>
        <v>443755.1475</v>
      </c>
      <c r="F70" s="31" t="n">
        <f aca="false">'Resumen S4-S5'!F17</f>
        <v>0</v>
      </c>
      <c r="G70" s="31" t="n">
        <f aca="false">'Resumen S4-S5'!G17</f>
        <v>0</v>
      </c>
      <c r="H70" s="31" t="n">
        <f aca="false">'Resumen S4-S5'!H17</f>
        <v>2843348.6025</v>
      </c>
      <c r="I70" s="66" t="n">
        <f aca="false">IF($H$72=0,0,H70/$H$72)</f>
        <v>0.49351730161148</v>
      </c>
    </row>
    <row r="71" customFormat="false" ht="15" hidden="false" customHeight="false" outlineLevel="0" collapsed="false">
      <c r="C71" s="4" t="s">
        <v>187</v>
      </c>
      <c r="D71" s="31" t="n">
        <f aca="false">'Resumen S6-S7'!D17</f>
        <v>743760.465</v>
      </c>
      <c r="E71" s="31" t="n">
        <f aca="false">'Resumen S6-S7'!E17</f>
        <v>163189.11</v>
      </c>
      <c r="F71" s="31" t="n">
        <f aca="false">'Resumen S6-S7'!F17</f>
        <v>0</v>
      </c>
      <c r="G71" s="31" t="n">
        <f aca="false">'Resumen S6-S7'!G17</f>
        <v>0</v>
      </c>
      <c r="H71" s="31" t="n">
        <f aca="false">'Resumen S6-S7'!H17</f>
        <v>906949.575</v>
      </c>
      <c r="I71" s="66" t="n">
        <f aca="false">IF($H$72=0,0,H71/$H$72)</f>
        <v>0.157418371619341</v>
      </c>
    </row>
    <row r="72" customFormat="false" ht="15" hidden="false" customHeight="false" outlineLevel="0" collapsed="false">
      <c r="B72" s="34"/>
      <c r="C72" s="35" t="s">
        <v>188</v>
      </c>
      <c r="D72" s="36" t="n">
        <f aca="false">SUM(D69:D71)</f>
        <v>4728367.0875</v>
      </c>
      <c r="E72" s="36" t="n">
        <f aca="false">SUM(E69:E71)</f>
        <v>954192.8025</v>
      </c>
      <c r="F72" s="36" t="n">
        <f aca="false">SUM(F69:F71)</f>
        <v>0</v>
      </c>
      <c r="G72" s="36" t="n">
        <f aca="false">SUM(G69:G71)</f>
        <v>78836.1</v>
      </c>
      <c r="H72" s="36" t="n">
        <f aca="false">SUM(H69:H71)</f>
        <v>5761395.99</v>
      </c>
      <c r="I72" s="67" t="n">
        <f aca="false">IF($H$72=0,0,H72/$H$72)</f>
        <v>1</v>
      </c>
    </row>
    <row r="74" customFormat="false" ht="15" hidden="false" customHeight="false" outlineLevel="0" collapsed="false">
      <c r="B74" s="65" t="s">
        <v>164</v>
      </c>
    </row>
    <row r="75" customFormat="false" ht="15" hidden="false" customHeight="false" outlineLevel="0" collapsed="false">
      <c r="B75" s="2" t="s">
        <v>165</v>
      </c>
    </row>
    <row r="76" customFormat="false" ht="15" hidden="false" customHeight="false" outlineLevel="0" collapsed="false">
      <c r="B76" s="2" t="s">
        <v>166</v>
      </c>
    </row>
    <row r="77" customFormat="false" ht="15" hidden="false" customHeight="false" outlineLevel="0" collapsed="false">
      <c r="B77" s="2" t="s">
        <v>167</v>
      </c>
    </row>
    <row r="78" customFormat="false" ht="15" hidden="false" customHeight="false" outlineLevel="0" collapsed="false">
      <c r="B78" s="2" t="s">
        <v>168</v>
      </c>
    </row>
    <row r="79" customFormat="false" ht="15" hidden="false" customHeight="false" outlineLevel="0" collapsed="false">
      <c r="B79" s="2" t="s">
        <v>169</v>
      </c>
    </row>
    <row r="80" customFormat="false" ht="15" hidden="false" customHeight="false" outlineLevel="0" collapsed="false">
      <c r="B80" s="2" t="s">
        <v>170</v>
      </c>
    </row>
    <row r="81" customFormat="false" ht="15" hidden="false" customHeight="false" outlineLevel="0" collapsed="false">
      <c r="B81" s="2" t="s">
        <v>171</v>
      </c>
    </row>
  </sheetData>
  <mergeCells count="5">
    <mergeCell ref="C5:E5"/>
    <mergeCell ref="C6:E6"/>
    <mergeCell ref="C7:E7"/>
    <mergeCell ref="C8:E8"/>
    <mergeCell ref="C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C1E"/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0"/>
    <col collapsed="false" customWidth="true" hidden="false" outlineLevel="0" max="3" min="3" style="0" width="32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9"/>
    <col collapsed="false" customWidth="true" hidden="false" outlineLevel="0" max="12" min="9" style="0" width="14"/>
  </cols>
  <sheetData>
    <row r="1" customFormat="false" ht="15" hidden="false" customHeight="false" outlineLevel="0" collapsed="false">
      <c r="A1" s="13" t="s">
        <v>189</v>
      </c>
    </row>
    <row r="2" customFormat="false" ht="15" hidden="false" customHeight="false" outlineLevel="0" collapsed="false">
      <c r="A2" s="2" t="s">
        <v>190</v>
      </c>
    </row>
    <row r="4" customFormat="false" ht="15" hidden="false" customHeight="false" outlineLevel="0" collapsed="false">
      <c r="A4" s="2" t="s">
        <v>191</v>
      </c>
    </row>
    <row r="10" customFormat="false" ht="15" hidden="false" customHeight="false" outlineLevel="0" collapsed="false">
      <c r="I10" s="68" t="s">
        <v>192</v>
      </c>
      <c r="J10" s="69" t="s">
        <v>193</v>
      </c>
      <c r="K10" s="70" t="s">
        <v>194</v>
      </c>
      <c r="L10" s="71" t="s">
        <v>195</v>
      </c>
    </row>
    <row r="11" customFormat="false" ht="42" hidden="false" customHeight="true" outlineLevel="0" collapsed="false">
      <c r="A11" s="23" t="s">
        <v>48</v>
      </c>
      <c r="B11" s="23" t="s">
        <v>49</v>
      </c>
      <c r="C11" s="23" t="s">
        <v>196</v>
      </c>
      <c r="D11" s="23" t="s">
        <v>197</v>
      </c>
      <c r="E11" s="23" t="s">
        <v>54</v>
      </c>
      <c r="F11" s="23" t="s">
        <v>55</v>
      </c>
      <c r="G11" s="23" t="s">
        <v>56</v>
      </c>
      <c r="H11" s="23" t="s">
        <v>57</v>
      </c>
      <c r="I11" s="72" t="s">
        <v>198</v>
      </c>
      <c r="J11" s="72" t="s">
        <v>199</v>
      </c>
      <c r="K11" s="72" t="s">
        <v>200</v>
      </c>
      <c r="L11" s="72" t="s">
        <v>201</v>
      </c>
    </row>
    <row r="12" customFormat="false" ht="15" hidden="false" customHeight="false" outlineLevel="0" collapsed="false">
      <c r="A12" s="15" t="s">
        <v>63</v>
      </c>
      <c r="B12" s="4" t="s">
        <v>64</v>
      </c>
      <c r="C12" s="73" t="s">
        <v>202</v>
      </c>
      <c r="D12" s="74" t="s">
        <v>29</v>
      </c>
      <c r="E12" s="75" t="n">
        <f aca="false">IF(D12="IDOM",1,IF(D12="Compartido",1-Inputs!$C$25-Inputs!$C$26,0))</f>
        <v>1</v>
      </c>
      <c r="F12" s="75" t="n">
        <f aca="false">IF(D12="Plan Safe",1,IF(D12="Compartido",Inputs!$C$25,0))</f>
        <v>0</v>
      </c>
      <c r="G12" s="75" t="n">
        <f aca="false">IF(D12="Synertec",1,IF(D12="Compartido",Inputs!$C$26,0))</f>
        <v>0</v>
      </c>
      <c r="H12" s="75" t="n">
        <f aca="false">IF(D12="INVAP",1,0)</f>
        <v>0</v>
      </c>
      <c r="I12" s="76" t="n">
        <v>1</v>
      </c>
      <c r="J12" s="76" t="n">
        <v>1</v>
      </c>
      <c r="K12" s="76" t="n">
        <v>1</v>
      </c>
      <c r="L12" s="76" t="n">
        <v>1</v>
      </c>
    </row>
    <row r="13" customFormat="false" ht="15" hidden="false" customHeight="false" outlineLevel="0" collapsed="false">
      <c r="A13" s="15" t="s">
        <v>65</v>
      </c>
      <c r="B13" s="4" t="s">
        <v>66</v>
      </c>
      <c r="C13" s="73" t="s">
        <v>203</v>
      </c>
      <c r="D13" s="74" t="s">
        <v>204</v>
      </c>
      <c r="E13" s="75" t="n">
        <f aca="false">IF(D13="IDOM",1,IF(D13="Compartido",1-Inputs!$C$25-Inputs!$C$26,0))</f>
        <v>0.9</v>
      </c>
      <c r="F13" s="75" t="n">
        <f aca="false">IF(D13="Plan Safe",1,IF(D13="Compartido",Inputs!$C$25,0))</f>
        <v>0.1</v>
      </c>
      <c r="G13" s="75" t="n">
        <f aca="false">IF(D13="Synertec",1,IF(D13="Compartido",Inputs!$C$26,0))</f>
        <v>0</v>
      </c>
      <c r="H13" s="75" t="n">
        <f aca="false">IF(D13="INVAP",1,0)</f>
        <v>0</v>
      </c>
      <c r="I13" s="76" t="n">
        <v>1</v>
      </c>
      <c r="J13" s="76" t="n">
        <v>1</v>
      </c>
      <c r="K13" s="76" t="n">
        <v>1</v>
      </c>
      <c r="L13" s="76" t="n">
        <v>1</v>
      </c>
    </row>
    <row r="14" customFormat="false" ht="15" hidden="false" customHeight="false" outlineLevel="0" collapsed="false">
      <c r="A14" s="15" t="s">
        <v>67</v>
      </c>
      <c r="B14" s="4" t="s">
        <v>68</v>
      </c>
      <c r="C14" s="73" t="s">
        <v>205</v>
      </c>
      <c r="D14" s="74" t="s">
        <v>204</v>
      </c>
      <c r="E14" s="75" t="n">
        <f aca="false">IF(D14="IDOM",1,IF(D14="Compartido",1-Inputs!$C$25-Inputs!$C$26,0))</f>
        <v>0.9</v>
      </c>
      <c r="F14" s="75" t="n">
        <f aca="false">IF(D14="Plan Safe",1,IF(D14="Compartido",Inputs!$C$25,0))</f>
        <v>0.1</v>
      </c>
      <c r="G14" s="75" t="n">
        <f aca="false">IF(D14="Synertec",1,IF(D14="Compartido",Inputs!$C$26,0))</f>
        <v>0</v>
      </c>
      <c r="H14" s="75" t="n">
        <f aca="false">IF(D14="INVAP",1,0)</f>
        <v>0</v>
      </c>
      <c r="I14" s="76" t="n">
        <v>1</v>
      </c>
      <c r="J14" s="76" t="n">
        <v>1</v>
      </c>
      <c r="K14" s="76" t="n">
        <v>1</v>
      </c>
      <c r="L14" s="76" t="n">
        <v>1</v>
      </c>
    </row>
    <row r="15" customFormat="false" ht="15" hidden="false" customHeight="false" outlineLevel="0" collapsed="false">
      <c r="A15" s="15" t="s">
        <v>69</v>
      </c>
      <c r="B15" s="4" t="s">
        <v>70</v>
      </c>
      <c r="C15" s="73" t="s">
        <v>205</v>
      </c>
      <c r="D15" s="74" t="s">
        <v>204</v>
      </c>
      <c r="E15" s="75" t="n">
        <f aca="false">IF(D15="IDOM",1,IF(D15="Compartido",1-Inputs!$C$25-Inputs!$C$26,0))</f>
        <v>0.9</v>
      </c>
      <c r="F15" s="75" t="n">
        <f aca="false">IF(D15="Plan Safe",1,IF(D15="Compartido",Inputs!$C$25,0))</f>
        <v>0.1</v>
      </c>
      <c r="G15" s="75" t="n">
        <f aca="false">IF(D15="Synertec",1,IF(D15="Compartido",Inputs!$C$26,0))</f>
        <v>0</v>
      </c>
      <c r="H15" s="75" t="n">
        <f aca="false">IF(D15="INVAP",1,0)</f>
        <v>0</v>
      </c>
      <c r="I15" s="76" t="n">
        <v>1</v>
      </c>
      <c r="J15" s="76" t="n">
        <v>1</v>
      </c>
      <c r="K15" s="76" t="n">
        <v>1</v>
      </c>
      <c r="L15" s="76" t="n">
        <v>1</v>
      </c>
    </row>
    <row r="16" customFormat="false" ht="15" hidden="false" customHeight="false" outlineLevel="0" collapsed="false">
      <c r="A16" s="15" t="s">
        <v>71</v>
      </c>
      <c r="B16" s="4" t="s">
        <v>72</v>
      </c>
      <c r="C16" s="73" t="s">
        <v>206</v>
      </c>
      <c r="D16" s="74" t="s">
        <v>204</v>
      </c>
      <c r="E16" s="75" t="n">
        <f aca="false">IF(D16="IDOM",1,IF(D16="Compartido",1-Inputs!$C$25-Inputs!$C$26,0))</f>
        <v>0.9</v>
      </c>
      <c r="F16" s="75" t="n">
        <f aca="false">IF(D16="Plan Safe",1,IF(D16="Compartido",Inputs!$C$25,0))</f>
        <v>0.1</v>
      </c>
      <c r="G16" s="75" t="n">
        <f aca="false">IF(D16="Synertec",1,IF(D16="Compartido",Inputs!$C$26,0))</f>
        <v>0</v>
      </c>
      <c r="H16" s="75" t="n">
        <f aca="false">IF(D16="INVAP",1,0)</f>
        <v>0</v>
      </c>
      <c r="I16" s="76" t="n">
        <v>1</v>
      </c>
      <c r="J16" s="76" t="n">
        <v>1</v>
      </c>
      <c r="K16" s="76" t="n">
        <v>1</v>
      </c>
      <c r="L16" s="76" t="n">
        <v>1</v>
      </c>
    </row>
    <row r="17" customFormat="false" ht="15" hidden="false" customHeight="false" outlineLevel="0" collapsed="false">
      <c r="A17" s="15" t="s">
        <v>73</v>
      </c>
      <c r="B17" s="4" t="s">
        <v>74</v>
      </c>
      <c r="C17" s="73" t="s">
        <v>206</v>
      </c>
      <c r="D17" s="74" t="s">
        <v>204</v>
      </c>
      <c r="E17" s="75" t="n">
        <f aca="false">IF(D17="IDOM",1,IF(D17="Compartido",1-Inputs!$C$25-Inputs!$C$26,0))</f>
        <v>0.9</v>
      </c>
      <c r="F17" s="75" t="n">
        <f aca="false">IF(D17="Plan Safe",1,IF(D17="Compartido",Inputs!$C$25,0))</f>
        <v>0.1</v>
      </c>
      <c r="G17" s="75" t="n">
        <f aca="false">IF(D17="Synertec",1,IF(D17="Compartido",Inputs!$C$26,0))</f>
        <v>0</v>
      </c>
      <c r="H17" s="75" t="n">
        <f aca="false">IF(D17="INVAP",1,0)</f>
        <v>0</v>
      </c>
      <c r="I17" s="76" t="n">
        <v>1</v>
      </c>
      <c r="J17" s="76" t="n">
        <v>1</v>
      </c>
      <c r="K17" s="76" t="n">
        <v>1</v>
      </c>
      <c r="L17" s="76" t="n">
        <v>1</v>
      </c>
    </row>
    <row r="18" customFormat="false" ht="15" hidden="false" customHeight="false" outlineLevel="0" collapsed="false">
      <c r="A18" s="15" t="s">
        <v>75</v>
      </c>
      <c r="B18" s="4" t="s">
        <v>76</v>
      </c>
      <c r="C18" s="73" t="s">
        <v>207</v>
      </c>
      <c r="D18" s="74" t="s">
        <v>29</v>
      </c>
      <c r="E18" s="75" t="n">
        <f aca="false">IF(D18="IDOM",1,IF(D18="Compartido",1-Inputs!$C$25-Inputs!$C$26,0))</f>
        <v>1</v>
      </c>
      <c r="F18" s="75" t="n">
        <f aca="false">IF(D18="Plan Safe",1,IF(D18="Compartido",Inputs!$C$25,0))</f>
        <v>0</v>
      </c>
      <c r="G18" s="75" t="n">
        <f aca="false">IF(D18="Synertec",1,IF(D18="Compartido",Inputs!$C$26,0))</f>
        <v>0</v>
      </c>
      <c r="H18" s="75" t="n">
        <f aca="false">IF(D18="INVAP",1,0)</f>
        <v>0</v>
      </c>
      <c r="I18" s="76" t="n">
        <v>1</v>
      </c>
      <c r="J18" s="76" t="n">
        <v>1</v>
      </c>
      <c r="K18" s="76" t="n">
        <v>1</v>
      </c>
      <c r="L18" s="76" t="n">
        <v>1</v>
      </c>
    </row>
    <row r="19" customFormat="false" ht="15" hidden="false" customHeight="false" outlineLevel="0" collapsed="false">
      <c r="A19" s="15" t="s">
        <v>77</v>
      </c>
      <c r="B19" s="4" t="s">
        <v>78</v>
      </c>
      <c r="C19" s="73" t="s">
        <v>208</v>
      </c>
      <c r="D19" s="74" t="s">
        <v>29</v>
      </c>
      <c r="E19" s="75" t="n">
        <f aca="false">IF(D19="IDOM",1,IF(D19="Compartido",1-Inputs!$C$25-Inputs!$C$26,0))</f>
        <v>1</v>
      </c>
      <c r="F19" s="75" t="n">
        <f aca="false">IF(D19="Plan Safe",1,IF(D19="Compartido",Inputs!$C$25,0))</f>
        <v>0</v>
      </c>
      <c r="G19" s="75" t="n">
        <f aca="false">IF(D19="Synertec",1,IF(D19="Compartido",Inputs!$C$26,0))</f>
        <v>0</v>
      </c>
      <c r="H19" s="75" t="n">
        <f aca="false">IF(D19="INVAP",1,0)</f>
        <v>0</v>
      </c>
      <c r="I19" s="76" t="n">
        <v>1</v>
      </c>
      <c r="J19" s="76" t="n">
        <v>1</v>
      </c>
      <c r="K19" s="76" t="n">
        <v>1</v>
      </c>
      <c r="L19" s="76" t="n">
        <v>1</v>
      </c>
    </row>
    <row r="20" customFormat="false" ht="15" hidden="false" customHeight="false" outlineLevel="0" collapsed="false">
      <c r="A20" s="15" t="s">
        <v>79</v>
      </c>
      <c r="B20" s="4" t="s">
        <v>80</v>
      </c>
      <c r="C20" s="73" t="s">
        <v>208</v>
      </c>
      <c r="D20" s="74" t="s">
        <v>29</v>
      </c>
      <c r="E20" s="75" t="n">
        <f aca="false">IF(D20="IDOM",1,IF(D20="Compartido",1-Inputs!$C$25-Inputs!$C$26,0))</f>
        <v>1</v>
      </c>
      <c r="F20" s="75" t="n">
        <f aca="false">IF(D20="Plan Safe",1,IF(D20="Compartido",Inputs!$C$25,0))</f>
        <v>0</v>
      </c>
      <c r="G20" s="75" t="n">
        <f aca="false">IF(D20="Synertec",1,IF(D20="Compartido",Inputs!$C$26,0))</f>
        <v>0</v>
      </c>
      <c r="H20" s="75" t="n">
        <f aca="false">IF(D20="INVAP",1,0)</f>
        <v>0</v>
      </c>
      <c r="I20" s="76" t="n">
        <v>1</v>
      </c>
      <c r="J20" s="76" t="n">
        <v>1</v>
      </c>
      <c r="K20" s="76" t="n">
        <v>1</v>
      </c>
      <c r="L20" s="76" t="n">
        <v>1</v>
      </c>
    </row>
    <row r="21" customFormat="false" ht="15" hidden="false" customHeight="false" outlineLevel="0" collapsed="false">
      <c r="A21" s="15" t="s">
        <v>81</v>
      </c>
      <c r="B21" s="4" t="s">
        <v>82</v>
      </c>
      <c r="C21" s="73" t="s">
        <v>209</v>
      </c>
      <c r="D21" s="74" t="s">
        <v>204</v>
      </c>
      <c r="E21" s="75" t="n">
        <f aca="false">IF(D21="IDOM",1,IF(D21="Compartido",1-Inputs!$C$25-Inputs!$C$26,0))</f>
        <v>0.9</v>
      </c>
      <c r="F21" s="75" t="n">
        <f aca="false">IF(D21="Plan Safe",1,IF(D21="Compartido",Inputs!$C$25,0))</f>
        <v>0.1</v>
      </c>
      <c r="G21" s="75" t="n">
        <f aca="false">IF(D21="Synertec",1,IF(D21="Compartido",Inputs!$C$26,0))</f>
        <v>0</v>
      </c>
      <c r="H21" s="75" t="n">
        <f aca="false">IF(D21="INVAP",1,0)</f>
        <v>0</v>
      </c>
      <c r="I21" s="76" t="n">
        <v>1</v>
      </c>
      <c r="J21" s="76" t="n">
        <v>1</v>
      </c>
      <c r="K21" s="76" t="n">
        <v>1</v>
      </c>
      <c r="L21" s="76" t="n">
        <v>1</v>
      </c>
    </row>
    <row r="22" customFormat="false" ht="15" hidden="false" customHeight="false" outlineLevel="0" collapsed="false">
      <c r="A22" s="15" t="s">
        <v>83</v>
      </c>
      <c r="B22" s="4" t="s">
        <v>84</v>
      </c>
      <c r="C22" s="73" t="s">
        <v>202</v>
      </c>
      <c r="D22" s="74" t="s">
        <v>29</v>
      </c>
      <c r="E22" s="75" t="n">
        <f aca="false">IF(D22="IDOM",1,IF(D22="Compartido",1-Inputs!$C$25-Inputs!$C$26,0))</f>
        <v>1</v>
      </c>
      <c r="F22" s="75" t="n">
        <f aca="false">IF(D22="Plan Safe",1,IF(D22="Compartido",Inputs!$C$25,0))</f>
        <v>0</v>
      </c>
      <c r="G22" s="75" t="n">
        <f aca="false">IF(D22="Synertec",1,IF(D22="Compartido",Inputs!$C$26,0))</f>
        <v>0</v>
      </c>
      <c r="H22" s="75" t="n">
        <f aca="false">IF(D22="INVAP",1,0)</f>
        <v>0</v>
      </c>
      <c r="I22" s="76" t="n">
        <v>1</v>
      </c>
      <c r="J22" s="76" t="n">
        <v>1</v>
      </c>
      <c r="K22" s="76" t="n">
        <v>1</v>
      </c>
      <c r="L22" s="76" t="n">
        <v>1</v>
      </c>
    </row>
    <row r="23" customFormat="false" ht="15" hidden="false" customHeight="false" outlineLevel="0" collapsed="false">
      <c r="A23" s="15" t="s">
        <v>85</v>
      </c>
      <c r="B23" s="4" t="s">
        <v>86</v>
      </c>
      <c r="C23" s="73" t="s">
        <v>202</v>
      </c>
      <c r="D23" s="74" t="s">
        <v>29</v>
      </c>
      <c r="E23" s="75" t="n">
        <f aca="false">IF(D23="IDOM",1,IF(D23="Compartido",1-Inputs!$C$25-Inputs!$C$26,0))</f>
        <v>1</v>
      </c>
      <c r="F23" s="75" t="n">
        <f aca="false">IF(D23="Plan Safe",1,IF(D23="Compartido",Inputs!$C$25,0))</f>
        <v>0</v>
      </c>
      <c r="G23" s="75" t="n">
        <f aca="false">IF(D23="Synertec",1,IF(D23="Compartido",Inputs!$C$26,0))</f>
        <v>0</v>
      </c>
      <c r="H23" s="75" t="n">
        <f aca="false">IF(D23="INVAP",1,0)</f>
        <v>0</v>
      </c>
      <c r="I23" s="76" t="n">
        <v>1</v>
      </c>
      <c r="J23" s="76" t="n">
        <v>1</v>
      </c>
      <c r="K23" s="76" t="n">
        <v>1</v>
      </c>
      <c r="L23" s="76" t="n">
        <v>1</v>
      </c>
    </row>
    <row r="24" customFormat="false" ht="15" hidden="false" customHeight="false" outlineLevel="0" collapsed="false">
      <c r="A24" s="15" t="s">
        <v>87</v>
      </c>
      <c r="B24" s="4" t="s">
        <v>88</v>
      </c>
      <c r="C24" s="73" t="s">
        <v>210</v>
      </c>
      <c r="D24" s="74" t="s">
        <v>29</v>
      </c>
      <c r="E24" s="75" t="n">
        <f aca="false">IF(D24="IDOM",1,IF(D24="Compartido",1-Inputs!$C$25-Inputs!$C$26,0))</f>
        <v>1</v>
      </c>
      <c r="F24" s="75" t="n">
        <f aca="false">IF(D24="Plan Safe",1,IF(D24="Compartido",Inputs!$C$25,0))</f>
        <v>0</v>
      </c>
      <c r="G24" s="75" t="n">
        <f aca="false">IF(D24="Synertec",1,IF(D24="Compartido",Inputs!$C$26,0))</f>
        <v>0</v>
      </c>
      <c r="H24" s="75" t="n">
        <f aca="false">IF(D24="INVAP",1,0)</f>
        <v>0</v>
      </c>
      <c r="I24" s="76" t="n">
        <v>1</v>
      </c>
      <c r="J24" s="76" t="n">
        <v>1</v>
      </c>
      <c r="K24" s="77" t="n">
        <v>0</v>
      </c>
      <c r="L24" s="77" t="n">
        <v>0</v>
      </c>
    </row>
    <row r="25" customFormat="false" ht="15" hidden="false" customHeight="false" outlineLevel="0" collapsed="false">
      <c r="A25" s="15" t="s">
        <v>89</v>
      </c>
      <c r="B25" s="4" t="s">
        <v>90</v>
      </c>
      <c r="C25" s="73" t="s">
        <v>210</v>
      </c>
      <c r="D25" s="74" t="s">
        <v>29</v>
      </c>
      <c r="E25" s="75" t="n">
        <f aca="false">IF(D25="IDOM",1,IF(D25="Compartido",1-Inputs!$C$25-Inputs!$C$26,0))</f>
        <v>1</v>
      </c>
      <c r="F25" s="75" t="n">
        <f aca="false">IF(D25="Plan Safe",1,IF(D25="Compartido",Inputs!$C$25,0))</f>
        <v>0</v>
      </c>
      <c r="G25" s="75" t="n">
        <f aca="false">IF(D25="Synertec",1,IF(D25="Compartido",Inputs!$C$26,0))</f>
        <v>0</v>
      </c>
      <c r="H25" s="75" t="n">
        <f aca="false">IF(D25="INVAP",1,0)</f>
        <v>0</v>
      </c>
      <c r="I25" s="76" t="n">
        <v>1</v>
      </c>
      <c r="J25" s="76" t="n">
        <v>1</v>
      </c>
      <c r="K25" s="77" t="n">
        <v>0</v>
      </c>
      <c r="L25" s="77" t="n">
        <v>0</v>
      </c>
    </row>
    <row r="26" customFormat="false" ht="15" hidden="false" customHeight="false" outlineLevel="0" collapsed="false">
      <c r="A26" s="15" t="s">
        <v>91</v>
      </c>
      <c r="B26" s="4" t="s">
        <v>92</v>
      </c>
      <c r="C26" s="73" t="s">
        <v>210</v>
      </c>
      <c r="D26" s="74" t="s">
        <v>204</v>
      </c>
      <c r="E26" s="75" t="n">
        <f aca="false">IF(D26="IDOM",1,IF(D26="Compartido",1-Inputs!$C$25-Inputs!$C$26,0))</f>
        <v>0.9</v>
      </c>
      <c r="F26" s="75" t="n">
        <f aca="false">IF(D26="Plan Safe",1,IF(D26="Compartido",Inputs!$C$25,0))</f>
        <v>0.1</v>
      </c>
      <c r="G26" s="75" t="n">
        <f aca="false">IF(D26="Synertec",1,IF(D26="Compartido",Inputs!$C$26,0))</f>
        <v>0</v>
      </c>
      <c r="H26" s="75" t="n">
        <f aca="false">IF(D26="INVAP",1,0)</f>
        <v>0</v>
      </c>
      <c r="I26" s="76" t="n">
        <v>1</v>
      </c>
      <c r="J26" s="76" t="n">
        <v>1</v>
      </c>
      <c r="K26" s="77" t="n">
        <v>0</v>
      </c>
      <c r="L26" s="77" t="n">
        <v>0</v>
      </c>
    </row>
    <row r="27" customFormat="false" ht="15" hidden="false" customHeight="false" outlineLevel="0" collapsed="false">
      <c r="A27" s="15" t="s">
        <v>93</v>
      </c>
      <c r="B27" s="4" t="s">
        <v>94</v>
      </c>
      <c r="C27" s="73" t="s">
        <v>211</v>
      </c>
      <c r="D27" s="74" t="s">
        <v>204</v>
      </c>
      <c r="E27" s="75" t="n">
        <f aca="false">IF(D27="IDOM",1,IF(D27="Compartido",1-Inputs!$C$25-Inputs!$C$26,0))</f>
        <v>0.9</v>
      </c>
      <c r="F27" s="75" t="n">
        <f aca="false">IF(D27="Plan Safe",1,IF(D27="Compartido",Inputs!$C$25,0))</f>
        <v>0.1</v>
      </c>
      <c r="G27" s="75" t="n">
        <f aca="false">IF(D27="Synertec",1,IF(D27="Compartido",Inputs!$C$26,0))</f>
        <v>0</v>
      </c>
      <c r="H27" s="75" t="n">
        <f aca="false">IF(D27="INVAP",1,0)</f>
        <v>0</v>
      </c>
      <c r="I27" s="76" t="n">
        <v>1</v>
      </c>
      <c r="J27" s="76" t="n">
        <v>1</v>
      </c>
      <c r="K27" s="76" t="n">
        <v>1</v>
      </c>
      <c r="L27" s="76" t="n">
        <v>1</v>
      </c>
    </row>
    <row r="28" customFormat="false" ht="15" hidden="false" customHeight="false" outlineLevel="0" collapsed="false">
      <c r="A28" s="15" t="s">
        <v>95</v>
      </c>
      <c r="B28" s="4" t="s">
        <v>96</v>
      </c>
      <c r="C28" s="73" t="s">
        <v>212</v>
      </c>
      <c r="D28" s="74" t="s">
        <v>204</v>
      </c>
      <c r="E28" s="75" t="n">
        <f aca="false">IF(D28="IDOM",1,IF(D28="Compartido",1-Inputs!$C$25-Inputs!$C$26,0))</f>
        <v>0.9</v>
      </c>
      <c r="F28" s="75" t="n">
        <f aca="false">IF(D28="Plan Safe",1,IF(D28="Compartido",Inputs!$C$25,0))</f>
        <v>0.1</v>
      </c>
      <c r="G28" s="75" t="n">
        <f aca="false">IF(D28="Synertec",1,IF(D28="Compartido",Inputs!$C$26,0))</f>
        <v>0</v>
      </c>
      <c r="H28" s="75" t="n">
        <f aca="false">IF(D28="INVAP",1,0)</f>
        <v>0</v>
      </c>
      <c r="I28" s="76" t="n">
        <v>1</v>
      </c>
      <c r="J28" s="76" t="n">
        <v>1</v>
      </c>
      <c r="K28" s="76" t="n">
        <v>1</v>
      </c>
      <c r="L28" s="76" t="n">
        <v>1</v>
      </c>
    </row>
    <row r="29" customFormat="false" ht="15" hidden="false" customHeight="false" outlineLevel="0" collapsed="false">
      <c r="A29" s="15" t="s">
        <v>97</v>
      </c>
      <c r="B29" s="4" t="s">
        <v>98</v>
      </c>
      <c r="C29" s="73" t="s">
        <v>208</v>
      </c>
      <c r="D29" s="74" t="s">
        <v>29</v>
      </c>
      <c r="E29" s="75" t="n">
        <f aca="false">IF(D29="IDOM",1,IF(D29="Compartido",1-Inputs!$C$25-Inputs!$C$26,0))</f>
        <v>1</v>
      </c>
      <c r="F29" s="75" t="n">
        <f aca="false">IF(D29="Plan Safe",1,IF(D29="Compartido",Inputs!$C$25,0))</f>
        <v>0</v>
      </c>
      <c r="G29" s="75" t="n">
        <f aca="false">IF(D29="Synertec",1,IF(D29="Compartido",Inputs!$C$26,0))</f>
        <v>0</v>
      </c>
      <c r="H29" s="75" t="n">
        <f aca="false">IF(D29="INVAP",1,0)</f>
        <v>0</v>
      </c>
      <c r="I29" s="76" t="n">
        <v>1</v>
      </c>
      <c r="J29" s="76" t="n">
        <v>1</v>
      </c>
      <c r="K29" s="76" t="n">
        <v>1</v>
      </c>
      <c r="L29" s="76" t="n">
        <v>1</v>
      </c>
    </row>
    <row r="30" customFormat="false" ht="15" hidden="false" customHeight="false" outlineLevel="0" collapsed="false">
      <c r="A30" s="15" t="s">
        <v>99</v>
      </c>
      <c r="B30" s="4" t="s">
        <v>100</v>
      </c>
      <c r="C30" s="73" t="s">
        <v>213</v>
      </c>
      <c r="D30" s="74" t="s">
        <v>204</v>
      </c>
      <c r="E30" s="75" t="n">
        <f aca="false">IF(D30="IDOM",1,IF(D30="Compartido",1-Inputs!$C$25-Inputs!$C$26,0))</f>
        <v>0.9</v>
      </c>
      <c r="F30" s="75" t="n">
        <f aca="false">IF(D30="Plan Safe",1,IF(D30="Compartido",Inputs!$C$25,0))</f>
        <v>0.1</v>
      </c>
      <c r="G30" s="75" t="n">
        <f aca="false">IF(D30="Synertec",1,IF(D30="Compartido",Inputs!$C$26,0))</f>
        <v>0</v>
      </c>
      <c r="H30" s="75" t="n">
        <f aca="false">IF(D30="INVAP",1,0)</f>
        <v>0</v>
      </c>
      <c r="I30" s="76" t="n">
        <v>1</v>
      </c>
      <c r="J30" s="76" t="n">
        <v>1</v>
      </c>
      <c r="K30" s="76" t="n">
        <v>1</v>
      </c>
      <c r="L30" s="76" t="n">
        <v>1</v>
      </c>
    </row>
    <row r="31" customFormat="false" ht="15" hidden="false" customHeight="false" outlineLevel="0" collapsed="false">
      <c r="A31" s="15" t="s">
        <v>101</v>
      </c>
      <c r="B31" s="4" t="s">
        <v>102</v>
      </c>
      <c r="C31" s="73" t="s">
        <v>213</v>
      </c>
      <c r="D31" s="74" t="s">
        <v>204</v>
      </c>
      <c r="E31" s="75" t="n">
        <f aca="false">IF(D31="IDOM",1,IF(D31="Compartido",1-Inputs!$C$25-Inputs!$C$26,0))</f>
        <v>0.9</v>
      </c>
      <c r="F31" s="75" t="n">
        <f aca="false">IF(D31="Plan Safe",1,IF(D31="Compartido",Inputs!$C$25,0))</f>
        <v>0.1</v>
      </c>
      <c r="G31" s="75" t="n">
        <f aca="false">IF(D31="Synertec",1,IF(D31="Compartido",Inputs!$C$26,0))</f>
        <v>0</v>
      </c>
      <c r="H31" s="75" t="n">
        <f aca="false">IF(D31="INVAP",1,0)</f>
        <v>0</v>
      </c>
      <c r="I31" s="76" t="n">
        <v>1</v>
      </c>
      <c r="J31" s="76" t="n">
        <v>1</v>
      </c>
      <c r="K31" s="76" t="n">
        <v>1</v>
      </c>
      <c r="L31" s="76" t="n">
        <v>1</v>
      </c>
    </row>
    <row r="32" customFormat="false" ht="15" hidden="false" customHeight="false" outlineLevel="0" collapsed="false">
      <c r="A32" s="15" t="s">
        <v>103</v>
      </c>
      <c r="B32" s="4" t="s">
        <v>104</v>
      </c>
      <c r="C32" s="73" t="s">
        <v>214</v>
      </c>
      <c r="D32" s="74" t="s">
        <v>61</v>
      </c>
      <c r="E32" s="75" t="n">
        <f aca="false">IF(D32="IDOM",1,IF(D32="Compartido",1-Inputs!$C$25-Inputs!$C$26,0))</f>
        <v>0</v>
      </c>
      <c r="F32" s="75" t="n">
        <f aca="false">IF(D32="Plan Safe",1,IF(D32="Compartido",Inputs!$C$25,0))</f>
        <v>0</v>
      </c>
      <c r="G32" s="75" t="n">
        <f aca="false">IF(D32="Synertec",1,IF(D32="Compartido",Inputs!$C$26,0))</f>
        <v>0</v>
      </c>
      <c r="H32" s="75" t="n">
        <f aca="false">IF(D32="INVAP",1,0)</f>
        <v>1</v>
      </c>
      <c r="I32" s="76" t="n">
        <v>1</v>
      </c>
      <c r="J32" s="76" t="n">
        <v>1</v>
      </c>
      <c r="K32" s="76" t="n">
        <v>1</v>
      </c>
      <c r="L32" s="76" t="n">
        <v>1</v>
      </c>
    </row>
    <row r="33" customFormat="false" ht="15" hidden="false" customHeight="false" outlineLevel="0" collapsed="false">
      <c r="A33" s="15" t="s">
        <v>105</v>
      </c>
      <c r="B33" s="4" t="s">
        <v>106</v>
      </c>
      <c r="C33" s="73" t="s">
        <v>215</v>
      </c>
      <c r="D33" s="74" t="s">
        <v>59</v>
      </c>
      <c r="E33" s="75" t="n">
        <f aca="false">IF(D33="IDOM",1,IF(D33="Compartido",1-Inputs!$C$25-Inputs!$C$26,0))</f>
        <v>0</v>
      </c>
      <c r="F33" s="75" t="n">
        <f aca="false">IF(D33="Plan Safe",1,IF(D33="Compartido",Inputs!$C$25,0))</f>
        <v>1</v>
      </c>
      <c r="G33" s="75" t="n">
        <f aca="false">IF(D33="Synertec",1,IF(D33="Compartido",Inputs!$C$26,0))</f>
        <v>0</v>
      </c>
      <c r="H33" s="75" t="n">
        <f aca="false">IF(D33="INVAP",1,0)</f>
        <v>0</v>
      </c>
      <c r="I33" s="76" t="n">
        <v>1</v>
      </c>
      <c r="J33" s="77" t="n">
        <v>0</v>
      </c>
      <c r="K33" s="77" t="n">
        <v>0</v>
      </c>
      <c r="L33" s="78" t="n">
        <f aca="false">Inputs!$C$27</f>
        <v>0.5</v>
      </c>
    </row>
    <row r="34" customFormat="false" ht="15" hidden="false" customHeight="false" outlineLevel="0" collapsed="false">
      <c r="A34" s="15" t="s">
        <v>107</v>
      </c>
      <c r="B34" s="4" t="s">
        <v>108</v>
      </c>
      <c r="C34" s="73" t="s">
        <v>215</v>
      </c>
      <c r="D34" s="74" t="s">
        <v>59</v>
      </c>
      <c r="E34" s="75" t="n">
        <f aca="false">IF(D34="IDOM",1,IF(D34="Compartido",1-Inputs!$C$25-Inputs!$C$26,0))</f>
        <v>0</v>
      </c>
      <c r="F34" s="75" t="n">
        <f aca="false">IF(D34="Plan Safe",1,IF(D34="Compartido",Inputs!$C$25,0))</f>
        <v>1</v>
      </c>
      <c r="G34" s="75" t="n">
        <f aca="false">IF(D34="Synertec",1,IF(D34="Compartido",Inputs!$C$26,0))</f>
        <v>0</v>
      </c>
      <c r="H34" s="75" t="n">
        <f aca="false">IF(D34="INVAP",1,0)</f>
        <v>0</v>
      </c>
      <c r="I34" s="76" t="n">
        <v>1</v>
      </c>
      <c r="J34" s="77" t="n">
        <v>0</v>
      </c>
      <c r="K34" s="77" t="n">
        <v>0</v>
      </c>
      <c r="L34" s="78" t="n">
        <f aca="false">Inputs!$C$27</f>
        <v>0.5</v>
      </c>
    </row>
    <row r="35" customFormat="false" ht="15" hidden="false" customHeight="false" outlineLevel="0" collapsed="false">
      <c r="A35" s="15" t="s">
        <v>109</v>
      </c>
      <c r="B35" s="4" t="s">
        <v>110</v>
      </c>
      <c r="C35" s="73" t="s">
        <v>215</v>
      </c>
      <c r="D35" s="74" t="s">
        <v>59</v>
      </c>
      <c r="E35" s="75" t="n">
        <f aca="false">IF(D35="IDOM",1,IF(D35="Compartido",1-Inputs!$C$25-Inputs!$C$26,0))</f>
        <v>0</v>
      </c>
      <c r="F35" s="75" t="n">
        <f aca="false">IF(D35="Plan Safe",1,IF(D35="Compartido",Inputs!$C$25,0))</f>
        <v>1</v>
      </c>
      <c r="G35" s="75" t="n">
        <f aca="false">IF(D35="Synertec",1,IF(D35="Compartido",Inputs!$C$26,0))</f>
        <v>0</v>
      </c>
      <c r="H35" s="75" t="n">
        <f aca="false">IF(D35="INVAP",1,0)</f>
        <v>0</v>
      </c>
      <c r="I35" s="76" t="n">
        <v>1</v>
      </c>
      <c r="J35" s="77" t="n">
        <v>0</v>
      </c>
      <c r="K35" s="77" t="n">
        <v>0</v>
      </c>
      <c r="L35" s="78" t="n">
        <f aca="false">Inputs!$C$27</f>
        <v>0.5</v>
      </c>
    </row>
    <row r="36" customFormat="false" ht="15" hidden="false" customHeight="false" outlineLevel="0" collapsed="false">
      <c r="A36" s="15" t="s">
        <v>111</v>
      </c>
      <c r="B36" s="4" t="s">
        <v>112</v>
      </c>
      <c r="C36" s="73" t="s">
        <v>215</v>
      </c>
      <c r="D36" s="74" t="s">
        <v>59</v>
      </c>
      <c r="E36" s="75" t="n">
        <f aca="false">IF(D36="IDOM",1,IF(D36="Compartido",1-Inputs!$C$25-Inputs!$C$26,0))</f>
        <v>0</v>
      </c>
      <c r="F36" s="75" t="n">
        <f aca="false">IF(D36="Plan Safe",1,IF(D36="Compartido",Inputs!$C$25,0))</f>
        <v>1</v>
      </c>
      <c r="G36" s="75" t="n">
        <f aca="false">IF(D36="Synertec",1,IF(D36="Compartido",Inputs!$C$26,0))</f>
        <v>0</v>
      </c>
      <c r="H36" s="75" t="n">
        <f aca="false">IF(D36="INVAP",1,0)</f>
        <v>0</v>
      </c>
      <c r="I36" s="76" t="n">
        <v>1</v>
      </c>
      <c r="J36" s="77" t="n">
        <v>0</v>
      </c>
      <c r="K36" s="77" t="n">
        <v>0</v>
      </c>
      <c r="L36" s="78" t="n">
        <f aca="false">Inputs!$C$27</f>
        <v>0.5</v>
      </c>
    </row>
    <row r="38" customFormat="false" ht="15" hidden="false" customHeight="false" outlineLevel="0" collapsed="false">
      <c r="A38" s="2" t="s">
        <v>216</v>
      </c>
    </row>
    <row r="39" customFormat="false" ht="15" hidden="false" customHeight="false" outlineLevel="0" collapsed="false">
      <c r="A39" s="2" t="s">
        <v>217</v>
      </c>
    </row>
    <row r="40" customFormat="false" ht="15" hidden="false" customHeight="false" outlineLevel="0" collapsed="false">
      <c r="A40" s="2" t="s">
        <v>218</v>
      </c>
    </row>
    <row r="41" customFormat="false" ht="15" hidden="false" customHeight="false" outlineLevel="0" collapsed="false">
      <c r="A41" s="2" t="s">
        <v>219</v>
      </c>
    </row>
  </sheetData>
  <dataValidations count="1">
    <dataValidation allowBlank="false" errorStyle="stop" operator="between" showDropDown="false" showErrorMessage="false" showInputMessage="false" sqref="D12:D36" type="list">
      <formula1>"IDOM,Compartido,Plan Safe,Synertec,INVAP"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J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3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15" hidden="false" customHeight="false" outlineLevel="0" collapsed="false">
      <c r="A1" s="13" t="s">
        <v>220</v>
      </c>
    </row>
    <row r="2" customFormat="false" ht="15" hidden="false" customHeight="false" outlineLevel="0" collapsed="false">
      <c r="A2" s="2" t="s">
        <v>221</v>
      </c>
    </row>
    <row r="4" customFormat="false" ht="15" hidden="false" customHeight="false" outlineLevel="0" collapsed="false">
      <c r="A4" s="3" t="s">
        <v>222</v>
      </c>
      <c r="B4" s="3" t="s">
        <v>223</v>
      </c>
      <c r="C4" s="3" t="s">
        <v>224</v>
      </c>
      <c r="E4" s="3" t="s">
        <v>48</v>
      </c>
      <c r="F4" s="3" t="s">
        <v>225</v>
      </c>
      <c r="G4" s="3" t="s">
        <v>222</v>
      </c>
      <c r="H4" s="3" t="s">
        <v>58</v>
      </c>
      <c r="I4" s="3" t="s">
        <v>224</v>
      </c>
      <c r="J4" s="3" t="s">
        <v>226</v>
      </c>
    </row>
    <row r="5" customFormat="false" ht="15" hidden="false" customHeight="false" outlineLevel="0" collapsed="false">
      <c r="A5" s="4" t="s">
        <v>227</v>
      </c>
      <c r="B5" s="4" t="s">
        <v>228</v>
      </c>
      <c r="C5" s="79" t="n">
        <v>256.515</v>
      </c>
      <c r="E5" s="4" t="s">
        <v>63</v>
      </c>
      <c r="F5" s="4" t="s">
        <v>105</v>
      </c>
      <c r="G5" s="4" t="s">
        <v>227</v>
      </c>
      <c r="H5" s="80" t="n">
        <v>20</v>
      </c>
      <c r="I5" s="81" t="n">
        <f aca="false">INDEX($C$5:$C$26,MATCH(G5,$A$5:$A$26,0))</f>
        <v>256.515</v>
      </c>
      <c r="J5" s="31" t="n">
        <f aca="false">H5*I5</f>
        <v>5130.3</v>
      </c>
    </row>
    <row r="6" customFormat="false" ht="15" hidden="false" customHeight="false" outlineLevel="0" collapsed="false">
      <c r="A6" s="4" t="s">
        <v>229</v>
      </c>
      <c r="B6" s="4" t="s">
        <v>230</v>
      </c>
      <c r="C6" s="79" t="n">
        <v>236.67</v>
      </c>
      <c r="E6" s="4" t="s">
        <v>63</v>
      </c>
      <c r="F6" s="4" t="s">
        <v>105</v>
      </c>
      <c r="G6" s="4" t="s">
        <v>229</v>
      </c>
      <c r="H6" s="80" t="n">
        <v>40</v>
      </c>
      <c r="I6" s="81" t="n">
        <f aca="false">INDEX($C$5:$C$26,MATCH(G6,$A$5:$A$26,0))</f>
        <v>236.67</v>
      </c>
      <c r="J6" s="31" t="n">
        <f aca="false">H6*I6</f>
        <v>9466.8</v>
      </c>
    </row>
    <row r="7" customFormat="false" ht="15" hidden="false" customHeight="false" outlineLevel="0" collapsed="false">
      <c r="A7" s="4" t="s">
        <v>231</v>
      </c>
      <c r="B7" s="4" t="s">
        <v>232</v>
      </c>
      <c r="C7" s="79" t="n">
        <v>224.175</v>
      </c>
      <c r="E7" s="4" t="s">
        <v>63</v>
      </c>
      <c r="F7" s="4" t="s">
        <v>105</v>
      </c>
      <c r="G7" s="4" t="s">
        <v>231</v>
      </c>
      <c r="H7" s="80" t="n">
        <v>40</v>
      </c>
      <c r="I7" s="81" t="n">
        <f aca="false">INDEX($C$5:$C$26,MATCH(G7,$A$5:$A$26,0))</f>
        <v>224.175</v>
      </c>
      <c r="J7" s="31" t="n">
        <f aca="false">H7*I7</f>
        <v>8967</v>
      </c>
    </row>
    <row r="8" customFormat="false" ht="15" hidden="false" customHeight="false" outlineLevel="0" collapsed="false">
      <c r="A8" s="4" t="s">
        <v>233</v>
      </c>
      <c r="B8" s="4" t="s">
        <v>234</v>
      </c>
      <c r="C8" s="79" t="n">
        <v>206.535</v>
      </c>
      <c r="E8" s="4" t="s">
        <v>63</v>
      </c>
      <c r="F8" s="4" t="s">
        <v>105</v>
      </c>
      <c r="G8" s="4" t="s">
        <v>235</v>
      </c>
      <c r="H8" s="80" t="n">
        <v>55</v>
      </c>
      <c r="I8" s="81" t="n">
        <f aca="false">INDEX($C$5:$C$26,MATCH(G8,$A$5:$A$26,0))</f>
        <v>145.53</v>
      </c>
      <c r="J8" s="31" t="n">
        <f aca="false">H8*I8</f>
        <v>8004.15</v>
      </c>
    </row>
    <row r="9" customFormat="false" ht="15" hidden="false" customHeight="false" outlineLevel="0" collapsed="false">
      <c r="A9" s="4" t="s">
        <v>236</v>
      </c>
      <c r="B9" s="4" t="s">
        <v>237</v>
      </c>
      <c r="C9" s="79" t="n">
        <v>182.28</v>
      </c>
      <c r="E9" s="4" t="s">
        <v>63</v>
      </c>
      <c r="F9" s="4" t="s">
        <v>105</v>
      </c>
      <c r="G9" s="4" t="s">
        <v>238</v>
      </c>
      <c r="H9" s="80" t="n">
        <v>30</v>
      </c>
      <c r="I9" s="81" t="n">
        <f aca="false">INDEX($C$5:$C$26,MATCH(G9,$A$5:$A$26,0))</f>
        <v>121.275</v>
      </c>
      <c r="J9" s="31" t="n">
        <f aca="false">H9*I9</f>
        <v>3638.25</v>
      </c>
    </row>
    <row r="10" customFormat="false" ht="15" hidden="false" customHeight="false" outlineLevel="0" collapsed="false">
      <c r="A10" s="4" t="s">
        <v>235</v>
      </c>
      <c r="B10" s="4" t="s">
        <v>239</v>
      </c>
      <c r="C10" s="79" t="n">
        <v>145.53</v>
      </c>
      <c r="E10" s="4" t="s">
        <v>63</v>
      </c>
      <c r="F10" s="4" t="s">
        <v>107</v>
      </c>
      <c r="G10" s="4" t="s">
        <v>227</v>
      </c>
      <c r="H10" s="80" t="n">
        <v>30</v>
      </c>
      <c r="I10" s="81" t="n">
        <f aca="false">INDEX($C$5:$C$26,MATCH(G10,$A$5:$A$26,0))</f>
        <v>256.515</v>
      </c>
      <c r="J10" s="31" t="n">
        <f aca="false">H10*I10</f>
        <v>7695.45</v>
      </c>
    </row>
    <row r="11" customFormat="false" ht="15" hidden="false" customHeight="false" outlineLevel="0" collapsed="false">
      <c r="A11" s="4" t="s">
        <v>238</v>
      </c>
      <c r="B11" s="4" t="s">
        <v>240</v>
      </c>
      <c r="C11" s="79" t="n">
        <v>121.275</v>
      </c>
      <c r="E11" s="4" t="s">
        <v>63</v>
      </c>
      <c r="F11" s="4" t="s">
        <v>107</v>
      </c>
      <c r="G11" s="4" t="s">
        <v>229</v>
      </c>
      <c r="H11" s="80" t="n">
        <v>55</v>
      </c>
      <c r="I11" s="81" t="n">
        <f aca="false">INDEX($C$5:$C$26,MATCH(G11,$A$5:$A$26,0))</f>
        <v>236.67</v>
      </c>
      <c r="J11" s="31" t="n">
        <f aca="false">H11*I11</f>
        <v>13016.85</v>
      </c>
    </row>
    <row r="12" customFormat="false" ht="15" hidden="false" customHeight="false" outlineLevel="0" collapsed="false">
      <c r="A12" s="4" t="s">
        <v>241</v>
      </c>
      <c r="B12" s="4" t="s">
        <v>242</v>
      </c>
      <c r="C12" s="79" t="n">
        <v>360.15</v>
      </c>
      <c r="E12" s="4" t="s">
        <v>63</v>
      </c>
      <c r="F12" s="4" t="s">
        <v>107</v>
      </c>
      <c r="G12" s="4" t="s">
        <v>231</v>
      </c>
      <c r="H12" s="80" t="n">
        <v>75</v>
      </c>
      <c r="I12" s="81" t="n">
        <f aca="false">INDEX($C$5:$C$26,MATCH(G12,$A$5:$A$26,0))</f>
        <v>224.175</v>
      </c>
      <c r="J12" s="31" t="n">
        <f aca="false">H12*I12</f>
        <v>16813.125</v>
      </c>
    </row>
    <row r="13" customFormat="false" ht="15" hidden="false" customHeight="false" outlineLevel="0" collapsed="false">
      <c r="A13" s="4" t="s">
        <v>243</v>
      </c>
      <c r="B13" s="4" t="s">
        <v>244</v>
      </c>
      <c r="C13" s="79" t="n">
        <v>349.125</v>
      </c>
      <c r="E13" s="4" t="s">
        <v>63</v>
      </c>
      <c r="F13" s="4" t="s">
        <v>107</v>
      </c>
      <c r="G13" s="4" t="s">
        <v>235</v>
      </c>
      <c r="H13" s="80" t="n">
        <v>105</v>
      </c>
      <c r="I13" s="81" t="n">
        <f aca="false">INDEX($C$5:$C$26,MATCH(G13,$A$5:$A$26,0))</f>
        <v>145.53</v>
      </c>
      <c r="J13" s="31" t="n">
        <f aca="false">H13*I13</f>
        <v>15280.65</v>
      </c>
    </row>
    <row r="14" customFormat="false" ht="15" hidden="false" customHeight="false" outlineLevel="0" collapsed="false">
      <c r="A14" s="4" t="s">
        <v>245</v>
      </c>
      <c r="B14" s="4" t="s">
        <v>246</v>
      </c>
      <c r="C14" s="79" t="n">
        <v>323.4</v>
      </c>
      <c r="E14" s="4" t="s">
        <v>63</v>
      </c>
      <c r="F14" s="4" t="s">
        <v>107</v>
      </c>
      <c r="G14" s="4" t="s">
        <v>238</v>
      </c>
      <c r="H14" s="80" t="n">
        <v>50</v>
      </c>
      <c r="I14" s="81" t="n">
        <f aca="false">INDEX($C$5:$C$26,MATCH(G14,$A$5:$A$26,0))</f>
        <v>121.275</v>
      </c>
      <c r="J14" s="31" t="n">
        <f aca="false">H14*I14</f>
        <v>6063.75</v>
      </c>
    </row>
    <row r="15" customFormat="false" ht="15" hidden="false" customHeight="false" outlineLevel="0" collapsed="false">
      <c r="A15" s="4" t="s">
        <v>247</v>
      </c>
      <c r="B15" s="4" t="s">
        <v>248</v>
      </c>
      <c r="C15" s="79" t="n">
        <v>360.15</v>
      </c>
      <c r="E15" s="4" t="s">
        <v>63</v>
      </c>
      <c r="F15" s="4" t="s">
        <v>249</v>
      </c>
      <c r="G15" s="4" t="s">
        <v>227</v>
      </c>
      <c r="H15" s="80" t="n">
        <v>35</v>
      </c>
      <c r="I15" s="81" t="n">
        <f aca="false">INDEX($C$5:$C$26,MATCH(G15,$A$5:$A$26,0))</f>
        <v>256.515</v>
      </c>
      <c r="J15" s="31" t="n">
        <f aca="false">H15*I15</f>
        <v>8978.025</v>
      </c>
    </row>
    <row r="16" customFormat="false" ht="15" hidden="false" customHeight="false" outlineLevel="0" collapsed="false">
      <c r="A16" s="4" t="s">
        <v>250</v>
      </c>
      <c r="B16" s="4" t="s">
        <v>251</v>
      </c>
      <c r="C16" s="79" t="n">
        <v>293.265</v>
      </c>
      <c r="E16" s="4" t="s">
        <v>63</v>
      </c>
      <c r="F16" s="4" t="s">
        <v>249</v>
      </c>
      <c r="G16" s="4" t="s">
        <v>229</v>
      </c>
      <c r="H16" s="80" t="n">
        <v>80</v>
      </c>
      <c r="I16" s="81" t="n">
        <f aca="false">INDEX($C$5:$C$26,MATCH(G16,$A$5:$A$26,0))</f>
        <v>236.67</v>
      </c>
      <c r="J16" s="31" t="n">
        <f aca="false">H16*I16</f>
        <v>18933.6</v>
      </c>
    </row>
    <row r="17" customFormat="false" ht="15" hidden="false" customHeight="false" outlineLevel="0" collapsed="false">
      <c r="A17" s="4" t="s">
        <v>252</v>
      </c>
      <c r="B17" s="4" t="s">
        <v>253</v>
      </c>
      <c r="C17" s="79" t="n">
        <v>260.19</v>
      </c>
      <c r="E17" s="4" t="s">
        <v>63</v>
      </c>
      <c r="F17" s="4" t="s">
        <v>249</v>
      </c>
      <c r="G17" s="4" t="s">
        <v>231</v>
      </c>
      <c r="H17" s="80" t="n">
        <v>95</v>
      </c>
      <c r="I17" s="81" t="n">
        <f aca="false">INDEX($C$5:$C$26,MATCH(G17,$A$5:$A$26,0))</f>
        <v>224.175</v>
      </c>
      <c r="J17" s="31" t="n">
        <f aca="false">H17*I17</f>
        <v>21296.625</v>
      </c>
    </row>
    <row r="18" customFormat="false" ht="15" hidden="false" customHeight="false" outlineLevel="0" collapsed="false">
      <c r="A18" s="4" t="s">
        <v>254</v>
      </c>
      <c r="B18" s="4" t="s">
        <v>255</v>
      </c>
      <c r="C18" s="79" t="n">
        <v>169.785</v>
      </c>
      <c r="E18" s="4" t="s">
        <v>63</v>
      </c>
      <c r="F18" s="4" t="s">
        <v>249</v>
      </c>
      <c r="G18" s="4" t="s">
        <v>236</v>
      </c>
      <c r="H18" s="80" t="n">
        <v>115</v>
      </c>
      <c r="I18" s="81" t="n">
        <f aca="false">INDEX($C$5:$C$26,MATCH(G18,$A$5:$A$26,0))</f>
        <v>182.28</v>
      </c>
      <c r="J18" s="31" t="n">
        <f aca="false">H18*I18</f>
        <v>20962.2</v>
      </c>
    </row>
    <row r="19" customFormat="false" ht="15" hidden="false" customHeight="false" outlineLevel="0" collapsed="false">
      <c r="A19" s="4" t="s">
        <v>256</v>
      </c>
      <c r="B19" s="4" t="s">
        <v>257</v>
      </c>
      <c r="C19" s="79" t="n">
        <v>151.41</v>
      </c>
      <c r="E19" s="4" t="s">
        <v>63</v>
      </c>
      <c r="F19" s="4" t="s">
        <v>249</v>
      </c>
      <c r="G19" s="4" t="s">
        <v>235</v>
      </c>
      <c r="H19" s="80" t="n">
        <v>105</v>
      </c>
      <c r="I19" s="81" t="n">
        <f aca="false">INDEX($C$5:$C$26,MATCH(G19,$A$5:$A$26,0))</f>
        <v>145.53</v>
      </c>
      <c r="J19" s="31" t="n">
        <f aca="false">H19*I19</f>
        <v>15280.65</v>
      </c>
    </row>
    <row r="20" customFormat="false" ht="15" hidden="false" customHeight="false" outlineLevel="0" collapsed="false">
      <c r="A20" s="4" t="s">
        <v>258</v>
      </c>
      <c r="B20" s="4" t="s">
        <v>259</v>
      </c>
      <c r="C20" s="79" t="n">
        <v>121.275</v>
      </c>
      <c r="E20" s="4" t="s">
        <v>65</v>
      </c>
      <c r="F20" s="4" t="s">
        <v>65</v>
      </c>
      <c r="G20" s="4" t="s">
        <v>227</v>
      </c>
      <c r="H20" s="80" t="n">
        <v>210</v>
      </c>
      <c r="I20" s="81" t="n">
        <f aca="false">INDEX($C$5:$C$26,MATCH(G20,$A$5:$A$26,0))</f>
        <v>256.515</v>
      </c>
      <c r="J20" s="31" t="n">
        <f aca="false">H20*I20</f>
        <v>53868.15</v>
      </c>
    </row>
    <row r="21" customFormat="false" ht="15" hidden="false" customHeight="false" outlineLevel="0" collapsed="false">
      <c r="A21" s="4" t="s">
        <v>260</v>
      </c>
      <c r="B21" s="4" t="s">
        <v>261</v>
      </c>
      <c r="C21" s="79" t="n">
        <v>221.235</v>
      </c>
      <c r="E21" s="4" t="s">
        <v>65</v>
      </c>
      <c r="F21" s="4" t="s">
        <v>65</v>
      </c>
      <c r="G21" s="4" t="s">
        <v>229</v>
      </c>
      <c r="H21" s="80" t="n">
        <v>180</v>
      </c>
      <c r="I21" s="81" t="n">
        <f aca="false">INDEX($C$5:$C$26,MATCH(G21,$A$5:$A$26,0))</f>
        <v>236.67</v>
      </c>
      <c r="J21" s="31" t="n">
        <f aca="false">H21*I21</f>
        <v>42600.6</v>
      </c>
    </row>
    <row r="22" customFormat="false" ht="15" hidden="false" customHeight="false" outlineLevel="0" collapsed="false">
      <c r="A22" s="4" t="s">
        <v>262</v>
      </c>
      <c r="B22" s="4" t="s">
        <v>263</v>
      </c>
      <c r="C22" s="79" t="n">
        <v>199.92</v>
      </c>
      <c r="E22" s="4" t="s">
        <v>65</v>
      </c>
      <c r="F22" s="4" t="s">
        <v>65</v>
      </c>
      <c r="G22" s="4" t="s">
        <v>231</v>
      </c>
      <c r="H22" s="80" t="n">
        <v>180</v>
      </c>
      <c r="I22" s="81" t="n">
        <f aca="false">INDEX($C$5:$C$26,MATCH(G22,$A$5:$A$26,0))</f>
        <v>224.175</v>
      </c>
      <c r="J22" s="31" t="n">
        <f aca="false">H22*I22</f>
        <v>40351.5</v>
      </c>
    </row>
    <row r="23" customFormat="false" ht="15" hidden="false" customHeight="false" outlineLevel="0" collapsed="false">
      <c r="A23" s="4" t="s">
        <v>264</v>
      </c>
      <c r="B23" s="4" t="s">
        <v>265</v>
      </c>
      <c r="C23" s="79" t="n">
        <v>102.9</v>
      </c>
      <c r="E23" s="4" t="s">
        <v>65</v>
      </c>
      <c r="F23" s="4" t="s">
        <v>65</v>
      </c>
      <c r="G23" s="4" t="s">
        <v>233</v>
      </c>
      <c r="H23" s="80" t="n">
        <v>55</v>
      </c>
      <c r="I23" s="81" t="n">
        <f aca="false">INDEX($C$5:$C$26,MATCH(G23,$A$5:$A$26,0))</f>
        <v>206.535</v>
      </c>
      <c r="J23" s="31" t="n">
        <f aca="false">H23*I23</f>
        <v>11359.425</v>
      </c>
    </row>
    <row r="24" customFormat="false" ht="15" hidden="false" customHeight="false" outlineLevel="0" collapsed="false">
      <c r="A24" s="4" t="s">
        <v>266</v>
      </c>
      <c r="B24" s="4" t="s">
        <v>267</v>
      </c>
      <c r="C24" s="79" t="n">
        <v>105.84</v>
      </c>
      <c r="E24" s="4" t="s">
        <v>65</v>
      </c>
      <c r="F24" s="4" t="s">
        <v>105</v>
      </c>
      <c r="G24" s="4" t="s">
        <v>227</v>
      </c>
      <c r="H24" s="80" t="n">
        <v>395</v>
      </c>
      <c r="I24" s="81" t="n">
        <f aca="false">INDEX($C$5:$C$26,MATCH(G24,$A$5:$A$26,0))</f>
        <v>256.515</v>
      </c>
      <c r="J24" s="31" t="n">
        <f aca="false">H24*I24</f>
        <v>101323.425</v>
      </c>
    </row>
    <row r="25" customFormat="false" ht="15" hidden="false" customHeight="false" outlineLevel="0" collapsed="false">
      <c r="A25" s="4" t="s">
        <v>268</v>
      </c>
      <c r="B25" s="4" t="s">
        <v>269</v>
      </c>
      <c r="C25" s="79" t="n">
        <v>85.26</v>
      </c>
      <c r="E25" s="4" t="s">
        <v>65</v>
      </c>
      <c r="F25" s="4" t="s">
        <v>105</v>
      </c>
      <c r="G25" s="4" t="s">
        <v>229</v>
      </c>
      <c r="H25" s="80" t="n">
        <v>380</v>
      </c>
      <c r="I25" s="81" t="n">
        <f aca="false">INDEX($C$5:$C$26,MATCH(G25,$A$5:$A$26,0))</f>
        <v>236.67</v>
      </c>
      <c r="J25" s="31" t="n">
        <f aca="false">H25*I25</f>
        <v>89934.6</v>
      </c>
    </row>
    <row r="26" customFormat="false" ht="15" hidden="false" customHeight="false" outlineLevel="0" collapsed="false">
      <c r="A26" s="4" t="s">
        <v>270</v>
      </c>
      <c r="B26" s="4" t="s">
        <v>271</v>
      </c>
      <c r="C26" s="79" t="n">
        <v>66.885</v>
      </c>
      <c r="E26" s="4" t="s">
        <v>65</v>
      </c>
      <c r="F26" s="4" t="s">
        <v>105</v>
      </c>
      <c r="G26" s="4" t="s">
        <v>231</v>
      </c>
      <c r="H26" s="80" t="n">
        <v>295</v>
      </c>
      <c r="I26" s="81" t="n">
        <f aca="false">INDEX($C$5:$C$26,MATCH(G26,$A$5:$A$26,0))</f>
        <v>224.175</v>
      </c>
      <c r="J26" s="31" t="n">
        <f aca="false">H26*I26</f>
        <v>66131.625</v>
      </c>
    </row>
    <row r="27" customFormat="false" ht="15" hidden="false" customHeight="false" outlineLevel="0" collapsed="false">
      <c r="E27" s="4" t="s">
        <v>65</v>
      </c>
      <c r="F27" s="4" t="s">
        <v>105</v>
      </c>
      <c r="G27" s="4" t="s">
        <v>233</v>
      </c>
      <c r="H27" s="80" t="n">
        <v>130</v>
      </c>
      <c r="I27" s="81" t="n">
        <f aca="false">INDEX($C$5:$C$26,MATCH(G27,$A$5:$A$26,0))</f>
        <v>206.535</v>
      </c>
      <c r="J27" s="31" t="n">
        <f aca="false">H27*I27</f>
        <v>26849.55</v>
      </c>
    </row>
    <row r="28" customFormat="false" ht="15" hidden="false" customHeight="false" outlineLevel="0" collapsed="false">
      <c r="E28" s="4" t="s">
        <v>67</v>
      </c>
      <c r="F28" s="4" t="s">
        <v>107</v>
      </c>
      <c r="G28" s="4" t="s">
        <v>227</v>
      </c>
      <c r="H28" s="80" t="n">
        <v>275</v>
      </c>
      <c r="I28" s="81" t="n">
        <f aca="false">INDEX($C$5:$C$26,MATCH(G28,$A$5:$A$26,0))</f>
        <v>256.515</v>
      </c>
      <c r="J28" s="31" t="n">
        <f aca="false">H28*I28</f>
        <v>70541.625</v>
      </c>
    </row>
    <row r="29" customFormat="false" ht="15" hidden="false" customHeight="false" outlineLevel="0" collapsed="false">
      <c r="E29" s="4" t="s">
        <v>67</v>
      </c>
      <c r="F29" s="4" t="s">
        <v>107</v>
      </c>
      <c r="G29" s="4" t="s">
        <v>229</v>
      </c>
      <c r="H29" s="80" t="n">
        <v>505</v>
      </c>
      <c r="I29" s="81" t="n">
        <f aca="false">INDEX($C$5:$C$26,MATCH(G29,$A$5:$A$26,0))</f>
        <v>236.67</v>
      </c>
      <c r="J29" s="31" t="n">
        <f aca="false">H29*I29</f>
        <v>119518.35</v>
      </c>
    </row>
    <row r="30" customFormat="false" ht="15" hidden="false" customHeight="false" outlineLevel="0" collapsed="false">
      <c r="E30" s="4" t="s">
        <v>67</v>
      </c>
      <c r="F30" s="4" t="s">
        <v>107</v>
      </c>
      <c r="G30" s="4" t="s">
        <v>231</v>
      </c>
      <c r="H30" s="80" t="n">
        <v>475</v>
      </c>
      <c r="I30" s="81" t="n">
        <f aca="false">INDEX($C$5:$C$26,MATCH(G30,$A$5:$A$26,0))</f>
        <v>224.175</v>
      </c>
      <c r="J30" s="31" t="n">
        <f aca="false">H30*I30</f>
        <v>106483.125</v>
      </c>
    </row>
    <row r="31" customFormat="false" ht="15" hidden="false" customHeight="false" outlineLevel="0" collapsed="false">
      <c r="E31" s="4" t="s">
        <v>67</v>
      </c>
      <c r="F31" s="4" t="s">
        <v>107</v>
      </c>
      <c r="G31" s="4" t="s">
        <v>233</v>
      </c>
      <c r="H31" s="80" t="n">
        <v>130</v>
      </c>
      <c r="I31" s="81" t="n">
        <f aca="false">INDEX($C$5:$C$26,MATCH(G31,$A$5:$A$26,0))</f>
        <v>206.535</v>
      </c>
      <c r="J31" s="31" t="n">
        <f aca="false">H31*I31</f>
        <v>26849.55</v>
      </c>
    </row>
    <row r="32" customFormat="false" ht="15" hidden="false" customHeight="false" outlineLevel="0" collapsed="false">
      <c r="E32" s="4" t="s">
        <v>67</v>
      </c>
      <c r="F32" s="4" t="s">
        <v>249</v>
      </c>
      <c r="G32" s="4" t="s">
        <v>227</v>
      </c>
      <c r="H32" s="80" t="n">
        <v>210</v>
      </c>
      <c r="I32" s="81" t="n">
        <f aca="false">INDEX($C$5:$C$26,MATCH(G32,$A$5:$A$26,0))</f>
        <v>256.515</v>
      </c>
      <c r="J32" s="31" t="n">
        <f aca="false">H32*I32</f>
        <v>53868.15</v>
      </c>
    </row>
    <row r="33" customFormat="false" ht="15" hidden="false" customHeight="false" outlineLevel="0" collapsed="false">
      <c r="E33" s="4" t="s">
        <v>67</v>
      </c>
      <c r="F33" s="4" t="s">
        <v>249</v>
      </c>
      <c r="G33" s="4" t="s">
        <v>229</v>
      </c>
      <c r="H33" s="80" t="n">
        <v>370</v>
      </c>
      <c r="I33" s="81" t="n">
        <f aca="false">INDEX($C$5:$C$26,MATCH(G33,$A$5:$A$26,0))</f>
        <v>236.67</v>
      </c>
      <c r="J33" s="31" t="n">
        <f aca="false">H33*I33</f>
        <v>87567.9</v>
      </c>
    </row>
    <row r="34" customFormat="false" ht="15" hidden="false" customHeight="false" outlineLevel="0" collapsed="false">
      <c r="E34" s="4" t="s">
        <v>67</v>
      </c>
      <c r="F34" s="4" t="s">
        <v>249</v>
      </c>
      <c r="G34" s="4" t="s">
        <v>231</v>
      </c>
      <c r="H34" s="80" t="n">
        <v>360</v>
      </c>
      <c r="I34" s="81" t="n">
        <f aca="false">INDEX($C$5:$C$26,MATCH(G34,$A$5:$A$26,0))</f>
        <v>224.175</v>
      </c>
      <c r="J34" s="31" t="n">
        <f aca="false">H34*I34</f>
        <v>80703</v>
      </c>
    </row>
    <row r="35" customFormat="false" ht="15" hidden="false" customHeight="false" outlineLevel="0" collapsed="false">
      <c r="E35" s="4" t="s">
        <v>67</v>
      </c>
      <c r="F35" s="4" t="s">
        <v>249</v>
      </c>
      <c r="G35" s="4" t="s">
        <v>233</v>
      </c>
      <c r="H35" s="80" t="n">
        <v>75</v>
      </c>
      <c r="I35" s="81" t="n">
        <f aca="false">INDEX($C$5:$C$26,MATCH(G35,$A$5:$A$26,0))</f>
        <v>206.535</v>
      </c>
      <c r="J35" s="31" t="n">
        <f aca="false">H35*I35</f>
        <v>15490.125</v>
      </c>
    </row>
    <row r="36" customFormat="false" ht="15" hidden="false" customHeight="false" outlineLevel="0" collapsed="false">
      <c r="E36" s="4" t="s">
        <v>67</v>
      </c>
      <c r="F36" s="4" t="s">
        <v>272</v>
      </c>
      <c r="G36" s="4" t="s">
        <v>227</v>
      </c>
      <c r="H36" s="80" t="n">
        <v>130</v>
      </c>
      <c r="I36" s="81" t="n">
        <f aca="false">INDEX($C$5:$C$26,MATCH(G36,$A$5:$A$26,0))</f>
        <v>256.515</v>
      </c>
      <c r="J36" s="31" t="n">
        <f aca="false">H36*I36</f>
        <v>33346.95</v>
      </c>
    </row>
    <row r="37" customFormat="false" ht="15" hidden="false" customHeight="false" outlineLevel="0" collapsed="false">
      <c r="E37" s="4" t="s">
        <v>67</v>
      </c>
      <c r="F37" s="4" t="s">
        <v>272</v>
      </c>
      <c r="G37" s="4" t="s">
        <v>229</v>
      </c>
      <c r="H37" s="80" t="n">
        <v>120</v>
      </c>
      <c r="I37" s="81" t="n">
        <f aca="false">INDEX($C$5:$C$26,MATCH(G37,$A$5:$A$26,0))</f>
        <v>236.67</v>
      </c>
      <c r="J37" s="31" t="n">
        <f aca="false">H37*I37</f>
        <v>28400.4</v>
      </c>
    </row>
    <row r="38" customFormat="false" ht="15" hidden="false" customHeight="false" outlineLevel="0" collapsed="false">
      <c r="E38" s="4" t="s">
        <v>67</v>
      </c>
      <c r="F38" s="4" t="s">
        <v>272</v>
      </c>
      <c r="G38" s="4" t="s">
        <v>231</v>
      </c>
      <c r="H38" s="80" t="n">
        <v>105</v>
      </c>
      <c r="I38" s="81" t="n">
        <f aca="false">INDEX($C$5:$C$26,MATCH(G38,$A$5:$A$26,0))</f>
        <v>224.175</v>
      </c>
      <c r="J38" s="31" t="n">
        <f aca="false">H38*I38</f>
        <v>23538.375</v>
      </c>
    </row>
    <row r="39" customFormat="false" ht="15" hidden="false" customHeight="false" outlineLevel="0" collapsed="false">
      <c r="E39" s="4" t="s">
        <v>67</v>
      </c>
      <c r="F39" s="4" t="s">
        <v>272</v>
      </c>
      <c r="G39" s="4" t="s">
        <v>233</v>
      </c>
      <c r="H39" s="80" t="n">
        <v>35</v>
      </c>
      <c r="I39" s="81" t="n">
        <f aca="false">INDEX($C$5:$C$26,MATCH(G39,$A$5:$A$26,0))</f>
        <v>206.535</v>
      </c>
      <c r="J39" s="31" t="n">
        <f aca="false">H39*I39</f>
        <v>7228.725</v>
      </c>
    </row>
    <row r="40" customFormat="false" ht="15" hidden="false" customHeight="false" outlineLevel="0" collapsed="false">
      <c r="E40" s="4" t="s">
        <v>67</v>
      </c>
      <c r="F40" s="4" t="s">
        <v>273</v>
      </c>
      <c r="G40" s="4" t="s">
        <v>227</v>
      </c>
      <c r="H40" s="80" t="n">
        <v>65</v>
      </c>
      <c r="I40" s="81" t="n">
        <f aca="false">INDEX($C$5:$C$26,MATCH(G40,$A$5:$A$26,0))</f>
        <v>256.515</v>
      </c>
      <c r="J40" s="31" t="n">
        <f aca="false">H40*I40</f>
        <v>16673.475</v>
      </c>
    </row>
    <row r="41" customFormat="false" ht="15" hidden="false" customHeight="false" outlineLevel="0" collapsed="false">
      <c r="E41" s="4" t="s">
        <v>67</v>
      </c>
      <c r="F41" s="4" t="s">
        <v>273</v>
      </c>
      <c r="G41" s="4" t="s">
        <v>229</v>
      </c>
      <c r="H41" s="80" t="n">
        <v>75</v>
      </c>
      <c r="I41" s="81" t="n">
        <f aca="false">INDEX($C$5:$C$26,MATCH(G41,$A$5:$A$26,0))</f>
        <v>236.67</v>
      </c>
      <c r="J41" s="31" t="n">
        <f aca="false">H41*I41</f>
        <v>17750.25</v>
      </c>
    </row>
    <row r="42" customFormat="false" ht="15" hidden="false" customHeight="false" outlineLevel="0" collapsed="false">
      <c r="E42" s="4" t="s">
        <v>67</v>
      </c>
      <c r="F42" s="4" t="s">
        <v>273</v>
      </c>
      <c r="G42" s="4" t="s">
        <v>231</v>
      </c>
      <c r="H42" s="80" t="n">
        <v>65</v>
      </c>
      <c r="I42" s="81" t="n">
        <f aca="false">INDEX($C$5:$C$26,MATCH(G42,$A$5:$A$26,0))</f>
        <v>224.175</v>
      </c>
      <c r="J42" s="31" t="n">
        <f aca="false">H42*I42</f>
        <v>14571.375</v>
      </c>
    </row>
    <row r="43" customFormat="false" ht="15" hidden="false" customHeight="false" outlineLevel="0" collapsed="false">
      <c r="E43" s="4" t="s">
        <v>67</v>
      </c>
      <c r="F43" s="4" t="s">
        <v>273</v>
      </c>
      <c r="G43" s="4" t="s">
        <v>233</v>
      </c>
      <c r="H43" s="80" t="n">
        <v>40</v>
      </c>
      <c r="I43" s="81" t="n">
        <f aca="false">INDEX($C$5:$C$26,MATCH(G43,$A$5:$A$26,0))</f>
        <v>206.535</v>
      </c>
      <c r="J43" s="31" t="n">
        <f aca="false">H43*I43</f>
        <v>8261.4</v>
      </c>
    </row>
    <row r="44" customFormat="false" ht="15" hidden="false" customHeight="false" outlineLevel="0" collapsed="false">
      <c r="E44" s="4" t="s">
        <v>69</v>
      </c>
      <c r="F44" s="4" t="s">
        <v>249</v>
      </c>
      <c r="G44" s="4" t="s">
        <v>227</v>
      </c>
      <c r="H44" s="80" t="n">
        <v>180</v>
      </c>
      <c r="I44" s="81" t="n">
        <f aca="false">INDEX($C$5:$C$26,MATCH(G44,$A$5:$A$26,0))</f>
        <v>256.515</v>
      </c>
      <c r="J44" s="31" t="n">
        <f aca="false">H44*I44</f>
        <v>46172.7</v>
      </c>
    </row>
    <row r="45" customFormat="false" ht="15" hidden="false" customHeight="false" outlineLevel="0" collapsed="false">
      <c r="E45" s="4" t="s">
        <v>69</v>
      </c>
      <c r="F45" s="4" t="s">
        <v>249</v>
      </c>
      <c r="G45" s="4" t="s">
        <v>229</v>
      </c>
      <c r="H45" s="80" t="n">
        <v>380</v>
      </c>
      <c r="I45" s="81" t="n">
        <f aca="false">INDEX($C$5:$C$26,MATCH(G45,$A$5:$A$26,0))</f>
        <v>236.67</v>
      </c>
      <c r="J45" s="31" t="n">
        <f aca="false">H45*I45</f>
        <v>89934.6</v>
      </c>
    </row>
    <row r="46" customFormat="false" ht="15" hidden="false" customHeight="false" outlineLevel="0" collapsed="false">
      <c r="E46" s="4" t="s">
        <v>69</v>
      </c>
      <c r="F46" s="4" t="s">
        <v>249</v>
      </c>
      <c r="G46" s="4" t="s">
        <v>231</v>
      </c>
      <c r="H46" s="80" t="n">
        <v>315</v>
      </c>
      <c r="I46" s="81" t="n">
        <f aca="false">INDEX($C$5:$C$26,MATCH(G46,$A$5:$A$26,0))</f>
        <v>224.175</v>
      </c>
      <c r="J46" s="31" t="n">
        <f aca="false">H46*I46</f>
        <v>70615.125</v>
      </c>
    </row>
    <row r="47" customFormat="false" ht="15" hidden="false" customHeight="false" outlineLevel="0" collapsed="false">
      <c r="E47" s="4" t="s">
        <v>69</v>
      </c>
      <c r="F47" s="4" t="s">
        <v>249</v>
      </c>
      <c r="G47" s="4" t="s">
        <v>233</v>
      </c>
      <c r="H47" s="80" t="n">
        <v>75</v>
      </c>
      <c r="I47" s="81" t="n">
        <f aca="false">INDEX($C$5:$C$26,MATCH(G47,$A$5:$A$26,0))</f>
        <v>206.535</v>
      </c>
      <c r="J47" s="31" t="n">
        <f aca="false">H47*I47</f>
        <v>15490.125</v>
      </c>
    </row>
    <row r="48" customFormat="false" ht="15" hidden="false" customHeight="false" outlineLevel="0" collapsed="false">
      <c r="E48" s="4" t="s">
        <v>69</v>
      </c>
      <c r="F48" s="4" t="s">
        <v>272</v>
      </c>
      <c r="G48" s="4" t="s">
        <v>227</v>
      </c>
      <c r="H48" s="80" t="n">
        <v>40</v>
      </c>
      <c r="I48" s="81" t="n">
        <f aca="false">INDEX($C$5:$C$26,MATCH(G48,$A$5:$A$26,0))</f>
        <v>256.515</v>
      </c>
      <c r="J48" s="31" t="n">
        <f aca="false">H48*I48</f>
        <v>10260.6</v>
      </c>
    </row>
    <row r="49" customFormat="false" ht="15" hidden="false" customHeight="false" outlineLevel="0" collapsed="false">
      <c r="E49" s="4" t="s">
        <v>69</v>
      </c>
      <c r="F49" s="4" t="s">
        <v>272</v>
      </c>
      <c r="G49" s="4" t="s">
        <v>229</v>
      </c>
      <c r="H49" s="80" t="n">
        <v>65</v>
      </c>
      <c r="I49" s="81" t="n">
        <f aca="false">INDEX($C$5:$C$26,MATCH(G49,$A$5:$A$26,0))</f>
        <v>236.67</v>
      </c>
      <c r="J49" s="31" t="n">
        <f aca="false">H49*I49</f>
        <v>15383.55</v>
      </c>
    </row>
    <row r="50" customFormat="false" ht="15" hidden="false" customHeight="false" outlineLevel="0" collapsed="false">
      <c r="E50" s="4" t="s">
        <v>69</v>
      </c>
      <c r="F50" s="4" t="s">
        <v>272</v>
      </c>
      <c r="G50" s="4" t="s">
        <v>231</v>
      </c>
      <c r="H50" s="80" t="n">
        <v>60</v>
      </c>
      <c r="I50" s="81" t="n">
        <f aca="false">INDEX($C$5:$C$26,MATCH(G50,$A$5:$A$26,0))</f>
        <v>224.175</v>
      </c>
      <c r="J50" s="31" t="n">
        <f aca="false">H50*I50</f>
        <v>13450.5</v>
      </c>
    </row>
    <row r="51" customFormat="false" ht="15" hidden="false" customHeight="false" outlineLevel="0" collapsed="false">
      <c r="E51" s="4" t="s">
        <v>69</v>
      </c>
      <c r="F51" s="4" t="s">
        <v>272</v>
      </c>
      <c r="G51" s="4" t="s">
        <v>233</v>
      </c>
      <c r="H51" s="80" t="n">
        <v>15</v>
      </c>
      <c r="I51" s="81" t="n">
        <f aca="false">INDEX($C$5:$C$26,MATCH(G51,$A$5:$A$26,0))</f>
        <v>206.535</v>
      </c>
      <c r="J51" s="31" t="n">
        <f aca="false">H51*I51</f>
        <v>3098.025</v>
      </c>
    </row>
    <row r="52" customFormat="false" ht="15" hidden="false" customHeight="false" outlineLevel="0" collapsed="false">
      <c r="E52" s="4" t="s">
        <v>69</v>
      </c>
      <c r="F52" s="4" t="s">
        <v>273</v>
      </c>
      <c r="G52" s="4" t="s">
        <v>227</v>
      </c>
      <c r="H52" s="80" t="n">
        <v>30</v>
      </c>
      <c r="I52" s="81" t="n">
        <f aca="false">INDEX($C$5:$C$26,MATCH(G52,$A$5:$A$26,0))</f>
        <v>256.515</v>
      </c>
      <c r="J52" s="31" t="n">
        <f aca="false">H52*I52</f>
        <v>7695.45</v>
      </c>
    </row>
    <row r="53" customFormat="false" ht="15" hidden="false" customHeight="false" outlineLevel="0" collapsed="false">
      <c r="E53" s="4" t="s">
        <v>69</v>
      </c>
      <c r="F53" s="4" t="s">
        <v>273</v>
      </c>
      <c r="G53" s="4" t="s">
        <v>229</v>
      </c>
      <c r="H53" s="80" t="n">
        <v>40</v>
      </c>
      <c r="I53" s="81" t="n">
        <f aca="false">INDEX($C$5:$C$26,MATCH(G53,$A$5:$A$26,0))</f>
        <v>236.67</v>
      </c>
      <c r="J53" s="31" t="n">
        <f aca="false">H53*I53</f>
        <v>9466.8</v>
      </c>
    </row>
    <row r="54" customFormat="false" ht="15" hidden="false" customHeight="false" outlineLevel="0" collapsed="false">
      <c r="E54" s="4" t="s">
        <v>69</v>
      </c>
      <c r="F54" s="4" t="s">
        <v>273</v>
      </c>
      <c r="G54" s="4" t="s">
        <v>231</v>
      </c>
      <c r="H54" s="80" t="n">
        <v>30</v>
      </c>
      <c r="I54" s="81" t="n">
        <f aca="false">INDEX($C$5:$C$26,MATCH(G54,$A$5:$A$26,0))</f>
        <v>224.175</v>
      </c>
      <c r="J54" s="31" t="n">
        <f aca="false">H54*I54</f>
        <v>6725.25</v>
      </c>
    </row>
    <row r="55" customFormat="false" ht="15" hidden="false" customHeight="false" outlineLevel="0" collapsed="false">
      <c r="E55" s="4" t="s">
        <v>69</v>
      </c>
      <c r="F55" s="4" t="s">
        <v>273</v>
      </c>
      <c r="G55" s="4" t="s">
        <v>233</v>
      </c>
      <c r="H55" s="80" t="n">
        <v>15</v>
      </c>
      <c r="I55" s="81" t="n">
        <f aca="false">INDEX($C$5:$C$26,MATCH(G55,$A$5:$A$26,0))</f>
        <v>206.535</v>
      </c>
      <c r="J55" s="31" t="n">
        <f aca="false">H55*I55</f>
        <v>3098.025</v>
      </c>
    </row>
    <row r="56" customFormat="false" ht="15" hidden="false" customHeight="false" outlineLevel="0" collapsed="false">
      <c r="E56" s="4" t="s">
        <v>71</v>
      </c>
      <c r="F56" s="4" t="s">
        <v>105</v>
      </c>
      <c r="G56" s="4" t="s">
        <v>227</v>
      </c>
      <c r="H56" s="80" t="n">
        <v>95</v>
      </c>
      <c r="I56" s="81" t="n">
        <f aca="false">INDEX($C$5:$C$26,MATCH(G56,$A$5:$A$26,0))</f>
        <v>256.515</v>
      </c>
      <c r="J56" s="31" t="n">
        <f aca="false">H56*I56</f>
        <v>24368.925</v>
      </c>
    </row>
    <row r="57" customFormat="false" ht="15" hidden="false" customHeight="false" outlineLevel="0" collapsed="false">
      <c r="E57" s="4" t="s">
        <v>71</v>
      </c>
      <c r="F57" s="4" t="s">
        <v>105</v>
      </c>
      <c r="G57" s="4" t="s">
        <v>229</v>
      </c>
      <c r="H57" s="80" t="n">
        <v>140</v>
      </c>
      <c r="I57" s="81" t="n">
        <f aca="false">INDEX($C$5:$C$26,MATCH(G57,$A$5:$A$26,0))</f>
        <v>236.67</v>
      </c>
      <c r="J57" s="31" t="n">
        <f aca="false">H57*I57</f>
        <v>33133.8</v>
      </c>
    </row>
    <row r="58" customFormat="false" ht="15" hidden="false" customHeight="false" outlineLevel="0" collapsed="false">
      <c r="E58" s="4" t="s">
        <v>71</v>
      </c>
      <c r="F58" s="4" t="s">
        <v>105</v>
      </c>
      <c r="G58" s="4" t="s">
        <v>231</v>
      </c>
      <c r="H58" s="80" t="n">
        <v>105</v>
      </c>
      <c r="I58" s="81" t="n">
        <f aca="false">INDEX($C$5:$C$26,MATCH(G58,$A$5:$A$26,0))</f>
        <v>224.175</v>
      </c>
      <c r="J58" s="31" t="n">
        <f aca="false">H58*I58</f>
        <v>23538.375</v>
      </c>
    </row>
    <row r="59" customFormat="false" ht="15" hidden="false" customHeight="false" outlineLevel="0" collapsed="false">
      <c r="E59" s="4" t="s">
        <v>71</v>
      </c>
      <c r="F59" s="4" t="s">
        <v>105</v>
      </c>
      <c r="G59" s="4" t="s">
        <v>233</v>
      </c>
      <c r="H59" s="80" t="n">
        <v>45</v>
      </c>
      <c r="I59" s="81" t="n">
        <f aca="false">INDEX($C$5:$C$26,MATCH(G59,$A$5:$A$26,0))</f>
        <v>206.535</v>
      </c>
      <c r="J59" s="31" t="n">
        <f aca="false">H59*I59</f>
        <v>9294.075</v>
      </c>
    </row>
    <row r="60" customFormat="false" ht="15" hidden="false" customHeight="false" outlineLevel="0" collapsed="false">
      <c r="E60" s="4" t="s">
        <v>71</v>
      </c>
      <c r="F60" s="4" t="s">
        <v>107</v>
      </c>
      <c r="G60" s="4" t="s">
        <v>227</v>
      </c>
      <c r="H60" s="80" t="n">
        <v>130</v>
      </c>
      <c r="I60" s="81" t="n">
        <f aca="false">INDEX($C$5:$C$26,MATCH(G60,$A$5:$A$26,0))</f>
        <v>256.515</v>
      </c>
      <c r="J60" s="31" t="n">
        <f aca="false">H60*I60</f>
        <v>33346.95</v>
      </c>
    </row>
    <row r="61" customFormat="false" ht="15" hidden="false" customHeight="false" outlineLevel="0" collapsed="false">
      <c r="E61" s="4" t="s">
        <v>71</v>
      </c>
      <c r="F61" s="4" t="s">
        <v>107</v>
      </c>
      <c r="G61" s="4" t="s">
        <v>229</v>
      </c>
      <c r="H61" s="80" t="n">
        <v>245</v>
      </c>
      <c r="I61" s="81" t="n">
        <f aca="false">INDEX($C$5:$C$26,MATCH(G61,$A$5:$A$26,0))</f>
        <v>236.67</v>
      </c>
      <c r="J61" s="31" t="n">
        <f aca="false">H61*I61</f>
        <v>57984.15</v>
      </c>
    </row>
    <row r="62" customFormat="false" ht="15" hidden="false" customHeight="false" outlineLevel="0" collapsed="false">
      <c r="E62" s="4" t="s">
        <v>71</v>
      </c>
      <c r="F62" s="4" t="s">
        <v>107</v>
      </c>
      <c r="G62" s="4" t="s">
        <v>231</v>
      </c>
      <c r="H62" s="80" t="n">
        <v>200</v>
      </c>
      <c r="I62" s="81" t="n">
        <f aca="false">INDEX($C$5:$C$26,MATCH(G62,$A$5:$A$26,0))</f>
        <v>224.175</v>
      </c>
      <c r="J62" s="31" t="n">
        <f aca="false">H62*I62</f>
        <v>44835</v>
      </c>
    </row>
    <row r="63" customFormat="false" ht="15" hidden="false" customHeight="false" outlineLevel="0" collapsed="false">
      <c r="E63" s="4" t="s">
        <v>71</v>
      </c>
      <c r="F63" s="4" t="s">
        <v>107</v>
      </c>
      <c r="G63" s="4" t="s">
        <v>233</v>
      </c>
      <c r="H63" s="80" t="n">
        <v>75</v>
      </c>
      <c r="I63" s="81" t="n">
        <f aca="false">INDEX($C$5:$C$26,MATCH(G63,$A$5:$A$26,0))</f>
        <v>206.535</v>
      </c>
      <c r="J63" s="31" t="n">
        <f aca="false">H63*I63</f>
        <v>15490.125</v>
      </c>
    </row>
    <row r="64" customFormat="false" ht="15" hidden="false" customHeight="false" outlineLevel="0" collapsed="false">
      <c r="E64" s="4" t="s">
        <v>71</v>
      </c>
      <c r="F64" s="4" t="s">
        <v>249</v>
      </c>
      <c r="G64" s="4" t="s">
        <v>227</v>
      </c>
      <c r="H64" s="80" t="n">
        <v>190</v>
      </c>
      <c r="I64" s="81" t="n">
        <f aca="false">INDEX($C$5:$C$26,MATCH(G64,$A$5:$A$26,0))</f>
        <v>256.515</v>
      </c>
      <c r="J64" s="31" t="n">
        <f aca="false">H64*I64</f>
        <v>48737.85</v>
      </c>
    </row>
    <row r="65" customFormat="false" ht="15" hidden="false" customHeight="false" outlineLevel="0" collapsed="false">
      <c r="E65" s="4" t="s">
        <v>71</v>
      </c>
      <c r="F65" s="4" t="s">
        <v>249</v>
      </c>
      <c r="G65" s="4" t="s">
        <v>229</v>
      </c>
      <c r="H65" s="80" t="n">
        <v>350</v>
      </c>
      <c r="I65" s="81" t="n">
        <f aca="false">INDEX($C$5:$C$26,MATCH(G65,$A$5:$A$26,0))</f>
        <v>236.67</v>
      </c>
      <c r="J65" s="31" t="n">
        <f aca="false">H65*I65</f>
        <v>82834.5</v>
      </c>
    </row>
    <row r="66" customFormat="false" ht="15" hidden="false" customHeight="false" outlineLevel="0" collapsed="false">
      <c r="E66" s="4" t="s">
        <v>71</v>
      </c>
      <c r="F66" s="4" t="s">
        <v>249</v>
      </c>
      <c r="G66" s="4" t="s">
        <v>231</v>
      </c>
      <c r="H66" s="80" t="n">
        <v>280</v>
      </c>
      <c r="I66" s="81" t="n">
        <f aca="false">INDEX($C$5:$C$26,MATCH(G66,$A$5:$A$26,0))</f>
        <v>224.175</v>
      </c>
      <c r="J66" s="31" t="n">
        <f aca="false">H66*I66</f>
        <v>62769</v>
      </c>
    </row>
    <row r="67" customFormat="false" ht="15" hidden="false" customHeight="false" outlineLevel="0" collapsed="false">
      <c r="E67" s="4" t="s">
        <v>71</v>
      </c>
      <c r="F67" s="4" t="s">
        <v>249</v>
      </c>
      <c r="G67" s="4" t="s">
        <v>233</v>
      </c>
      <c r="H67" s="80" t="n">
        <v>85</v>
      </c>
      <c r="I67" s="81" t="n">
        <f aca="false">INDEX($C$5:$C$26,MATCH(G67,$A$5:$A$26,0))</f>
        <v>206.535</v>
      </c>
      <c r="J67" s="31" t="n">
        <f aca="false">H67*I67</f>
        <v>17555.475</v>
      </c>
    </row>
    <row r="68" customFormat="false" ht="15" hidden="false" customHeight="false" outlineLevel="0" collapsed="false">
      <c r="E68" s="4" t="s">
        <v>73</v>
      </c>
      <c r="F68" s="4" t="s">
        <v>249</v>
      </c>
      <c r="G68" s="4" t="s">
        <v>227</v>
      </c>
      <c r="H68" s="80" t="n">
        <v>140</v>
      </c>
      <c r="I68" s="81" t="n">
        <f aca="false">INDEX($C$5:$C$26,MATCH(G68,$A$5:$A$26,0))</f>
        <v>256.515</v>
      </c>
      <c r="J68" s="31" t="n">
        <f aca="false">H68*I68</f>
        <v>35912.1</v>
      </c>
    </row>
    <row r="69" customFormat="false" ht="15" hidden="false" customHeight="false" outlineLevel="0" collapsed="false">
      <c r="E69" s="4" t="s">
        <v>73</v>
      </c>
      <c r="F69" s="4" t="s">
        <v>249</v>
      </c>
      <c r="G69" s="4" t="s">
        <v>229</v>
      </c>
      <c r="H69" s="80" t="n">
        <v>225</v>
      </c>
      <c r="I69" s="81" t="n">
        <f aca="false">INDEX($C$5:$C$26,MATCH(G69,$A$5:$A$26,0))</f>
        <v>236.67</v>
      </c>
      <c r="J69" s="31" t="n">
        <f aca="false">H69*I69</f>
        <v>53250.75</v>
      </c>
    </row>
    <row r="70" customFormat="false" ht="15" hidden="false" customHeight="false" outlineLevel="0" collapsed="false">
      <c r="E70" s="4" t="s">
        <v>73</v>
      </c>
      <c r="F70" s="4" t="s">
        <v>249</v>
      </c>
      <c r="G70" s="4" t="s">
        <v>231</v>
      </c>
      <c r="H70" s="80" t="n">
        <v>180</v>
      </c>
      <c r="I70" s="81" t="n">
        <f aca="false">INDEX($C$5:$C$26,MATCH(G70,$A$5:$A$26,0))</f>
        <v>224.175</v>
      </c>
      <c r="J70" s="31" t="n">
        <f aca="false">H70*I70</f>
        <v>40351.5</v>
      </c>
    </row>
    <row r="71" customFormat="false" ht="15" hidden="false" customHeight="false" outlineLevel="0" collapsed="false">
      <c r="E71" s="4" t="s">
        <v>73</v>
      </c>
      <c r="F71" s="4" t="s">
        <v>249</v>
      </c>
      <c r="G71" s="4" t="s">
        <v>233</v>
      </c>
      <c r="H71" s="80" t="n">
        <v>65</v>
      </c>
      <c r="I71" s="81" t="n">
        <f aca="false">INDEX($C$5:$C$26,MATCH(G71,$A$5:$A$26,0))</f>
        <v>206.535</v>
      </c>
      <c r="J71" s="31" t="n">
        <f aca="false">H71*I71</f>
        <v>13424.775</v>
      </c>
    </row>
    <row r="72" customFormat="false" ht="15" hidden="false" customHeight="false" outlineLevel="0" collapsed="false">
      <c r="E72" s="4" t="s">
        <v>75</v>
      </c>
      <c r="F72" s="4" t="s">
        <v>249</v>
      </c>
      <c r="G72" s="4" t="s">
        <v>227</v>
      </c>
      <c r="H72" s="80" t="n">
        <v>65</v>
      </c>
      <c r="I72" s="81" t="n">
        <f aca="false">INDEX($C$5:$C$26,MATCH(G72,$A$5:$A$26,0))</f>
        <v>256.515</v>
      </c>
      <c r="J72" s="31" t="n">
        <f aca="false">H72*I72</f>
        <v>16673.475</v>
      </c>
    </row>
    <row r="73" customFormat="false" ht="15" hidden="false" customHeight="false" outlineLevel="0" collapsed="false">
      <c r="E73" s="4" t="s">
        <v>75</v>
      </c>
      <c r="F73" s="4" t="s">
        <v>249</v>
      </c>
      <c r="G73" s="4" t="s">
        <v>229</v>
      </c>
      <c r="H73" s="80" t="n">
        <v>180</v>
      </c>
      <c r="I73" s="81" t="n">
        <f aca="false">INDEX($C$5:$C$26,MATCH(G73,$A$5:$A$26,0))</f>
        <v>236.67</v>
      </c>
      <c r="J73" s="31" t="n">
        <f aca="false">H73*I73</f>
        <v>42600.6</v>
      </c>
    </row>
    <row r="74" customFormat="false" ht="15" hidden="false" customHeight="false" outlineLevel="0" collapsed="false">
      <c r="E74" s="4" t="s">
        <v>75</v>
      </c>
      <c r="F74" s="4" t="s">
        <v>249</v>
      </c>
      <c r="G74" s="4" t="s">
        <v>231</v>
      </c>
      <c r="H74" s="80" t="n">
        <v>225</v>
      </c>
      <c r="I74" s="81" t="n">
        <f aca="false">INDEX($C$5:$C$26,MATCH(G74,$A$5:$A$26,0))</f>
        <v>224.175</v>
      </c>
      <c r="J74" s="31" t="n">
        <f aca="false">H74*I74</f>
        <v>50439.375</v>
      </c>
    </row>
    <row r="75" customFormat="false" ht="15" hidden="false" customHeight="false" outlineLevel="0" collapsed="false">
      <c r="E75" s="4" t="s">
        <v>75</v>
      </c>
      <c r="F75" s="4" t="s">
        <v>249</v>
      </c>
      <c r="G75" s="4" t="s">
        <v>233</v>
      </c>
      <c r="H75" s="80" t="n">
        <v>95</v>
      </c>
      <c r="I75" s="81" t="n">
        <f aca="false">INDEX($C$5:$C$26,MATCH(G75,$A$5:$A$26,0))</f>
        <v>206.535</v>
      </c>
      <c r="J75" s="31" t="n">
        <f aca="false">H75*I75</f>
        <v>19620.825</v>
      </c>
    </row>
    <row r="76" customFormat="false" ht="15" hidden="false" customHeight="false" outlineLevel="0" collapsed="false">
      <c r="E76" s="4" t="s">
        <v>77</v>
      </c>
      <c r="F76" s="4" t="s">
        <v>107</v>
      </c>
      <c r="G76" s="4" t="s">
        <v>227</v>
      </c>
      <c r="H76" s="80" t="n">
        <v>55</v>
      </c>
      <c r="I76" s="81" t="n">
        <f aca="false">INDEX($C$5:$C$26,MATCH(G76,$A$5:$A$26,0))</f>
        <v>256.515</v>
      </c>
      <c r="J76" s="31" t="n">
        <f aca="false">H76*I76</f>
        <v>14108.325</v>
      </c>
    </row>
    <row r="77" customFormat="false" ht="15" hidden="false" customHeight="false" outlineLevel="0" collapsed="false">
      <c r="E77" s="4" t="s">
        <v>77</v>
      </c>
      <c r="F77" s="4" t="s">
        <v>107</v>
      </c>
      <c r="G77" s="4" t="s">
        <v>229</v>
      </c>
      <c r="H77" s="80" t="n">
        <v>155</v>
      </c>
      <c r="I77" s="81" t="n">
        <f aca="false">INDEX($C$5:$C$26,MATCH(G77,$A$5:$A$26,0))</f>
        <v>236.67</v>
      </c>
      <c r="J77" s="31" t="n">
        <f aca="false">H77*I77</f>
        <v>36683.85</v>
      </c>
    </row>
    <row r="78" customFormat="false" ht="15" hidden="false" customHeight="false" outlineLevel="0" collapsed="false">
      <c r="E78" s="4" t="s">
        <v>77</v>
      </c>
      <c r="F78" s="4" t="s">
        <v>107</v>
      </c>
      <c r="G78" s="4" t="s">
        <v>231</v>
      </c>
      <c r="H78" s="80" t="n">
        <v>130</v>
      </c>
      <c r="I78" s="81" t="n">
        <f aca="false">INDEX($C$5:$C$26,MATCH(G78,$A$5:$A$26,0))</f>
        <v>224.175</v>
      </c>
      <c r="J78" s="31" t="n">
        <f aca="false">H78*I78</f>
        <v>29142.75</v>
      </c>
    </row>
    <row r="79" customFormat="false" ht="15" hidden="false" customHeight="false" outlineLevel="0" collapsed="false">
      <c r="E79" s="4" t="s">
        <v>77</v>
      </c>
      <c r="F79" s="4" t="s">
        <v>107</v>
      </c>
      <c r="G79" s="4" t="s">
        <v>233</v>
      </c>
      <c r="H79" s="80" t="n">
        <v>45</v>
      </c>
      <c r="I79" s="81" t="n">
        <f aca="false">INDEX($C$5:$C$26,MATCH(G79,$A$5:$A$26,0))</f>
        <v>206.535</v>
      </c>
      <c r="J79" s="31" t="n">
        <f aca="false">H79*I79</f>
        <v>9294.075</v>
      </c>
    </row>
    <row r="80" customFormat="false" ht="15" hidden="false" customHeight="false" outlineLevel="0" collapsed="false">
      <c r="E80" s="4" t="s">
        <v>77</v>
      </c>
      <c r="F80" s="4" t="s">
        <v>249</v>
      </c>
      <c r="G80" s="4" t="s">
        <v>227</v>
      </c>
      <c r="H80" s="80" t="n">
        <v>65</v>
      </c>
      <c r="I80" s="81" t="n">
        <f aca="false">INDEX($C$5:$C$26,MATCH(G80,$A$5:$A$26,0))</f>
        <v>256.515</v>
      </c>
      <c r="J80" s="31" t="n">
        <f aca="false">H80*I80</f>
        <v>16673.475</v>
      </c>
    </row>
    <row r="81" customFormat="false" ht="15" hidden="false" customHeight="false" outlineLevel="0" collapsed="false">
      <c r="E81" s="4" t="s">
        <v>77</v>
      </c>
      <c r="F81" s="4" t="s">
        <v>249</v>
      </c>
      <c r="G81" s="4" t="s">
        <v>229</v>
      </c>
      <c r="H81" s="80" t="n">
        <v>190</v>
      </c>
      <c r="I81" s="81" t="n">
        <f aca="false">INDEX($C$5:$C$26,MATCH(G81,$A$5:$A$26,0))</f>
        <v>236.67</v>
      </c>
      <c r="J81" s="31" t="n">
        <f aca="false">H81*I81</f>
        <v>44967.3</v>
      </c>
    </row>
    <row r="82" customFormat="false" ht="15" hidden="false" customHeight="false" outlineLevel="0" collapsed="false">
      <c r="E82" s="4" t="s">
        <v>77</v>
      </c>
      <c r="F82" s="4" t="s">
        <v>249</v>
      </c>
      <c r="G82" s="4" t="s">
        <v>231</v>
      </c>
      <c r="H82" s="80" t="n">
        <v>160</v>
      </c>
      <c r="I82" s="81" t="n">
        <f aca="false">INDEX($C$5:$C$26,MATCH(G82,$A$5:$A$26,0))</f>
        <v>224.175</v>
      </c>
      <c r="J82" s="31" t="n">
        <f aca="false">H82*I82</f>
        <v>35868</v>
      </c>
    </row>
    <row r="83" customFormat="false" ht="15" hidden="false" customHeight="false" outlineLevel="0" collapsed="false">
      <c r="E83" s="4" t="s">
        <v>77</v>
      </c>
      <c r="F83" s="4" t="s">
        <v>249</v>
      </c>
      <c r="G83" s="4" t="s">
        <v>233</v>
      </c>
      <c r="H83" s="80" t="n">
        <v>50</v>
      </c>
      <c r="I83" s="81" t="n">
        <f aca="false">INDEX($C$5:$C$26,MATCH(G83,$A$5:$A$26,0))</f>
        <v>206.535</v>
      </c>
      <c r="J83" s="31" t="n">
        <f aca="false">H83*I83</f>
        <v>10326.75</v>
      </c>
    </row>
    <row r="84" customFormat="false" ht="15" hidden="false" customHeight="false" outlineLevel="0" collapsed="false">
      <c r="E84" s="4" t="s">
        <v>79</v>
      </c>
      <c r="F84" s="4" t="s">
        <v>107</v>
      </c>
      <c r="G84" s="4" t="s">
        <v>227</v>
      </c>
      <c r="H84" s="80" t="n">
        <v>75</v>
      </c>
      <c r="I84" s="81" t="n">
        <f aca="false">INDEX($C$5:$C$26,MATCH(G84,$A$5:$A$26,0))</f>
        <v>256.515</v>
      </c>
      <c r="J84" s="31" t="n">
        <f aca="false">H84*I84</f>
        <v>19238.625</v>
      </c>
    </row>
    <row r="85" customFormat="false" ht="15" hidden="false" customHeight="false" outlineLevel="0" collapsed="false">
      <c r="E85" s="4" t="s">
        <v>79</v>
      </c>
      <c r="F85" s="4" t="s">
        <v>107</v>
      </c>
      <c r="G85" s="4" t="s">
        <v>229</v>
      </c>
      <c r="H85" s="80" t="n">
        <v>210</v>
      </c>
      <c r="I85" s="81" t="n">
        <f aca="false">INDEX($C$5:$C$26,MATCH(G85,$A$5:$A$26,0))</f>
        <v>236.67</v>
      </c>
      <c r="J85" s="31" t="n">
        <f aca="false">H85*I85</f>
        <v>49700.7</v>
      </c>
    </row>
    <row r="86" customFormat="false" ht="15" hidden="false" customHeight="false" outlineLevel="0" collapsed="false">
      <c r="E86" s="4" t="s">
        <v>79</v>
      </c>
      <c r="F86" s="4" t="s">
        <v>107</v>
      </c>
      <c r="G86" s="4" t="s">
        <v>231</v>
      </c>
      <c r="H86" s="80" t="n">
        <v>315</v>
      </c>
      <c r="I86" s="81" t="n">
        <f aca="false">INDEX($C$5:$C$26,MATCH(G86,$A$5:$A$26,0))</f>
        <v>224.175</v>
      </c>
      <c r="J86" s="31" t="n">
        <f aca="false">H86*I86</f>
        <v>70615.125</v>
      </c>
    </row>
    <row r="87" customFormat="false" ht="15" hidden="false" customHeight="false" outlineLevel="0" collapsed="false">
      <c r="E87" s="4" t="s">
        <v>79</v>
      </c>
      <c r="F87" s="4" t="s">
        <v>107</v>
      </c>
      <c r="G87" s="4" t="s">
        <v>233</v>
      </c>
      <c r="H87" s="80" t="n">
        <v>75</v>
      </c>
      <c r="I87" s="81" t="n">
        <f aca="false">INDEX($C$5:$C$26,MATCH(G87,$A$5:$A$26,0))</f>
        <v>206.535</v>
      </c>
      <c r="J87" s="31" t="n">
        <f aca="false">H87*I87</f>
        <v>15490.125</v>
      </c>
    </row>
    <row r="88" customFormat="false" ht="15" hidden="false" customHeight="false" outlineLevel="0" collapsed="false">
      <c r="E88" s="4" t="s">
        <v>79</v>
      </c>
      <c r="F88" s="4" t="s">
        <v>249</v>
      </c>
      <c r="G88" s="4" t="s">
        <v>227</v>
      </c>
      <c r="H88" s="80" t="n">
        <v>140</v>
      </c>
      <c r="I88" s="81" t="n">
        <f aca="false">INDEX($C$5:$C$26,MATCH(G88,$A$5:$A$26,0))</f>
        <v>256.515</v>
      </c>
      <c r="J88" s="31" t="n">
        <f aca="false">H88*I88</f>
        <v>35912.1</v>
      </c>
    </row>
    <row r="89" customFormat="false" ht="15" hidden="false" customHeight="false" outlineLevel="0" collapsed="false">
      <c r="E89" s="4" t="s">
        <v>79</v>
      </c>
      <c r="F89" s="4" t="s">
        <v>249</v>
      </c>
      <c r="G89" s="4" t="s">
        <v>229</v>
      </c>
      <c r="H89" s="80" t="n">
        <v>410</v>
      </c>
      <c r="I89" s="81" t="n">
        <f aca="false">INDEX($C$5:$C$26,MATCH(G89,$A$5:$A$26,0))</f>
        <v>236.67</v>
      </c>
      <c r="J89" s="31" t="n">
        <f aca="false">H89*I89</f>
        <v>97034.7</v>
      </c>
    </row>
    <row r="90" customFormat="false" ht="15" hidden="false" customHeight="false" outlineLevel="0" collapsed="false">
      <c r="E90" s="4" t="s">
        <v>79</v>
      </c>
      <c r="F90" s="4" t="s">
        <v>249</v>
      </c>
      <c r="G90" s="4" t="s">
        <v>231</v>
      </c>
      <c r="H90" s="80" t="n">
        <v>610</v>
      </c>
      <c r="I90" s="81" t="n">
        <f aca="false">INDEX($C$5:$C$26,MATCH(G90,$A$5:$A$26,0))</f>
        <v>224.175</v>
      </c>
      <c r="J90" s="31" t="n">
        <f aca="false">H90*I90</f>
        <v>136746.75</v>
      </c>
    </row>
    <row r="91" customFormat="false" ht="15" hidden="false" customHeight="false" outlineLevel="0" collapsed="false">
      <c r="E91" s="4" t="s">
        <v>79</v>
      </c>
      <c r="F91" s="4" t="s">
        <v>249</v>
      </c>
      <c r="G91" s="4" t="s">
        <v>233</v>
      </c>
      <c r="H91" s="80" t="n">
        <v>140</v>
      </c>
      <c r="I91" s="81" t="n">
        <f aca="false">INDEX($C$5:$C$26,MATCH(G91,$A$5:$A$26,0))</f>
        <v>206.535</v>
      </c>
      <c r="J91" s="31" t="n">
        <f aca="false">H91*I91</f>
        <v>28914.9</v>
      </c>
    </row>
    <row r="92" customFormat="false" ht="15" hidden="false" customHeight="false" outlineLevel="0" collapsed="false">
      <c r="E92" s="4" t="s">
        <v>81</v>
      </c>
      <c r="F92" s="4" t="s">
        <v>107</v>
      </c>
      <c r="G92" s="4" t="s">
        <v>227</v>
      </c>
      <c r="H92" s="80" t="n">
        <v>55</v>
      </c>
      <c r="I92" s="81" t="n">
        <f aca="false">INDEX($C$5:$C$26,MATCH(G92,$A$5:$A$26,0))</f>
        <v>256.515</v>
      </c>
      <c r="J92" s="31" t="n">
        <f aca="false">H92*I92</f>
        <v>14108.325</v>
      </c>
    </row>
    <row r="93" customFormat="false" ht="15" hidden="false" customHeight="false" outlineLevel="0" collapsed="false">
      <c r="E93" s="4" t="s">
        <v>81</v>
      </c>
      <c r="F93" s="4" t="s">
        <v>107</v>
      </c>
      <c r="G93" s="4" t="s">
        <v>229</v>
      </c>
      <c r="H93" s="80" t="n">
        <v>170</v>
      </c>
      <c r="I93" s="81" t="n">
        <f aca="false">INDEX($C$5:$C$26,MATCH(G93,$A$5:$A$26,0))</f>
        <v>236.67</v>
      </c>
      <c r="J93" s="31" t="n">
        <f aca="false">H93*I93</f>
        <v>40233.9</v>
      </c>
    </row>
    <row r="94" customFormat="false" ht="15" hidden="false" customHeight="false" outlineLevel="0" collapsed="false">
      <c r="E94" s="4" t="s">
        <v>81</v>
      </c>
      <c r="F94" s="4" t="s">
        <v>107</v>
      </c>
      <c r="G94" s="4" t="s">
        <v>231</v>
      </c>
      <c r="H94" s="80" t="n">
        <v>200</v>
      </c>
      <c r="I94" s="81" t="n">
        <f aca="false">INDEX($C$5:$C$26,MATCH(G94,$A$5:$A$26,0))</f>
        <v>224.175</v>
      </c>
      <c r="J94" s="31" t="n">
        <f aca="false">H94*I94</f>
        <v>44835</v>
      </c>
    </row>
    <row r="95" customFormat="false" ht="15" hidden="false" customHeight="false" outlineLevel="0" collapsed="false">
      <c r="E95" s="4" t="s">
        <v>81</v>
      </c>
      <c r="F95" s="4" t="s">
        <v>107</v>
      </c>
      <c r="G95" s="4" t="s">
        <v>233</v>
      </c>
      <c r="H95" s="80" t="n">
        <v>55</v>
      </c>
      <c r="I95" s="81" t="n">
        <f aca="false">INDEX($C$5:$C$26,MATCH(G95,$A$5:$A$26,0))</f>
        <v>206.535</v>
      </c>
      <c r="J95" s="31" t="n">
        <f aca="false">H95*I95</f>
        <v>11359.425</v>
      </c>
    </row>
    <row r="96" customFormat="false" ht="15" hidden="false" customHeight="false" outlineLevel="0" collapsed="false">
      <c r="E96" s="4" t="s">
        <v>81</v>
      </c>
      <c r="F96" s="4" t="s">
        <v>249</v>
      </c>
      <c r="G96" s="4" t="s">
        <v>227</v>
      </c>
      <c r="H96" s="80" t="n">
        <v>85</v>
      </c>
      <c r="I96" s="81" t="n">
        <f aca="false">INDEX($C$5:$C$26,MATCH(G96,$A$5:$A$26,0))</f>
        <v>256.515</v>
      </c>
      <c r="J96" s="31" t="n">
        <f aca="false">H96*I96</f>
        <v>21803.775</v>
      </c>
    </row>
    <row r="97" customFormat="false" ht="15" hidden="false" customHeight="false" outlineLevel="0" collapsed="false">
      <c r="E97" s="4" t="s">
        <v>81</v>
      </c>
      <c r="F97" s="4" t="s">
        <v>249</v>
      </c>
      <c r="G97" s="4" t="s">
        <v>229</v>
      </c>
      <c r="H97" s="80" t="n">
        <v>235</v>
      </c>
      <c r="I97" s="81" t="n">
        <f aca="false">INDEX($C$5:$C$26,MATCH(G97,$A$5:$A$26,0))</f>
        <v>236.67</v>
      </c>
      <c r="J97" s="31" t="n">
        <f aca="false">H97*I97</f>
        <v>55617.45</v>
      </c>
    </row>
    <row r="98" customFormat="false" ht="15" hidden="false" customHeight="false" outlineLevel="0" collapsed="false">
      <c r="E98" s="4" t="s">
        <v>81</v>
      </c>
      <c r="F98" s="4" t="s">
        <v>249</v>
      </c>
      <c r="G98" s="4" t="s">
        <v>231</v>
      </c>
      <c r="H98" s="80" t="n">
        <v>265</v>
      </c>
      <c r="I98" s="81" t="n">
        <f aca="false">INDEX($C$5:$C$26,MATCH(G98,$A$5:$A$26,0))</f>
        <v>224.175</v>
      </c>
      <c r="J98" s="31" t="n">
        <f aca="false">H98*I98</f>
        <v>59406.375</v>
      </c>
    </row>
    <row r="99" customFormat="false" ht="15" hidden="false" customHeight="false" outlineLevel="0" collapsed="false">
      <c r="E99" s="4" t="s">
        <v>81</v>
      </c>
      <c r="F99" s="4" t="s">
        <v>249</v>
      </c>
      <c r="G99" s="4" t="s">
        <v>233</v>
      </c>
      <c r="H99" s="80" t="n">
        <v>85</v>
      </c>
      <c r="I99" s="81" t="n">
        <f aca="false">INDEX($C$5:$C$26,MATCH(G99,$A$5:$A$26,0))</f>
        <v>206.535</v>
      </c>
      <c r="J99" s="31" t="n">
        <f aca="false">H99*I99</f>
        <v>17555.475</v>
      </c>
    </row>
    <row r="100" customFormat="false" ht="15" hidden="false" customHeight="false" outlineLevel="0" collapsed="false">
      <c r="E100" s="4" t="s">
        <v>83</v>
      </c>
      <c r="F100" s="4" t="s">
        <v>105</v>
      </c>
      <c r="G100" s="4" t="s">
        <v>227</v>
      </c>
      <c r="H100" s="80" t="n">
        <v>40</v>
      </c>
      <c r="I100" s="81" t="n">
        <f aca="false">INDEX($C$5:$C$26,MATCH(G100,$A$5:$A$26,0))</f>
        <v>256.515</v>
      </c>
      <c r="J100" s="31" t="n">
        <f aca="false">H100*I100</f>
        <v>10260.6</v>
      </c>
    </row>
    <row r="101" customFormat="false" ht="15" hidden="false" customHeight="false" outlineLevel="0" collapsed="false">
      <c r="E101" s="4" t="s">
        <v>83</v>
      </c>
      <c r="F101" s="4" t="s">
        <v>105</v>
      </c>
      <c r="G101" s="4" t="s">
        <v>229</v>
      </c>
      <c r="H101" s="80" t="n">
        <v>95</v>
      </c>
      <c r="I101" s="81" t="n">
        <f aca="false">INDEX($C$5:$C$26,MATCH(G101,$A$5:$A$26,0))</f>
        <v>236.67</v>
      </c>
      <c r="J101" s="31" t="n">
        <f aca="false">H101*I101</f>
        <v>22483.65</v>
      </c>
    </row>
    <row r="102" customFormat="false" ht="15" hidden="false" customHeight="false" outlineLevel="0" collapsed="false">
      <c r="E102" s="4" t="s">
        <v>83</v>
      </c>
      <c r="F102" s="4" t="s">
        <v>105</v>
      </c>
      <c r="G102" s="4" t="s">
        <v>231</v>
      </c>
      <c r="H102" s="80" t="n">
        <v>100</v>
      </c>
      <c r="I102" s="81" t="n">
        <f aca="false">INDEX($C$5:$C$26,MATCH(G102,$A$5:$A$26,0))</f>
        <v>224.175</v>
      </c>
      <c r="J102" s="31" t="n">
        <f aca="false">H102*I102</f>
        <v>22417.5</v>
      </c>
    </row>
    <row r="103" customFormat="false" ht="15" hidden="false" customHeight="false" outlineLevel="0" collapsed="false">
      <c r="E103" s="4" t="s">
        <v>83</v>
      </c>
      <c r="F103" s="4" t="s">
        <v>105</v>
      </c>
      <c r="G103" s="4" t="s">
        <v>233</v>
      </c>
      <c r="H103" s="80" t="n">
        <v>45</v>
      </c>
      <c r="I103" s="81" t="n">
        <f aca="false">INDEX($C$5:$C$26,MATCH(G103,$A$5:$A$26,0))</f>
        <v>206.535</v>
      </c>
      <c r="J103" s="31" t="n">
        <f aca="false">H103*I103</f>
        <v>9294.075</v>
      </c>
    </row>
    <row r="104" customFormat="false" ht="15" hidden="false" customHeight="false" outlineLevel="0" collapsed="false">
      <c r="E104" s="4" t="s">
        <v>83</v>
      </c>
      <c r="F104" s="4" t="s">
        <v>107</v>
      </c>
      <c r="G104" s="4" t="s">
        <v>227</v>
      </c>
      <c r="H104" s="80" t="n">
        <v>55</v>
      </c>
      <c r="I104" s="81" t="n">
        <f aca="false">INDEX($C$5:$C$26,MATCH(G104,$A$5:$A$26,0))</f>
        <v>256.515</v>
      </c>
      <c r="J104" s="31" t="n">
        <f aca="false">H104*I104</f>
        <v>14108.325</v>
      </c>
    </row>
    <row r="105" customFormat="false" ht="15" hidden="false" customHeight="false" outlineLevel="0" collapsed="false">
      <c r="E105" s="4" t="s">
        <v>83</v>
      </c>
      <c r="F105" s="4" t="s">
        <v>107</v>
      </c>
      <c r="G105" s="4" t="s">
        <v>229</v>
      </c>
      <c r="H105" s="80" t="n">
        <v>160</v>
      </c>
      <c r="I105" s="81" t="n">
        <f aca="false">INDEX($C$5:$C$26,MATCH(G105,$A$5:$A$26,0))</f>
        <v>236.67</v>
      </c>
      <c r="J105" s="31" t="n">
        <f aca="false">H105*I105</f>
        <v>37867.2</v>
      </c>
    </row>
    <row r="106" customFormat="false" ht="15" hidden="false" customHeight="false" outlineLevel="0" collapsed="false">
      <c r="E106" s="4" t="s">
        <v>83</v>
      </c>
      <c r="F106" s="4" t="s">
        <v>107</v>
      </c>
      <c r="G106" s="4" t="s">
        <v>231</v>
      </c>
      <c r="H106" s="80" t="n">
        <v>200</v>
      </c>
      <c r="I106" s="81" t="n">
        <f aca="false">INDEX($C$5:$C$26,MATCH(G106,$A$5:$A$26,0))</f>
        <v>224.175</v>
      </c>
      <c r="J106" s="31" t="n">
        <f aca="false">H106*I106</f>
        <v>44835</v>
      </c>
    </row>
    <row r="107" customFormat="false" ht="15" hidden="false" customHeight="false" outlineLevel="0" collapsed="false">
      <c r="E107" s="4" t="s">
        <v>83</v>
      </c>
      <c r="F107" s="4" t="s">
        <v>107</v>
      </c>
      <c r="G107" s="4" t="s">
        <v>233</v>
      </c>
      <c r="H107" s="80" t="n">
        <v>75</v>
      </c>
      <c r="I107" s="81" t="n">
        <f aca="false">INDEX($C$5:$C$26,MATCH(G107,$A$5:$A$26,0))</f>
        <v>206.535</v>
      </c>
      <c r="J107" s="31" t="n">
        <f aca="false">H107*I107</f>
        <v>15490.125</v>
      </c>
    </row>
    <row r="108" customFormat="false" ht="15" hidden="false" customHeight="false" outlineLevel="0" collapsed="false">
      <c r="E108" s="4" t="s">
        <v>83</v>
      </c>
      <c r="F108" s="4" t="s">
        <v>249</v>
      </c>
      <c r="G108" s="4" t="s">
        <v>227</v>
      </c>
      <c r="H108" s="80" t="n">
        <v>85</v>
      </c>
      <c r="I108" s="81" t="n">
        <f aca="false">INDEX($C$5:$C$26,MATCH(G108,$A$5:$A$26,0))</f>
        <v>256.515</v>
      </c>
      <c r="J108" s="31" t="n">
        <f aca="false">H108*I108</f>
        <v>21803.775</v>
      </c>
    </row>
    <row r="109" customFormat="false" ht="15" hidden="false" customHeight="false" outlineLevel="0" collapsed="false">
      <c r="E109" s="4" t="s">
        <v>83</v>
      </c>
      <c r="F109" s="4" t="s">
        <v>249</v>
      </c>
      <c r="G109" s="4" t="s">
        <v>229</v>
      </c>
      <c r="H109" s="80" t="n">
        <v>210</v>
      </c>
      <c r="I109" s="81" t="n">
        <f aca="false">INDEX($C$5:$C$26,MATCH(G109,$A$5:$A$26,0))</f>
        <v>236.67</v>
      </c>
      <c r="J109" s="31" t="n">
        <f aca="false">H109*I109</f>
        <v>49700.7</v>
      </c>
    </row>
    <row r="110" customFormat="false" ht="15" hidden="false" customHeight="false" outlineLevel="0" collapsed="false">
      <c r="E110" s="4" t="s">
        <v>83</v>
      </c>
      <c r="F110" s="4" t="s">
        <v>249</v>
      </c>
      <c r="G110" s="4" t="s">
        <v>231</v>
      </c>
      <c r="H110" s="80" t="n">
        <v>295</v>
      </c>
      <c r="I110" s="81" t="n">
        <f aca="false">INDEX($C$5:$C$26,MATCH(G110,$A$5:$A$26,0))</f>
        <v>224.175</v>
      </c>
      <c r="J110" s="31" t="n">
        <f aca="false">H110*I110</f>
        <v>66131.625</v>
      </c>
    </row>
    <row r="111" customFormat="false" ht="15" hidden="false" customHeight="false" outlineLevel="0" collapsed="false">
      <c r="E111" s="4" t="s">
        <v>83</v>
      </c>
      <c r="F111" s="4" t="s">
        <v>249</v>
      </c>
      <c r="G111" s="4" t="s">
        <v>233</v>
      </c>
      <c r="H111" s="80" t="n">
        <v>105</v>
      </c>
      <c r="I111" s="81" t="n">
        <f aca="false">INDEX($C$5:$C$26,MATCH(G111,$A$5:$A$26,0))</f>
        <v>206.535</v>
      </c>
      <c r="J111" s="31" t="n">
        <f aca="false">H111*I111</f>
        <v>21686.175</v>
      </c>
    </row>
    <row r="112" customFormat="false" ht="15" hidden="false" customHeight="false" outlineLevel="0" collapsed="false">
      <c r="E112" s="4" t="s">
        <v>85</v>
      </c>
      <c r="F112" s="4" t="s">
        <v>249</v>
      </c>
      <c r="G112" s="4" t="s">
        <v>227</v>
      </c>
      <c r="H112" s="80" t="n">
        <v>65</v>
      </c>
      <c r="I112" s="81" t="n">
        <f aca="false">INDEX($C$5:$C$26,MATCH(G112,$A$5:$A$26,0))</f>
        <v>256.515</v>
      </c>
      <c r="J112" s="31" t="n">
        <f aca="false">H112*I112</f>
        <v>16673.475</v>
      </c>
    </row>
    <row r="113" customFormat="false" ht="15" hidden="false" customHeight="false" outlineLevel="0" collapsed="false">
      <c r="E113" s="4" t="s">
        <v>85</v>
      </c>
      <c r="F113" s="4" t="s">
        <v>249</v>
      </c>
      <c r="G113" s="4" t="s">
        <v>229</v>
      </c>
      <c r="H113" s="80" t="n">
        <v>235</v>
      </c>
      <c r="I113" s="81" t="n">
        <f aca="false">INDEX($C$5:$C$26,MATCH(G113,$A$5:$A$26,0))</f>
        <v>236.67</v>
      </c>
      <c r="J113" s="31" t="n">
        <f aca="false">H113*I113</f>
        <v>55617.45</v>
      </c>
    </row>
    <row r="114" customFormat="false" ht="15" hidden="false" customHeight="false" outlineLevel="0" collapsed="false">
      <c r="E114" s="4" t="s">
        <v>85</v>
      </c>
      <c r="F114" s="4" t="s">
        <v>249</v>
      </c>
      <c r="G114" s="4" t="s">
        <v>231</v>
      </c>
      <c r="H114" s="80" t="n">
        <v>280</v>
      </c>
      <c r="I114" s="81" t="n">
        <f aca="false">INDEX($C$5:$C$26,MATCH(G114,$A$5:$A$26,0))</f>
        <v>224.175</v>
      </c>
      <c r="J114" s="31" t="n">
        <f aca="false">H114*I114</f>
        <v>62769</v>
      </c>
    </row>
    <row r="115" customFormat="false" ht="15" hidden="false" customHeight="false" outlineLevel="0" collapsed="false">
      <c r="E115" s="4" t="s">
        <v>85</v>
      </c>
      <c r="F115" s="4" t="s">
        <v>249</v>
      </c>
      <c r="G115" s="4" t="s">
        <v>233</v>
      </c>
      <c r="H115" s="80" t="n">
        <v>85</v>
      </c>
      <c r="I115" s="81" t="n">
        <f aca="false">INDEX($C$5:$C$26,MATCH(G115,$A$5:$A$26,0))</f>
        <v>206.535</v>
      </c>
      <c r="J115" s="31" t="n">
        <f aca="false">H115*I115</f>
        <v>17555.475</v>
      </c>
    </row>
    <row r="116" customFormat="false" ht="15" hidden="false" customHeight="false" outlineLevel="0" collapsed="false">
      <c r="E116" s="4" t="s">
        <v>87</v>
      </c>
      <c r="F116" s="4" t="s">
        <v>105</v>
      </c>
      <c r="G116" s="4" t="s">
        <v>227</v>
      </c>
      <c r="H116" s="80" t="n">
        <v>45</v>
      </c>
      <c r="I116" s="81" t="n">
        <f aca="false">INDEX($C$5:$C$26,MATCH(G116,$A$5:$A$26,0))</f>
        <v>256.515</v>
      </c>
      <c r="J116" s="31" t="n">
        <f aca="false">H116*I116</f>
        <v>11543.175</v>
      </c>
    </row>
    <row r="117" customFormat="false" ht="15" hidden="false" customHeight="false" outlineLevel="0" collapsed="false">
      <c r="E117" s="4" t="s">
        <v>87</v>
      </c>
      <c r="F117" s="4" t="s">
        <v>105</v>
      </c>
      <c r="G117" s="4" t="s">
        <v>229</v>
      </c>
      <c r="H117" s="80" t="n">
        <v>95</v>
      </c>
      <c r="I117" s="81" t="n">
        <f aca="false">INDEX($C$5:$C$26,MATCH(G117,$A$5:$A$26,0))</f>
        <v>236.67</v>
      </c>
      <c r="J117" s="31" t="n">
        <f aca="false">H117*I117</f>
        <v>22483.65</v>
      </c>
    </row>
    <row r="118" customFormat="false" ht="15" hidden="false" customHeight="false" outlineLevel="0" collapsed="false">
      <c r="E118" s="4" t="s">
        <v>87</v>
      </c>
      <c r="F118" s="4" t="s">
        <v>105</v>
      </c>
      <c r="G118" s="4" t="s">
        <v>231</v>
      </c>
      <c r="H118" s="80" t="n">
        <v>95</v>
      </c>
      <c r="I118" s="81" t="n">
        <f aca="false">INDEX($C$5:$C$26,MATCH(G118,$A$5:$A$26,0))</f>
        <v>224.175</v>
      </c>
      <c r="J118" s="31" t="n">
        <f aca="false">H118*I118</f>
        <v>21296.625</v>
      </c>
    </row>
    <row r="119" customFormat="false" ht="15" hidden="false" customHeight="false" outlineLevel="0" collapsed="false">
      <c r="E119" s="4" t="s">
        <v>87</v>
      </c>
      <c r="F119" s="4" t="s">
        <v>105</v>
      </c>
      <c r="G119" s="4" t="s">
        <v>233</v>
      </c>
      <c r="H119" s="80" t="n">
        <v>35</v>
      </c>
      <c r="I119" s="81" t="n">
        <f aca="false">INDEX($C$5:$C$26,MATCH(G119,$A$5:$A$26,0))</f>
        <v>206.535</v>
      </c>
      <c r="J119" s="31" t="n">
        <f aca="false">H119*I119</f>
        <v>7228.725</v>
      </c>
    </row>
    <row r="120" customFormat="false" ht="15" hidden="false" customHeight="false" outlineLevel="0" collapsed="false">
      <c r="E120" s="4" t="s">
        <v>87</v>
      </c>
      <c r="F120" s="4" t="s">
        <v>107</v>
      </c>
      <c r="G120" s="4" t="s">
        <v>227</v>
      </c>
      <c r="H120" s="80" t="n">
        <v>75</v>
      </c>
      <c r="I120" s="81" t="n">
        <f aca="false">INDEX($C$5:$C$26,MATCH(G120,$A$5:$A$26,0))</f>
        <v>256.515</v>
      </c>
      <c r="J120" s="31" t="n">
        <f aca="false">H120*I120</f>
        <v>19238.625</v>
      </c>
    </row>
    <row r="121" customFormat="false" ht="15" hidden="false" customHeight="false" outlineLevel="0" collapsed="false">
      <c r="E121" s="4" t="s">
        <v>87</v>
      </c>
      <c r="F121" s="4" t="s">
        <v>107</v>
      </c>
      <c r="G121" s="4" t="s">
        <v>229</v>
      </c>
      <c r="H121" s="80" t="n">
        <v>170</v>
      </c>
      <c r="I121" s="81" t="n">
        <f aca="false">INDEX($C$5:$C$26,MATCH(G121,$A$5:$A$26,0))</f>
        <v>236.67</v>
      </c>
      <c r="J121" s="31" t="n">
        <f aca="false">H121*I121</f>
        <v>40233.9</v>
      </c>
    </row>
    <row r="122" customFormat="false" ht="15" hidden="false" customHeight="false" outlineLevel="0" collapsed="false">
      <c r="E122" s="4" t="s">
        <v>87</v>
      </c>
      <c r="F122" s="4" t="s">
        <v>107</v>
      </c>
      <c r="G122" s="4" t="s">
        <v>231</v>
      </c>
      <c r="H122" s="80" t="n">
        <v>170</v>
      </c>
      <c r="I122" s="81" t="n">
        <f aca="false">INDEX($C$5:$C$26,MATCH(G122,$A$5:$A$26,0))</f>
        <v>224.175</v>
      </c>
      <c r="J122" s="31" t="n">
        <f aca="false">H122*I122</f>
        <v>38109.75</v>
      </c>
    </row>
    <row r="123" customFormat="false" ht="15" hidden="false" customHeight="false" outlineLevel="0" collapsed="false">
      <c r="E123" s="4" t="s">
        <v>87</v>
      </c>
      <c r="F123" s="4" t="s">
        <v>107</v>
      </c>
      <c r="G123" s="4" t="s">
        <v>233</v>
      </c>
      <c r="H123" s="80" t="n">
        <v>55</v>
      </c>
      <c r="I123" s="81" t="n">
        <f aca="false">INDEX($C$5:$C$26,MATCH(G123,$A$5:$A$26,0))</f>
        <v>206.535</v>
      </c>
      <c r="J123" s="31" t="n">
        <f aca="false">H123*I123</f>
        <v>11359.425</v>
      </c>
    </row>
    <row r="124" customFormat="false" ht="15" hidden="false" customHeight="false" outlineLevel="0" collapsed="false">
      <c r="E124" s="4" t="s">
        <v>87</v>
      </c>
      <c r="F124" s="4" t="s">
        <v>249</v>
      </c>
      <c r="G124" s="4" t="s">
        <v>227</v>
      </c>
      <c r="H124" s="80" t="n">
        <v>120</v>
      </c>
      <c r="I124" s="81" t="n">
        <f aca="false">INDEX($C$5:$C$26,MATCH(G124,$A$5:$A$26,0))</f>
        <v>256.515</v>
      </c>
      <c r="J124" s="31" t="n">
        <f aca="false">H124*I124</f>
        <v>30781.8</v>
      </c>
    </row>
    <row r="125" customFormat="false" ht="15" hidden="false" customHeight="false" outlineLevel="0" collapsed="false">
      <c r="E125" s="4" t="s">
        <v>87</v>
      </c>
      <c r="F125" s="4" t="s">
        <v>249</v>
      </c>
      <c r="G125" s="4" t="s">
        <v>229</v>
      </c>
      <c r="H125" s="80" t="n">
        <v>265</v>
      </c>
      <c r="I125" s="81" t="n">
        <f aca="false">INDEX($C$5:$C$26,MATCH(G125,$A$5:$A$26,0))</f>
        <v>236.67</v>
      </c>
      <c r="J125" s="31" t="n">
        <f aca="false">H125*I125</f>
        <v>62717.55</v>
      </c>
    </row>
    <row r="126" customFormat="false" ht="15" hidden="false" customHeight="false" outlineLevel="0" collapsed="false">
      <c r="E126" s="4" t="s">
        <v>87</v>
      </c>
      <c r="F126" s="4" t="s">
        <v>249</v>
      </c>
      <c r="G126" s="4" t="s">
        <v>231</v>
      </c>
      <c r="H126" s="80" t="n">
        <v>265</v>
      </c>
      <c r="I126" s="81" t="n">
        <f aca="false">INDEX($C$5:$C$26,MATCH(G126,$A$5:$A$26,0))</f>
        <v>224.175</v>
      </c>
      <c r="J126" s="31" t="n">
        <f aca="false">H126*I126</f>
        <v>59406.375</v>
      </c>
    </row>
    <row r="127" customFormat="false" ht="15" hidden="false" customHeight="false" outlineLevel="0" collapsed="false">
      <c r="E127" s="4" t="s">
        <v>87</v>
      </c>
      <c r="F127" s="4" t="s">
        <v>249</v>
      </c>
      <c r="G127" s="4" t="s">
        <v>233</v>
      </c>
      <c r="H127" s="80" t="n">
        <v>85</v>
      </c>
      <c r="I127" s="81" t="n">
        <f aca="false">INDEX($C$5:$C$26,MATCH(G127,$A$5:$A$26,0))</f>
        <v>206.535</v>
      </c>
      <c r="J127" s="31" t="n">
        <f aca="false">H127*I127</f>
        <v>17555.475</v>
      </c>
    </row>
    <row r="128" customFormat="false" ht="15" hidden="false" customHeight="false" outlineLevel="0" collapsed="false">
      <c r="E128" s="4" t="s">
        <v>87</v>
      </c>
      <c r="F128" s="4" t="s">
        <v>274</v>
      </c>
      <c r="G128" s="4" t="s">
        <v>227</v>
      </c>
      <c r="H128" s="80" t="n">
        <v>45</v>
      </c>
      <c r="I128" s="81" t="n">
        <f aca="false">INDEX($C$5:$C$26,MATCH(G128,$A$5:$A$26,0))</f>
        <v>256.515</v>
      </c>
      <c r="J128" s="31" t="n">
        <f aca="false">H128*I128</f>
        <v>11543.175</v>
      </c>
    </row>
    <row r="129" customFormat="false" ht="15" hidden="false" customHeight="false" outlineLevel="0" collapsed="false">
      <c r="E129" s="4" t="s">
        <v>87</v>
      </c>
      <c r="F129" s="4" t="s">
        <v>274</v>
      </c>
      <c r="G129" s="4" t="s">
        <v>229</v>
      </c>
      <c r="H129" s="80" t="n">
        <v>85</v>
      </c>
      <c r="I129" s="81" t="n">
        <f aca="false">INDEX($C$5:$C$26,MATCH(G129,$A$5:$A$26,0))</f>
        <v>236.67</v>
      </c>
      <c r="J129" s="31" t="n">
        <f aca="false">H129*I129</f>
        <v>20116.95</v>
      </c>
    </row>
    <row r="130" customFormat="false" ht="15" hidden="false" customHeight="false" outlineLevel="0" collapsed="false">
      <c r="E130" s="4" t="s">
        <v>87</v>
      </c>
      <c r="F130" s="4" t="s">
        <v>274</v>
      </c>
      <c r="G130" s="4" t="s">
        <v>231</v>
      </c>
      <c r="H130" s="80" t="n">
        <v>75</v>
      </c>
      <c r="I130" s="81" t="n">
        <f aca="false">INDEX($C$5:$C$26,MATCH(G130,$A$5:$A$26,0))</f>
        <v>224.175</v>
      </c>
      <c r="J130" s="31" t="n">
        <f aca="false">H130*I130</f>
        <v>16813.125</v>
      </c>
    </row>
    <row r="131" customFormat="false" ht="15" hidden="false" customHeight="false" outlineLevel="0" collapsed="false">
      <c r="E131" s="4" t="s">
        <v>87</v>
      </c>
      <c r="F131" s="4" t="s">
        <v>274</v>
      </c>
      <c r="G131" s="4" t="s">
        <v>233</v>
      </c>
      <c r="H131" s="80" t="n">
        <v>35</v>
      </c>
      <c r="I131" s="81" t="n">
        <f aca="false">INDEX($C$5:$C$26,MATCH(G131,$A$5:$A$26,0))</f>
        <v>206.535</v>
      </c>
      <c r="J131" s="31" t="n">
        <f aca="false">H131*I131</f>
        <v>7228.725</v>
      </c>
    </row>
    <row r="132" customFormat="false" ht="15" hidden="false" customHeight="false" outlineLevel="0" collapsed="false">
      <c r="E132" s="4" t="s">
        <v>87</v>
      </c>
      <c r="F132" s="4" t="s">
        <v>272</v>
      </c>
      <c r="G132" s="4" t="s">
        <v>227</v>
      </c>
      <c r="H132" s="80" t="n">
        <v>40</v>
      </c>
      <c r="I132" s="81" t="n">
        <f aca="false">INDEX($C$5:$C$26,MATCH(G132,$A$5:$A$26,0))</f>
        <v>256.515</v>
      </c>
      <c r="J132" s="31" t="n">
        <f aca="false">H132*I132</f>
        <v>10260.6</v>
      </c>
    </row>
    <row r="133" customFormat="false" ht="15" hidden="false" customHeight="false" outlineLevel="0" collapsed="false">
      <c r="E133" s="4" t="s">
        <v>87</v>
      </c>
      <c r="F133" s="4" t="s">
        <v>272</v>
      </c>
      <c r="G133" s="4" t="s">
        <v>229</v>
      </c>
      <c r="H133" s="80" t="n">
        <v>75</v>
      </c>
      <c r="I133" s="81" t="n">
        <f aca="false">INDEX($C$5:$C$26,MATCH(G133,$A$5:$A$26,0))</f>
        <v>236.67</v>
      </c>
      <c r="J133" s="31" t="n">
        <f aca="false">H133*I133</f>
        <v>17750.25</v>
      </c>
    </row>
    <row r="134" customFormat="false" ht="15" hidden="false" customHeight="false" outlineLevel="0" collapsed="false">
      <c r="E134" s="4" t="s">
        <v>87</v>
      </c>
      <c r="F134" s="4" t="s">
        <v>272</v>
      </c>
      <c r="G134" s="4" t="s">
        <v>231</v>
      </c>
      <c r="H134" s="80" t="n">
        <v>65</v>
      </c>
      <c r="I134" s="81" t="n">
        <f aca="false">INDEX($C$5:$C$26,MATCH(G134,$A$5:$A$26,0))</f>
        <v>224.175</v>
      </c>
      <c r="J134" s="31" t="n">
        <f aca="false">H134*I134</f>
        <v>14571.375</v>
      </c>
    </row>
    <row r="135" customFormat="false" ht="15" hidden="false" customHeight="false" outlineLevel="0" collapsed="false">
      <c r="E135" s="4" t="s">
        <v>87</v>
      </c>
      <c r="F135" s="4" t="s">
        <v>272</v>
      </c>
      <c r="G135" s="4" t="s">
        <v>233</v>
      </c>
      <c r="H135" s="80" t="n">
        <v>35</v>
      </c>
      <c r="I135" s="81" t="n">
        <f aca="false">INDEX($C$5:$C$26,MATCH(G135,$A$5:$A$26,0))</f>
        <v>206.535</v>
      </c>
      <c r="J135" s="31" t="n">
        <f aca="false">H135*I135</f>
        <v>7228.725</v>
      </c>
    </row>
    <row r="136" customFormat="false" ht="15" hidden="false" customHeight="false" outlineLevel="0" collapsed="false">
      <c r="E136" s="4" t="s">
        <v>87</v>
      </c>
      <c r="F136" s="4" t="s">
        <v>273</v>
      </c>
      <c r="G136" s="4" t="s">
        <v>227</v>
      </c>
      <c r="H136" s="80" t="n">
        <v>30</v>
      </c>
      <c r="I136" s="81" t="n">
        <f aca="false">INDEX($C$5:$C$26,MATCH(G136,$A$5:$A$26,0))</f>
        <v>256.515</v>
      </c>
      <c r="J136" s="31" t="n">
        <f aca="false">H136*I136</f>
        <v>7695.45</v>
      </c>
    </row>
    <row r="137" customFormat="false" ht="15" hidden="false" customHeight="false" outlineLevel="0" collapsed="false">
      <c r="E137" s="4" t="s">
        <v>87</v>
      </c>
      <c r="F137" s="4" t="s">
        <v>273</v>
      </c>
      <c r="G137" s="4" t="s">
        <v>229</v>
      </c>
      <c r="H137" s="80" t="n">
        <v>40</v>
      </c>
      <c r="I137" s="81" t="n">
        <f aca="false">INDEX($C$5:$C$26,MATCH(G137,$A$5:$A$26,0))</f>
        <v>236.67</v>
      </c>
      <c r="J137" s="31" t="n">
        <f aca="false">H137*I137</f>
        <v>9466.8</v>
      </c>
    </row>
    <row r="138" customFormat="false" ht="15" hidden="false" customHeight="false" outlineLevel="0" collapsed="false">
      <c r="E138" s="4" t="s">
        <v>87</v>
      </c>
      <c r="F138" s="4" t="s">
        <v>273</v>
      </c>
      <c r="G138" s="4" t="s">
        <v>231</v>
      </c>
      <c r="H138" s="80" t="n">
        <v>40</v>
      </c>
      <c r="I138" s="81" t="n">
        <f aca="false">INDEX($C$5:$C$26,MATCH(G138,$A$5:$A$26,0))</f>
        <v>224.175</v>
      </c>
      <c r="J138" s="31" t="n">
        <f aca="false">H138*I138</f>
        <v>8967</v>
      </c>
    </row>
    <row r="139" customFormat="false" ht="15" hidden="false" customHeight="false" outlineLevel="0" collapsed="false">
      <c r="E139" s="4" t="s">
        <v>87</v>
      </c>
      <c r="F139" s="4" t="s">
        <v>273</v>
      </c>
      <c r="G139" s="4" t="s">
        <v>233</v>
      </c>
      <c r="H139" s="80" t="n">
        <v>30</v>
      </c>
      <c r="I139" s="81" t="n">
        <f aca="false">INDEX($C$5:$C$26,MATCH(G139,$A$5:$A$26,0))</f>
        <v>206.535</v>
      </c>
      <c r="J139" s="31" t="n">
        <f aca="false">H139*I139</f>
        <v>6196.05</v>
      </c>
    </row>
    <row r="140" customFormat="false" ht="15" hidden="false" customHeight="false" outlineLevel="0" collapsed="false">
      <c r="E140" s="4" t="s">
        <v>89</v>
      </c>
      <c r="F140" s="4" t="s">
        <v>105</v>
      </c>
      <c r="G140" s="4" t="s">
        <v>229</v>
      </c>
      <c r="H140" s="80" t="n">
        <v>65</v>
      </c>
      <c r="I140" s="81" t="n">
        <f aca="false">INDEX($C$5:$C$26,MATCH(G140,$A$5:$A$26,0))</f>
        <v>236.67</v>
      </c>
      <c r="J140" s="31" t="n">
        <f aca="false">H140*I140</f>
        <v>15383.55</v>
      </c>
    </row>
    <row r="141" customFormat="false" ht="15" hidden="false" customHeight="false" outlineLevel="0" collapsed="false">
      <c r="E141" s="4" t="s">
        <v>89</v>
      </c>
      <c r="F141" s="4" t="s">
        <v>105</v>
      </c>
      <c r="G141" s="4" t="s">
        <v>231</v>
      </c>
      <c r="H141" s="80" t="n">
        <v>65</v>
      </c>
      <c r="I141" s="81" t="n">
        <f aca="false">INDEX($C$5:$C$26,MATCH(G141,$A$5:$A$26,0))</f>
        <v>224.175</v>
      </c>
      <c r="J141" s="31" t="n">
        <f aca="false">H141*I141</f>
        <v>14571.375</v>
      </c>
    </row>
    <row r="142" customFormat="false" ht="15" hidden="false" customHeight="false" outlineLevel="0" collapsed="false">
      <c r="E142" s="4" t="s">
        <v>89</v>
      </c>
      <c r="F142" s="4" t="s">
        <v>105</v>
      </c>
      <c r="G142" s="4" t="s">
        <v>233</v>
      </c>
      <c r="H142" s="80" t="n">
        <v>35</v>
      </c>
      <c r="I142" s="81" t="n">
        <f aca="false">INDEX($C$5:$C$26,MATCH(G142,$A$5:$A$26,0))</f>
        <v>206.535</v>
      </c>
      <c r="J142" s="31" t="n">
        <f aca="false">H142*I142</f>
        <v>7228.725</v>
      </c>
    </row>
    <row r="143" customFormat="false" ht="15" hidden="false" customHeight="false" outlineLevel="0" collapsed="false">
      <c r="E143" s="4" t="s">
        <v>89</v>
      </c>
      <c r="F143" s="4" t="s">
        <v>107</v>
      </c>
      <c r="G143" s="4" t="s">
        <v>229</v>
      </c>
      <c r="H143" s="80" t="n">
        <v>150</v>
      </c>
      <c r="I143" s="81" t="n">
        <f aca="false">INDEX($C$5:$C$26,MATCH(G143,$A$5:$A$26,0))</f>
        <v>236.67</v>
      </c>
      <c r="J143" s="31" t="n">
        <f aca="false">H143*I143</f>
        <v>35500.5</v>
      </c>
    </row>
    <row r="144" customFormat="false" ht="15" hidden="false" customHeight="false" outlineLevel="0" collapsed="false">
      <c r="E144" s="4" t="s">
        <v>89</v>
      </c>
      <c r="F144" s="4" t="s">
        <v>107</v>
      </c>
      <c r="G144" s="4" t="s">
        <v>231</v>
      </c>
      <c r="H144" s="80" t="n">
        <v>170</v>
      </c>
      <c r="I144" s="81" t="n">
        <f aca="false">INDEX($C$5:$C$26,MATCH(G144,$A$5:$A$26,0))</f>
        <v>224.175</v>
      </c>
      <c r="J144" s="31" t="n">
        <f aca="false">H144*I144</f>
        <v>38109.75</v>
      </c>
    </row>
    <row r="145" customFormat="false" ht="15" hidden="false" customHeight="false" outlineLevel="0" collapsed="false">
      <c r="E145" s="4" t="s">
        <v>89</v>
      </c>
      <c r="F145" s="4" t="s">
        <v>107</v>
      </c>
      <c r="G145" s="4" t="s">
        <v>233</v>
      </c>
      <c r="H145" s="80" t="n">
        <v>75</v>
      </c>
      <c r="I145" s="81" t="n">
        <f aca="false">INDEX($C$5:$C$26,MATCH(G145,$A$5:$A$26,0))</f>
        <v>206.535</v>
      </c>
      <c r="J145" s="31" t="n">
        <f aca="false">H145*I145</f>
        <v>15490.125</v>
      </c>
    </row>
    <row r="146" customFormat="false" ht="15" hidden="false" customHeight="false" outlineLevel="0" collapsed="false">
      <c r="E146" s="4" t="s">
        <v>89</v>
      </c>
      <c r="F146" s="4" t="s">
        <v>249</v>
      </c>
      <c r="G146" s="4" t="s">
        <v>229</v>
      </c>
      <c r="H146" s="80" t="n">
        <v>235</v>
      </c>
      <c r="I146" s="81" t="n">
        <f aca="false">INDEX($C$5:$C$26,MATCH(G146,$A$5:$A$26,0))</f>
        <v>236.67</v>
      </c>
      <c r="J146" s="31" t="n">
        <f aca="false">H146*I146</f>
        <v>55617.45</v>
      </c>
    </row>
    <row r="147" customFormat="false" ht="15" hidden="false" customHeight="false" outlineLevel="0" collapsed="false">
      <c r="E147" s="4" t="s">
        <v>89</v>
      </c>
      <c r="F147" s="4" t="s">
        <v>249</v>
      </c>
      <c r="G147" s="4" t="s">
        <v>231</v>
      </c>
      <c r="H147" s="80" t="n">
        <v>235</v>
      </c>
      <c r="I147" s="81" t="n">
        <f aca="false">INDEX($C$5:$C$26,MATCH(G147,$A$5:$A$26,0))</f>
        <v>224.175</v>
      </c>
      <c r="J147" s="31" t="n">
        <f aca="false">H147*I147</f>
        <v>52681.125</v>
      </c>
    </row>
    <row r="148" customFormat="false" ht="15" hidden="false" customHeight="false" outlineLevel="0" collapsed="false">
      <c r="E148" s="4" t="s">
        <v>89</v>
      </c>
      <c r="F148" s="4" t="s">
        <v>249</v>
      </c>
      <c r="G148" s="4" t="s">
        <v>233</v>
      </c>
      <c r="H148" s="80" t="n">
        <v>105</v>
      </c>
      <c r="I148" s="81" t="n">
        <f aca="false">INDEX($C$5:$C$26,MATCH(G148,$A$5:$A$26,0))</f>
        <v>206.535</v>
      </c>
      <c r="J148" s="31" t="n">
        <f aca="false">H148*I148</f>
        <v>21686.175</v>
      </c>
    </row>
    <row r="149" customFormat="false" ht="15" hidden="false" customHeight="false" outlineLevel="0" collapsed="false">
      <c r="E149" s="4" t="s">
        <v>89</v>
      </c>
      <c r="F149" s="4" t="s">
        <v>274</v>
      </c>
      <c r="G149" s="4" t="s">
        <v>229</v>
      </c>
      <c r="H149" s="80" t="n">
        <v>60</v>
      </c>
      <c r="I149" s="81" t="n">
        <f aca="false">INDEX($C$5:$C$26,MATCH(G149,$A$5:$A$26,0))</f>
        <v>236.67</v>
      </c>
      <c r="J149" s="31" t="n">
        <f aca="false">H149*I149</f>
        <v>14200.2</v>
      </c>
    </row>
    <row r="150" customFormat="false" ht="15" hidden="false" customHeight="false" outlineLevel="0" collapsed="false">
      <c r="E150" s="4" t="s">
        <v>89</v>
      </c>
      <c r="F150" s="4" t="s">
        <v>274</v>
      </c>
      <c r="G150" s="4" t="s">
        <v>231</v>
      </c>
      <c r="H150" s="80" t="n">
        <v>60</v>
      </c>
      <c r="I150" s="81" t="n">
        <f aca="false">INDEX($C$5:$C$26,MATCH(G150,$A$5:$A$26,0))</f>
        <v>224.175</v>
      </c>
      <c r="J150" s="31" t="n">
        <f aca="false">H150*I150</f>
        <v>13450.5</v>
      </c>
    </row>
    <row r="151" customFormat="false" ht="15" hidden="false" customHeight="false" outlineLevel="0" collapsed="false">
      <c r="E151" s="4" t="s">
        <v>89</v>
      </c>
      <c r="F151" s="4" t="s">
        <v>274</v>
      </c>
      <c r="G151" s="4" t="s">
        <v>233</v>
      </c>
      <c r="H151" s="80" t="n">
        <v>45</v>
      </c>
      <c r="I151" s="81" t="n">
        <f aca="false">INDEX($C$5:$C$26,MATCH(G151,$A$5:$A$26,0))</f>
        <v>206.535</v>
      </c>
      <c r="J151" s="31" t="n">
        <f aca="false">H151*I151</f>
        <v>9294.075</v>
      </c>
    </row>
    <row r="152" customFormat="false" ht="15" hidden="false" customHeight="false" outlineLevel="0" collapsed="false">
      <c r="E152" s="4" t="s">
        <v>89</v>
      </c>
      <c r="F152" s="4" t="s">
        <v>272</v>
      </c>
      <c r="G152" s="4" t="s">
        <v>227</v>
      </c>
      <c r="H152" s="80" t="n">
        <v>45</v>
      </c>
      <c r="I152" s="81" t="n">
        <f aca="false">INDEX($C$5:$C$26,MATCH(G152,$A$5:$A$26,0))</f>
        <v>256.515</v>
      </c>
      <c r="J152" s="31" t="n">
        <f aca="false">H152*I152</f>
        <v>11543.175</v>
      </c>
    </row>
    <row r="153" customFormat="false" ht="15" hidden="false" customHeight="false" outlineLevel="0" collapsed="false">
      <c r="E153" s="4" t="s">
        <v>89</v>
      </c>
      <c r="F153" s="4" t="s">
        <v>272</v>
      </c>
      <c r="G153" s="4" t="s">
        <v>229</v>
      </c>
      <c r="H153" s="80" t="n">
        <v>75</v>
      </c>
      <c r="I153" s="81" t="n">
        <f aca="false">INDEX($C$5:$C$26,MATCH(G153,$A$5:$A$26,0))</f>
        <v>236.67</v>
      </c>
      <c r="J153" s="31" t="n">
        <f aca="false">H153*I153</f>
        <v>17750.25</v>
      </c>
    </row>
    <row r="154" customFormat="false" ht="15" hidden="false" customHeight="false" outlineLevel="0" collapsed="false">
      <c r="E154" s="4" t="s">
        <v>89</v>
      </c>
      <c r="F154" s="4" t="s">
        <v>272</v>
      </c>
      <c r="G154" s="4" t="s">
        <v>231</v>
      </c>
      <c r="H154" s="80" t="n">
        <v>75</v>
      </c>
      <c r="I154" s="81" t="n">
        <f aca="false">INDEX($C$5:$C$26,MATCH(G154,$A$5:$A$26,0))</f>
        <v>224.175</v>
      </c>
      <c r="J154" s="31" t="n">
        <f aca="false">H154*I154</f>
        <v>16813.125</v>
      </c>
    </row>
    <row r="155" customFormat="false" ht="15" hidden="false" customHeight="false" outlineLevel="0" collapsed="false">
      <c r="E155" s="4" t="s">
        <v>89</v>
      </c>
      <c r="F155" s="4" t="s">
        <v>272</v>
      </c>
      <c r="G155" s="4" t="s">
        <v>233</v>
      </c>
      <c r="H155" s="80" t="n">
        <v>45</v>
      </c>
      <c r="I155" s="81" t="n">
        <f aca="false">INDEX($C$5:$C$26,MATCH(G155,$A$5:$A$26,0))</f>
        <v>206.535</v>
      </c>
      <c r="J155" s="31" t="n">
        <f aca="false">H155*I155</f>
        <v>9294.075</v>
      </c>
    </row>
    <row r="156" customFormat="false" ht="15" hidden="false" customHeight="false" outlineLevel="0" collapsed="false">
      <c r="E156" s="4" t="s">
        <v>89</v>
      </c>
      <c r="F156" s="4" t="s">
        <v>273</v>
      </c>
      <c r="G156" s="4" t="s">
        <v>227</v>
      </c>
      <c r="H156" s="80" t="n">
        <v>40</v>
      </c>
      <c r="I156" s="81" t="n">
        <f aca="false">INDEX($C$5:$C$26,MATCH(G156,$A$5:$A$26,0))</f>
        <v>256.515</v>
      </c>
      <c r="J156" s="31" t="n">
        <f aca="false">H156*I156</f>
        <v>10260.6</v>
      </c>
    </row>
    <row r="157" customFormat="false" ht="15" hidden="false" customHeight="false" outlineLevel="0" collapsed="false">
      <c r="E157" s="4" t="s">
        <v>89</v>
      </c>
      <c r="F157" s="4" t="s">
        <v>273</v>
      </c>
      <c r="G157" s="4" t="s">
        <v>229</v>
      </c>
      <c r="H157" s="80" t="n">
        <v>55</v>
      </c>
      <c r="I157" s="81" t="n">
        <f aca="false">INDEX($C$5:$C$26,MATCH(G157,$A$5:$A$26,0))</f>
        <v>236.67</v>
      </c>
      <c r="J157" s="31" t="n">
        <f aca="false">H157*I157</f>
        <v>13016.85</v>
      </c>
    </row>
    <row r="158" customFormat="false" ht="15" hidden="false" customHeight="false" outlineLevel="0" collapsed="false">
      <c r="E158" s="4" t="s">
        <v>89</v>
      </c>
      <c r="F158" s="4" t="s">
        <v>273</v>
      </c>
      <c r="G158" s="4" t="s">
        <v>231</v>
      </c>
      <c r="H158" s="80" t="n">
        <v>55</v>
      </c>
      <c r="I158" s="81" t="n">
        <f aca="false">INDEX($C$5:$C$26,MATCH(G158,$A$5:$A$26,0))</f>
        <v>224.175</v>
      </c>
      <c r="J158" s="31" t="n">
        <f aca="false">H158*I158</f>
        <v>12329.625</v>
      </c>
    </row>
    <row r="159" customFormat="false" ht="15" hidden="false" customHeight="false" outlineLevel="0" collapsed="false">
      <c r="E159" s="4" t="s">
        <v>89</v>
      </c>
      <c r="F159" s="4" t="s">
        <v>273</v>
      </c>
      <c r="G159" s="4" t="s">
        <v>233</v>
      </c>
      <c r="H159" s="80" t="n">
        <v>40</v>
      </c>
      <c r="I159" s="81" t="n">
        <f aca="false">INDEX($C$5:$C$26,MATCH(G159,$A$5:$A$26,0))</f>
        <v>206.535</v>
      </c>
      <c r="J159" s="31" t="n">
        <f aca="false">H159*I159</f>
        <v>8261.4</v>
      </c>
    </row>
    <row r="160" customFormat="false" ht="15" hidden="false" customHeight="false" outlineLevel="0" collapsed="false">
      <c r="E160" s="4" t="s">
        <v>91</v>
      </c>
      <c r="F160" s="4" t="s">
        <v>249</v>
      </c>
      <c r="G160" s="4" t="s">
        <v>227</v>
      </c>
      <c r="H160" s="80" t="n">
        <v>75</v>
      </c>
      <c r="I160" s="81" t="n">
        <f aca="false">INDEX($C$5:$C$26,MATCH(G160,$A$5:$A$26,0))</f>
        <v>256.515</v>
      </c>
      <c r="J160" s="31" t="n">
        <f aca="false">H160*I160</f>
        <v>19238.625</v>
      </c>
    </row>
    <row r="161" customFormat="false" ht="15" hidden="false" customHeight="false" outlineLevel="0" collapsed="false">
      <c r="E161" s="4" t="s">
        <v>91</v>
      </c>
      <c r="F161" s="4" t="s">
        <v>249</v>
      </c>
      <c r="G161" s="4" t="s">
        <v>229</v>
      </c>
      <c r="H161" s="80" t="n">
        <v>210</v>
      </c>
      <c r="I161" s="81" t="n">
        <f aca="false">INDEX($C$5:$C$26,MATCH(G161,$A$5:$A$26,0))</f>
        <v>236.67</v>
      </c>
      <c r="J161" s="31" t="n">
        <f aca="false">H161*I161</f>
        <v>49700.7</v>
      </c>
    </row>
    <row r="162" customFormat="false" ht="15" hidden="false" customHeight="false" outlineLevel="0" collapsed="false">
      <c r="E162" s="4" t="s">
        <v>91</v>
      </c>
      <c r="F162" s="4" t="s">
        <v>249</v>
      </c>
      <c r="G162" s="4" t="s">
        <v>231</v>
      </c>
      <c r="H162" s="80" t="n">
        <v>235</v>
      </c>
      <c r="I162" s="81" t="n">
        <f aca="false">INDEX($C$5:$C$26,MATCH(G162,$A$5:$A$26,0))</f>
        <v>224.175</v>
      </c>
      <c r="J162" s="31" t="n">
        <f aca="false">H162*I162</f>
        <v>52681.125</v>
      </c>
    </row>
    <row r="163" customFormat="false" ht="15" hidden="false" customHeight="false" outlineLevel="0" collapsed="false">
      <c r="E163" s="4" t="s">
        <v>91</v>
      </c>
      <c r="F163" s="4" t="s">
        <v>249</v>
      </c>
      <c r="G163" s="4" t="s">
        <v>233</v>
      </c>
      <c r="H163" s="80" t="n">
        <v>75</v>
      </c>
      <c r="I163" s="81" t="n">
        <f aca="false">INDEX($C$5:$C$26,MATCH(G163,$A$5:$A$26,0))</f>
        <v>206.535</v>
      </c>
      <c r="J163" s="31" t="n">
        <f aca="false">H163*I163</f>
        <v>15490.125</v>
      </c>
    </row>
    <row r="164" customFormat="false" ht="15" hidden="false" customHeight="false" outlineLevel="0" collapsed="false">
      <c r="E164" s="4" t="s">
        <v>91</v>
      </c>
      <c r="F164" s="4" t="s">
        <v>274</v>
      </c>
      <c r="G164" s="4" t="s">
        <v>227</v>
      </c>
      <c r="H164" s="80" t="n">
        <v>40</v>
      </c>
      <c r="I164" s="81" t="n">
        <f aca="false">INDEX($C$5:$C$26,MATCH(G164,$A$5:$A$26,0))</f>
        <v>256.515</v>
      </c>
      <c r="J164" s="31" t="n">
        <f aca="false">H164*I164</f>
        <v>10260.6</v>
      </c>
    </row>
    <row r="165" customFormat="false" ht="15" hidden="false" customHeight="false" outlineLevel="0" collapsed="false">
      <c r="E165" s="4" t="s">
        <v>91</v>
      </c>
      <c r="F165" s="4" t="s">
        <v>274</v>
      </c>
      <c r="G165" s="4" t="s">
        <v>229</v>
      </c>
      <c r="H165" s="80" t="n">
        <v>100</v>
      </c>
      <c r="I165" s="81" t="n">
        <f aca="false">INDEX($C$5:$C$26,MATCH(G165,$A$5:$A$26,0))</f>
        <v>236.67</v>
      </c>
      <c r="J165" s="31" t="n">
        <f aca="false">H165*I165</f>
        <v>23667</v>
      </c>
    </row>
    <row r="166" customFormat="false" ht="15" hidden="false" customHeight="false" outlineLevel="0" collapsed="false">
      <c r="E166" s="4" t="s">
        <v>91</v>
      </c>
      <c r="F166" s="4" t="s">
        <v>274</v>
      </c>
      <c r="G166" s="4" t="s">
        <v>231</v>
      </c>
      <c r="H166" s="80" t="n">
        <v>120</v>
      </c>
      <c r="I166" s="81" t="n">
        <f aca="false">INDEX($C$5:$C$26,MATCH(G166,$A$5:$A$26,0))</f>
        <v>224.175</v>
      </c>
      <c r="J166" s="31" t="n">
        <f aca="false">H166*I166</f>
        <v>26901</v>
      </c>
    </row>
    <row r="167" customFormat="false" ht="15" hidden="false" customHeight="false" outlineLevel="0" collapsed="false">
      <c r="E167" s="4" t="s">
        <v>91</v>
      </c>
      <c r="F167" s="4" t="s">
        <v>274</v>
      </c>
      <c r="G167" s="4" t="s">
        <v>233</v>
      </c>
      <c r="H167" s="80" t="n">
        <v>45</v>
      </c>
      <c r="I167" s="81" t="n">
        <f aca="false">INDEX($C$5:$C$26,MATCH(G167,$A$5:$A$26,0))</f>
        <v>206.535</v>
      </c>
      <c r="J167" s="31" t="n">
        <f aca="false">H167*I167</f>
        <v>9294.075</v>
      </c>
    </row>
    <row r="168" customFormat="false" ht="15" hidden="false" customHeight="false" outlineLevel="0" collapsed="false">
      <c r="E168" s="4" t="s">
        <v>91</v>
      </c>
      <c r="F168" s="4" t="s">
        <v>272</v>
      </c>
      <c r="G168" s="4" t="s">
        <v>227</v>
      </c>
      <c r="H168" s="80" t="n">
        <v>45</v>
      </c>
      <c r="I168" s="81" t="n">
        <f aca="false">INDEX($C$5:$C$26,MATCH(G168,$A$5:$A$26,0))</f>
        <v>256.515</v>
      </c>
      <c r="J168" s="31" t="n">
        <f aca="false">H168*I168</f>
        <v>11543.175</v>
      </c>
    </row>
    <row r="169" customFormat="false" ht="15" hidden="false" customHeight="false" outlineLevel="0" collapsed="false">
      <c r="E169" s="4" t="s">
        <v>91</v>
      </c>
      <c r="F169" s="4" t="s">
        <v>272</v>
      </c>
      <c r="G169" s="4" t="s">
        <v>229</v>
      </c>
      <c r="H169" s="80" t="n">
        <v>105</v>
      </c>
      <c r="I169" s="81" t="n">
        <f aca="false">INDEX($C$5:$C$26,MATCH(G169,$A$5:$A$26,0))</f>
        <v>236.67</v>
      </c>
      <c r="J169" s="31" t="n">
        <f aca="false">H169*I169</f>
        <v>24850.35</v>
      </c>
    </row>
    <row r="170" customFormat="false" ht="15" hidden="false" customHeight="false" outlineLevel="0" collapsed="false">
      <c r="E170" s="4" t="s">
        <v>91</v>
      </c>
      <c r="F170" s="4" t="s">
        <v>272</v>
      </c>
      <c r="G170" s="4" t="s">
        <v>231</v>
      </c>
      <c r="H170" s="80" t="n">
        <v>130</v>
      </c>
      <c r="I170" s="81" t="n">
        <f aca="false">INDEX($C$5:$C$26,MATCH(G170,$A$5:$A$26,0))</f>
        <v>224.175</v>
      </c>
      <c r="J170" s="31" t="n">
        <f aca="false">H170*I170</f>
        <v>29142.75</v>
      </c>
    </row>
    <row r="171" customFormat="false" ht="15" hidden="false" customHeight="false" outlineLevel="0" collapsed="false">
      <c r="E171" s="4" t="s">
        <v>91</v>
      </c>
      <c r="F171" s="4" t="s">
        <v>272</v>
      </c>
      <c r="G171" s="4" t="s">
        <v>233</v>
      </c>
      <c r="H171" s="80" t="n">
        <v>65</v>
      </c>
      <c r="I171" s="81" t="n">
        <f aca="false">INDEX($C$5:$C$26,MATCH(G171,$A$5:$A$26,0))</f>
        <v>206.535</v>
      </c>
      <c r="J171" s="31" t="n">
        <f aca="false">H171*I171</f>
        <v>13424.775</v>
      </c>
    </row>
    <row r="172" customFormat="false" ht="15" hidden="false" customHeight="false" outlineLevel="0" collapsed="false">
      <c r="E172" s="4" t="s">
        <v>93</v>
      </c>
      <c r="F172" s="4" t="s">
        <v>107</v>
      </c>
      <c r="G172" s="4" t="s">
        <v>227</v>
      </c>
      <c r="H172" s="80" t="n">
        <v>45</v>
      </c>
      <c r="I172" s="81" t="n">
        <f aca="false">INDEX($C$5:$C$26,MATCH(G172,$A$5:$A$26,0))</f>
        <v>256.515</v>
      </c>
      <c r="J172" s="31" t="n">
        <f aca="false">H172*I172</f>
        <v>11543.175</v>
      </c>
    </row>
    <row r="173" customFormat="false" ht="15" hidden="false" customHeight="false" outlineLevel="0" collapsed="false">
      <c r="E173" s="4" t="s">
        <v>93</v>
      </c>
      <c r="F173" s="4" t="s">
        <v>107</v>
      </c>
      <c r="G173" s="4" t="s">
        <v>229</v>
      </c>
      <c r="H173" s="80" t="n">
        <v>120</v>
      </c>
      <c r="I173" s="81" t="n">
        <f aca="false">INDEX($C$5:$C$26,MATCH(G173,$A$5:$A$26,0))</f>
        <v>236.67</v>
      </c>
      <c r="J173" s="31" t="n">
        <f aca="false">H173*I173</f>
        <v>28400.4</v>
      </c>
    </row>
    <row r="174" customFormat="false" ht="15" hidden="false" customHeight="false" outlineLevel="0" collapsed="false">
      <c r="E174" s="4" t="s">
        <v>93</v>
      </c>
      <c r="F174" s="4" t="s">
        <v>107</v>
      </c>
      <c r="G174" s="4" t="s">
        <v>231</v>
      </c>
      <c r="H174" s="80" t="n">
        <v>130</v>
      </c>
      <c r="I174" s="81" t="n">
        <f aca="false">INDEX($C$5:$C$26,MATCH(G174,$A$5:$A$26,0))</f>
        <v>224.175</v>
      </c>
      <c r="J174" s="31" t="n">
        <f aca="false">H174*I174</f>
        <v>29142.75</v>
      </c>
    </row>
    <row r="175" customFormat="false" ht="15" hidden="false" customHeight="false" outlineLevel="0" collapsed="false">
      <c r="E175" s="4" t="s">
        <v>93</v>
      </c>
      <c r="F175" s="4" t="s">
        <v>107</v>
      </c>
      <c r="G175" s="4" t="s">
        <v>233</v>
      </c>
      <c r="H175" s="80" t="n">
        <v>55</v>
      </c>
      <c r="I175" s="81" t="n">
        <f aca="false">INDEX($C$5:$C$26,MATCH(G175,$A$5:$A$26,0))</f>
        <v>206.535</v>
      </c>
      <c r="J175" s="31" t="n">
        <f aca="false">H175*I175</f>
        <v>11359.425</v>
      </c>
    </row>
    <row r="176" customFormat="false" ht="15" hidden="false" customHeight="false" outlineLevel="0" collapsed="false">
      <c r="E176" s="4" t="s">
        <v>93</v>
      </c>
      <c r="F176" s="4" t="s">
        <v>249</v>
      </c>
      <c r="G176" s="4" t="s">
        <v>227</v>
      </c>
      <c r="H176" s="80" t="n">
        <v>105</v>
      </c>
      <c r="I176" s="81" t="n">
        <f aca="false">INDEX($C$5:$C$26,MATCH(G176,$A$5:$A$26,0))</f>
        <v>256.515</v>
      </c>
      <c r="J176" s="31" t="n">
        <f aca="false">H176*I176</f>
        <v>26934.075</v>
      </c>
    </row>
    <row r="177" customFormat="false" ht="15" hidden="false" customHeight="false" outlineLevel="0" collapsed="false">
      <c r="E177" s="4" t="s">
        <v>93</v>
      </c>
      <c r="F177" s="4" t="s">
        <v>249</v>
      </c>
      <c r="G177" s="4" t="s">
        <v>229</v>
      </c>
      <c r="H177" s="80" t="n">
        <v>265</v>
      </c>
      <c r="I177" s="81" t="n">
        <f aca="false">INDEX($C$5:$C$26,MATCH(G177,$A$5:$A$26,0))</f>
        <v>236.67</v>
      </c>
      <c r="J177" s="31" t="n">
        <f aca="false">H177*I177</f>
        <v>62717.55</v>
      </c>
    </row>
    <row r="178" customFormat="false" ht="15" hidden="false" customHeight="false" outlineLevel="0" collapsed="false">
      <c r="E178" s="4" t="s">
        <v>93</v>
      </c>
      <c r="F178" s="4" t="s">
        <v>249</v>
      </c>
      <c r="G178" s="4" t="s">
        <v>231</v>
      </c>
      <c r="H178" s="80" t="n">
        <v>325</v>
      </c>
      <c r="I178" s="81" t="n">
        <f aca="false">INDEX($C$5:$C$26,MATCH(G178,$A$5:$A$26,0))</f>
        <v>224.175</v>
      </c>
      <c r="J178" s="31" t="n">
        <f aca="false">H178*I178</f>
        <v>72856.875</v>
      </c>
    </row>
    <row r="179" customFormat="false" ht="15" hidden="false" customHeight="false" outlineLevel="0" collapsed="false">
      <c r="E179" s="4" t="s">
        <v>93</v>
      </c>
      <c r="F179" s="4" t="s">
        <v>249</v>
      </c>
      <c r="G179" s="4" t="s">
        <v>233</v>
      </c>
      <c r="H179" s="80" t="n">
        <v>120</v>
      </c>
      <c r="I179" s="81" t="n">
        <f aca="false">INDEX($C$5:$C$26,MATCH(G179,$A$5:$A$26,0))</f>
        <v>206.535</v>
      </c>
      <c r="J179" s="31" t="n">
        <f aca="false">H179*I179</f>
        <v>24784.2</v>
      </c>
    </row>
    <row r="180" customFormat="false" ht="15" hidden="false" customHeight="false" outlineLevel="0" collapsed="false">
      <c r="E180" s="4" t="s">
        <v>93</v>
      </c>
      <c r="F180" s="4" t="s">
        <v>274</v>
      </c>
      <c r="G180" s="4" t="s">
        <v>227</v>
      </c>
      <c r="H180" s="80" t="n">
        <v>45</v>
      </c>
      <c r="I180" s="81" t="n">
        <f aca="false">INDEX($C$5:$C$26,MATCH(G180,$A$5:$A$26,0))</f>
        <v>256.515</v>
      </c>
      <c r="J180" s="31" t="n">
        <f aca="false">H180*I180</f>
        <v>11543.175</v>
      </c>
    </row>
    <row r="181" customFormat="false" ht="15" hidden="false" customHeight="false" outlineLevel="0" collapsed="false">
      <c r="E181" s="4" t="s">
        <v>93</v>
      </c>
      <c r="F181" s="4" t="s">
        <v>274</v>
      </c>
      <c r="G181" s="4" t="s">
        <v>229</v>
      </c>
      <c r="H181" s="80" t="n">
        <v>125</v>
      </c>
      <c r="I181" s="81" t="n">
        <f aca="false">INDEX($C$5:$C$26,MATCH(G181,$A$5:$A$26,0))</f>
        <v>236.67</v>
      </c>
      <c r="J181" s="31" t="n">
        <f aca="false">H181*I181</f>
        <v>29583.75</v>
      </c>
    </row>
    <row r="182" customFormat="false" ht="15" hidden="false" customHeight="false" outlineLevel="0" collapsed="false">
      <c r="E182" s="4" t="s">
        <v>93</v>
      </c>
      <c r="F182" s="4" t="s">
        <v>274</v>
      </c>
      <c r="G182" s="4" t="s">
        <v>231</v>
      </c>
      <c r="H182" s="80" t="n">
        <v>135</v>
      </c>
      <c r="I182" s="81" t="n">
        <f aca="false">INDEX($C$5:$C$26,MATCH(G182,$A$5:$A$26,0))</f>
        <v>224.175</v>
      </c>
      <c r="J182" s="31" t="n">
        <f aca="false">H182*I182</f>
        <v>30263.625</v>
      </c>
    </row>
    <row r="183" customFormat="false" ht="15" hidden="false" customHeight="false" outlineLevel="0" collapsed="false">
      <c r="E183" s="4" t="s">
        <v>93</v>
      </c>
      <c r="F183" s="4" t="s">
        <v>274</v>
      </c>
      <c r="G183" s="4" t="s">
        <v>233</v>
      </c>
      <c r="H183" s="80" t="n">
        <v>65</v>
      </c>
      <c r="I183" s="81" t="n">
        <f aca="false">INDEX($C$5:$C$26,MATCH(G183,$A$5:$A$26,0))</f>
        <v>206.535</v>
      </c>
      <c r="J183" s="31" t="n">
        <f aca="false">H183*I183</f>
        <v>13424.775</v>
      </c>
    </row>
    <row r="184" customFormat="false" ht="15" hidden="false" customHeight="false" outlineLevel="0" collapsed="false">
      <c r="E184" s="4" t="s">
        <v>93</v>
      </c>
      <c r="F184" s="4" t="s">
        <v>272</v>
      </c>
      <c r="G184" s="4" t="s">
        <v>227</v>
      </c>
      <c r="H184" s="80" t="n">
        <v>45</v>
      </c>
      <c r="I184" s="81" t="n">
        <f aca="false">INDEX($C$5:$C$26,MATCH(G184,$A$5:$A$26,0))</f>
        <v>256.515</v>
      </c>
      <c r="J184" s="31" t="n">
        <f aca="false">H184*I184</f>
        <v>11543.175</v>
      </c>
    </row>
    <row r="185" customFormat="false" ht="15" hidden="false" customHeight="false" outlineLevel="0" collapsed="false">
      <c r="E185" s="4" t="s">
        <v>93</v>
      </c>
      <c r="F185" s="4" t="s">
        <v>272</v>
      </c>
      <c r="G185" s="4" t="s">
        <v>229</v>
      </c>
      <c r="H185" s="80" t="n">
        <v>105</v>
      </c>
      <c r="I185" s="81" t="n">
        <f aca="false">INDEX($C$5:$C$26,MATCH(G185,$A$5:$A$26,0))</f>
        <v>236.67</v>
      </c>
      <c r="J185" s="31" t="n">
        <f aca="false">H185*I185</f>
        <v>24850.35</v>
      </c>
    </row>
    <row r="186" customFormat="false" ht="15" hidden="false" customHeight="false" outlineLevel="0" collapsed="false">
      <c r="E186" s="4" t="s">
        <v>93</v>
      </c>
      <c r="F186" s="4" t="s">
        <v>272</v>
      </c>
      <c r="G186" s="4" t="s">
        <v>231</v>
      </c>
      <c r="H186" s="80" t="n">
        <v>140</v>
      </c>
      <c r="I186" s="81" t="n">
        <f aca="false">INDEX($C$5:$C$26,MATCH(G186,$A$5:$A$26,0))</f>
        <v>224.175</v>
      </c>
      <c r="J186" s="31" t="n">
        <f aca="false">H186*I186</f>
        <v>31384.5</v>
      </c>
    </row>
    <row r="187" customFormat="false" ht="15" hidden="false" customHeight="false" outlineLevel="0" collapsed="false">
      <c r="E187" s="4" t="s">
        <v>93</v>
      </c>
      <c r="F187" s="4" t="s">
        <v>272</v>
      </c>
      <c r="G187" s="4" t="s">
        <v>233</v>
      </c>
      <c r="H187" s="80" t="n">
        <v>65</v>
      </c>
      <c r="I187" s="81" t="n">
        <f aca="false">INDEX($C$5:$C$26,MATCH(G187,$A$5:$A$26,0))</f>
        <v>206.535</v>
      </c>
      <c r="J187" s="31" t="n">
        <f aca="false">H187*I187</f>
        <v>13424.775</v>
      </c>
    </row>
    <row r="188" customFormat="false" ht="15" hidden="false" customHeight="false" outlineLevel="0" collapsed="false">
      <c r="E188" s="4" t="s">
        <v>93</v>
      </c>
      <c r="F188" s="4" t="s">
        <v>273</v>
      </c>
      <c r="G188" s="4" t="s">
        <v>227</v>
      </c>
      <c r="H188" s="80" t="n">
        <v>45</v>
      </c>
      <c r="I188" s="81" t="n">
        <f aca="false">INDEX($C$5:$C$26,MATCH(G188,$A$5:$A$26,0))</f>
        <v>256.515</v>
      </c>
      <c r="J188" s="31" t="n">
        <f aca="false">H188*I188</f>
        <v>11543.175</v>
      </c>
    </row>
    <row r="189" customFormat="false" ht="15" hidden="false" customHeight="false" outlineLevel="0" collapsed="false">
      <c r="E189" s="4" t="s">
        <v>93</v>
      </c>
      <c r="F189" s="4" t="s">
        <v>273</v>
      </c>
      <c r="G189" s="4" t="s">
        <v>229</v>
      </c>
      <c r="H189" s="80" t="n">
        <v>85</v>
      </c>
      <c r="I189" s="81" t="n">
        <f aca="false">INDEX($C$5:$C$26,MATCH(G189,$A$5:$A$26,0))</f>
        <v>236.67</v>
      </c>
      <c r="J189" s="31" t="n">
        <f aca="false">H189*I189</f>
        <v>20116.95</v>
      </c>
    </row>
    <row r="190" customFormat="false" ht="15" hidden="false" customHeight="false" outlineLevel="0" collapsed="false">
      <c r="E190" s="4" t="s">
        <v>93</v>
      </c>
      <c r="F190" s="4" t="s">
        <v>273</v>
      </c>
      <c r="G190" s="4" t="s">
        <v>231</v>
      </c>
      <c r="H190" s="80" t="n">
        <v>90</v>
      </c>
      <c r="I190" s="81" t="n">
        <f aca="false">INDEX($C$5:$C$26,MATCH(G190,$A$5:$A$26,0))</f>
        <v>224.175</v>
      </c>
      <c r="J190" s="31" t="n">
        <f aca="false">H190*I190</f>
        <v>20175.75</v>
      </c>
    </row>
    <row r="191" customFormat="false" ht="15" hidden="false" customHeight="false" outlineLevel="0" collapsed="false">
      <c r="E191" s="4" t="s">
        <v>93</v>
      </c>
      <c r="F191" s="4" t="s">
        <v>273</v>
      </c>
      <c r="G191" s="4" t="s">
        <v>233</v>
      </c>
      <c r="H191" s="80" t="n">
        <v>40</v>
      </c>
      <c r="I191" s="81" t="n">
        <f aca="false">INDEX($C$5:$C$26,MATCH(G191,$A$5:$A$26,0))</f>
        <v>206.535</v>
      </c>
      <c r="J191" s="31" t="n">
        <f aca="false">H191*I191</f>
        <v>8261.4</v>
      </c>
    </row>
    <row r="192" customFormat="false" ht="15" hidden="false" customHeight="false" outlineLevel="0" collapsed="false">
      <c r="E192" s="4" t="s">
        <v>95</v>
      </c>
      <c r="F192" s="4" t="s">
        <v>249</v>
      </c>
      <c r="G192" s="4" t="s">
        <v>227</v>
      </c>
      <c r="H192" s="80" t="n">
        <v>65</v>
      </c>
      <c r="I192" s="81" t="n">
        <f aca="false">INDEX($C$5:$C$26,MATCH(G192,$A$5:$A$26,0))</f>
        <v>256.515</v>
      </c>
      <c r="J192" s="31" t="n">
        <f aca="false">H192*I192</f>
        <v>16673.475</v>
      </c>
    </row>
    <row r="193" customFormat="false" ht="15" hidden="false" customHeight="false" outlineLevel="0" collapsed="false">
      <c r="E193" s="4" t="s">
        <v>95</v>
      </c>
      <c r="F193" s="4" t="s">
        <v>249</v>
      </c>
      <c r="G193" s="4" t="s">
        <v>229</v>
      </c>
      <c r="H193" s="80" t="n">
        <v>140</v>
      </c>
      <c r="I193" s="81" t="n">
        <f aca="false">INDEX($C$5:$C$26,MATCH(G193,$A$5:$A$26,0))</f>
        <v>236.67</v>
      </c>
      <c r="J193" s="31" t="n">
        <f aca="false">H193*I193</f>
        <v>33133.8</v>
      </c>
    </row>
    <row r="194" customFormat="false" ht="15" hidden="false" customHeight="false" outlineLevel="0" collapsed="false">
      <c r="E194" s="4" t="s">
        <v>95</v>
      </c>
      <c r="F194" s="4" t="s">
        <v>249</v>
      </c>
      <c r="G194" s="4" t="s">
        <v>231</v>
      </c>
      <c r="H194" s="80" t="n">
        <v>150</v>
      </c>
      <c r="I194" s="81" t="n">
        <f aca="false">INDEX($C$5:$C$26,MATCH(G194,$A$5:$A$26,0))</f>
        <v>224.175</v>
      </c>
      <c r="J194" s="31" t="n">
        <f aca="false">H194*I194</f>
        <v>33626.25</v>
      </c>
    </row>
    <row r="195" customFormat="false" ht="15" hidden="false" customHeight="false" outlineLevel="0" collapsed="false">
      <c r="E195" s="4" t="s">
        <v>95</v>
      </c>
      <c r="F195" s="4" t="s">
        <v>249</v>
      </c>
      <c r="G195" s="4" t="s">
        <v>233</v>
      </c>
      <c r="H195" s="80" t="n">
        <v>45</v>
      </c>
      <c r="I195" s="81" t="n">
        <f aca="false">INDEX($C$5:$C$26,MATCH(G195,$A$5:$A$26,0))</f>
        <v>206.535</v>
      </c>
      <c r="J195" s="31" t="n">
        <f aca="false">H195*I195</f>
        <v>9294.075</v>
      </c>
    </row>
    <row r="196" customFormat="false" ht="15" hidden="false" customHeight="false" outlineLevel="0" collapsed="false">
      <c r="E196" s="4" t="s">
        <v>95</v>
      </c>
      <c r="F196" s="4" t="s">
        <v>274</v>
      </c>
      <c r="G196" s="4" t="s">
        <v>227</v>
      </c>
      <c r="H196" s="80" t="n">
        <v>40</v>
      </c>
      <c r="I196" s="81" t="n">
        <f aca="false">INDEX($C$5:$C$26,MATCH(G196,$A$5:$A$26,0))</f>
        <v>256.515</v>
      </c>
      <c r="J196" s="31" t="n">
        <f aca="false">H196*I196</f>
        <v>10260.6</v>
      </c>
    </row>
    <row r="197" customFormat="false" ht="15" hidden="false" customHeight="false" outlineLevel="0" collapsed="false">
      <c r="E197" s="4" t="s">
        <v>95</v>
      </c>
      <c r="F197" s="4" t="s">
        <v>274</v>
      </c>
      <c r="G197" s="4" t="s">
        <v>229</v>
      </c>
      <c r="H197" s="80" t="n">
        <v>85</v>
      </c>
      <c r="I197" s="81" t="n">
        <f aca="false">INDEX($C$5:$C$26,MATCH(G197,$A$5:$A$26,0))</f>
        <v>236.67</v>
      </c>
      <c r="J197" s="31" t="n">
        <f aca="false">H197*I197</f>
        <v>20116.95</v>
      </c>
    </row>
    <row r="198" customFormat="false" ht="15" hidden="false" customHeight="false" outlineLevel="0" collapsed="false">
      <c r="E198" s="4" t="s">
        <v>95</v>
      </c>
      <c r="F198" s="4" t="s">
        <v>274</v>
      </c>
      <c r="G198" s="4" t="s">
        <v>231</v>
      </c>
      <c r="H198" s="80" t="n">
        <v>95</v>
      </c>
      <c r="I198" s="81" t="n">
        <f aca="false">INDEX($C$5:$C$26,MATCH(G198,$A$5:$A$26,0))</f>
        <v>224.175</v>
      </c>
      <c r="J198" s="31" t="n">
        <f aca="false">H198*I198</f>
        <v>21296.625</v>
      </c>
    </row>
    <row r="199" customFormat="false" ht="15" hidden="false" customHeight="false" outlineLevel="0" collapsed="false">
      <c r="E199" s="4" t="s">
        <v>95</v>
      </c>
      <c r="F199" s="4" t="s">
        <v>274</v>
      </c>
      <c r="G199" s="4" t="s">
        <v>233</v>
      </c>
      <c r="H199" s="80" t="n">
        <v>45</v>
      </c>
      <c r="I199" s="81" t="n">
        <f aca="false">INDEX($C$5:$C$26,MATCH(G199,$A$5:$A$26,0))</f>
        <v>206.535</v>
      </c>
      <c r="J199" s="31" t="n">
        <f aca="false">H199*I199</f>
        <v>9294.075</v>
      </c>
    </row>
    <row r="200" customFormat="false" ht="15" hidden="false" customHeight="false" outlineLevel="0" collapsed="false">
      <c r="E200" s="4" t="s">
        <v>95</v>
      </c>
      <c r="F200" s="4" t="s">
        <v>272</v>
      </c>
      <c r="G200" s="4" t="s">
        <v>227</v>
      </c>
      <c r="H200" s="80" t="n">
        <v>45</v>
      </c>
      <c r="I200" s="81" t="n">
        <f aca="false">INDEX($C$5:$C$26,MATCH(G200,$A$5:$A$26,0))</f>
        <v>256.515</v>
      </c>
      <c r="J200" s="31" t="n">
        <f aca="false">H200*I200</f>
        <v>11543.175</v>
      </c>
    </row>
    <row r="201" customFormat="false" ht="15" hidden="false" customHeight="false" outlineLevel="0" collapsed="false">
      <c r="E201" s="4" t="s">
        <v>95</v>
      </c>
      <c r="F201" s="4" t="s">
        <v>272</v>
      </c>
      <c r="G201" s="4" t="s">
        <v>229</v>
      </c>
      <c r="H201" s="80" t="n">
        <v>105</v>
      </c>
      <c r="I201" s="81" t="n">
        <f aca="false">INDEX($C$5:$C$26,MATCH(G201,$A$5:$A$26,0))</f>
        <v>236.67</v>
      </c>
      <c r="J201" s="31" t="n">
        <f aca="false">H201*I201</f>
        <v>24850.35</v>
      </c>
    </row>
    <row r="202" customFormat="false" ht="15" hidden="false" customHeight="false" outlineLevel="0" collapsed="false">
      <c r="E202" s="4" t="s">
        <v>95</v>
      </c>
      <c r="F202" s="4" t="s">
        <v>272</v>
      </c>
      <c r="G202" s="4" t="s">
        <v>231</v>
      </c>
      <c r="H202" s="80" t="n">
        <v>105</v>
      </c>
      <c r="I202" s="81" t="n">
        <f aca="false">INDEX($C$5:$C$26,MATCH(G202,$A$5:$A$26,0))</f>
        <v>224.175</v>
      </c>
      <c r="J202" s="31" t="n">
        <f aca="false">H202*I202</f>
        <v>23538.375</v>
      </c>
    </row>
    <row r="203" customFormat="false" ht="15" hidden="false" customHeight="false" outlineLevel="0" collapsed="false">
      <c r="E203" s="4" t="s">
        <v>95</v>
      </c>
      <c r="F203" s="4" t="s">
        <v>272</v>
      </c>
      <c r="G203" s="4" t="s">
        <v>233</v>
      </c>
      <c r="H203" s="80" t="n">
        <v>45</v>
      </c>
      <c r="I203" s="81" t="n">
        <f aca="false">INDEX($C$5:$C$26,MATCH(G203,$A$5:$A$26,0))</f>
        <v>206.535</v>
      </c>
      <c r="J203" s="31" t="n">
        <f aca="false">H203*I203</f>
        <v>9294.075</v>
      </c>
    </row>
    <row r="204" customFormat="false" ht="15" hidden="false" customHeight="false" outlineLevel="0" collapsed="false">
      <c r="E204" s="4" t="s">
        <v>95</v>
      </c>
      <c r="F204" s="4" t="s">
        <v>273</v>
      </c>
      <c r="G204" s="4" t="s">
        <v>227</v>
      </c>
      <c r="H204" s="80" t="n">
        <v>45</v>
      </c>
      <c r="I204" s="81" t="n">
        <f aca="false">INDEX($C$5:$C$26,MATCH(G204,$A$5:$A$26,0))</f>
        <v>256.515</v>
      </c>
      <c r="J204" s="31" t="n">
        <f aca="false">H204*I204</f>
        <v>11543.175</v>
      </c>
    </row>
    <row r="205" customFormat="false" ht="15" hidden="false" customHeight="false" outlineLevel="0" collapsed="false">
      <c r="E205" s="4" t="s">
        <v>95</v>
      </c>
      <c r="F205" s="4" t="s">
        <v>273</v>
      </c>
      <c r="G205" s="4" t="s">
        <v>229</v>
      </c>
      <c r="H205" s="80" t="n">
        <v>85</v>
      </c>
      <c r="I205" s="81" t="n">
        <f aca="false">INDEX($C$5:$C$26,MATCH(G205,$A$5:$A$26,0))</f>
        <v>236.67</v>
      </c>
      <c r="J205" s="31" t="n">
        <f aca="false">H205*I205</f>
        <v>20116.95</v>
      </c>
    </row>
    <row r="206" customFormat="false" ht="15" hidden="false" customHeight="false" outlineLevel="0" collapsed="false">
      <c r="E206" s="4" t="s">
        <v>95</v>
      </c>
      <c r="F206" s="4" t="s">
        <v>273</v>
      </c>
      <c r="G206" s="4" t="s">
        <v>231</v>
      </c>
      <c r="H206" s="80" t="n">
        <v>75</v>
      </c>
      <c r="I206" s="81" t="n">
        <f aca="false">INDEX($C$5:$C$26,MATCH(G206,$A$5:$A$26,0))</f>
        <v>224.175</v>
      </c>
      <c r="J206" s="31" t="n">
        <f aca="false">H206*I206</f>
        <v>16813.125</v>
      </c>
    </row>
    <row r="207" customFormat="false" ht="15" hidden="false" customHeight="false" outlineLevel="0" collapsed="false">
      <c r="E207" s="4" t="s">
        <v>95</v>
      </c>
      <c r="F207" s="4" t="s">
        <v>273</v>
      </c>
      <c r="G207" s="4" t="s">
        <v>233</v>
      </c>
      <c r="H207" s="80" t="n">
        <v>40</v>
      </c>
      <c r="I207" s="81" t="n">
        <f aca="false">INDEX($C$5:$C$26,MATCH(G207,$A$5:$A$26,0))</f>
        <v>206.535</v>
      </c>
      <c r="J207" s="31" t="n">
        <f aca="false">H207*I207</f>
        <v>8261.4</v>
      </c>
    </row>
    <row r="208" customFormat="false" ht="15" hidden="false" customHeight="false" outlineLevel="0" collapsed="false">
      <c r="E208" s="4" t="s">
        <v>97</v>
      </c>
      <c r="F208" s="4" t="s">
        <v>272</v>
      </c>
      <c r="G208" s="4" t="s">
        <v>227</v>
      </c>
      <c r="H208" s="80" t="n">
        <v>45</v>
      </c>
      <c r="I208" s="81" t="n">
        <f aca="false">INDEX($C$5:$C$26,MATCH(G208,$A$5:$A$26,0))</f>
        <v>256.515</v>
      </c>
      <c r="J208" s="31" t="n">
        <f aca="false">H208*I208</f>
        <v>11543.175</v>
      </c>
    </row>
    <row r="209" customFormat="false" ht="15" hidden="false" customHeight="false" outlineLevel="0" collapsed="false">
      <c r="E209" s="4" t="s">
        <v>97</v>
      </c>
      <c r="F209" s="4" t="s">
        <v>272</v>
      </c>
      <c r="G209" s="4" t="s">
        <v>229</v>
      </c>
      <c r="H209" s="80" t="n">
        <v>105</v>
      </c>
      <c r="I209" s="81" t="n">
        <f aca="false">INDEX($C$5:$C$26,MATCH(G209,$A$5:$A$26,0))</f>
        <v>236.67</v>
      </c>
      <c r="J209" s="31" t="n">
        <f aca="false">H209*I209</f>
        <v>24850.35</v>
      </c>
    </row>
    <row r="210" customFormat="false" ht="15" hidden="false" customHeight="false" outlineLevel="0" collapsed="false">
      <c r="E210" s="4" t="s">
        <v>97</v>
      </c>
      <c r="F210" s="4" t="s">
        <v>272</v>
      </c>
      <c r="G210" s="4" t="s">
        <v>231</v>
      </c>
      <c r="H210" s="80" t="n">
        <v>140</v>
      </c>
      <c r="I210" s="81" t="n">
        <f aca="false">INDEX($C$5:$C$26,MATCH(G210,$A$5:$A$26,0))</f>
        <v>224.175</v>
      </c>
      <c r="J210" s="31" t="n">
        <f aca="false">H210*I210</f>
        <v>31384.5</v>
      </c>
    </row>
    <row r="211" customFormat="false" ht="15" hidden="false" customHeight="false" outlineLevel="0" collapsed="false">
      <c r="E211" s="4" t="s">
        <v>97</v>
      </c>
      <c r="F211" s="4" t="s">
        <v>272</v>
      </c>
      <c r="G211" s="4" t="s">
        <v>233</v>
      </c>
      <c r="H211" s="80" t="n">
        <v>65</v>
      </c>
      <c r="I211" s="81" t="n">
        <f aca="false">INDEX($C$5:$C$26,MATCH(G211,$A$5:$A$26,0))</f>
        <v>206.535</v>
      </c>
      <c r="J211" s="31" t="n">
        <f aca="false">H211*I211</f>
        <v>13424.775</v>
      </c>
    </row>
    <row r="212" customFormat="false" ht="15" hidden="false" customHeight="false" outlineLevel="0" collapsed="false">
      <c r="E212" s="4" t="s">
        <v>97</v>
      </c>
      <c r="F212" s="4" t="s">
        <v>273</v>
      </c>
      <c r="G212" s="4" t="s">
        <v>227</v>
      </c>
      <c r="H212" s="80" t="n">
        <v>55</v>
      </c>
      <c r="I212" s="81" t="n">
        <f aca="false">INDEX($C$5:$C$26,MATCH(G212,$A$5:$A$26,0))</f>
        <v>256.515</v>
      </c>
      <c r="J212" s="31" t="n">
        <f aca="false">H212*I212</f>
        <v>14108.325</v>
      </c>
    </row>
    <row r="213" customFormat="false" ht="15" hidden="false" customHeight="false" outlineLevel="0" collapsed="false">
      <c r="E213" s="4" t="s">
        <v>97</v>
      </c>
      <c r="F213" s="4" t="s">
        <v>273</v>
      </c>
      <c r="G213" s="4" t="s">
        <v>229</v>
      </c>
      <c r="H213" s="80" t="n">
        <v>155</v>
      </c>
      <c r="I213" s="81" t="n">
        <f aca="false">INDEX($C$5:$C$26,MATCH(G213,$A$5:$A$26,0))</f>
        <v>236.67</v>
      </c>
      <c r="J213" s="31" t="n">
        <f aca="false">H213*I213</f>
        <v>36683.85</v>
      </c>
    </row>
    <row r="214" customFormat="false" ht="15" hidden="false" customHeight="false" outlineLevel="0" collapsed="false">
      <c r="E214" s="4" t="s">
        <v>97</v>
      </c>
      <c r="F214" s="4" t="s">
        <v>273</v>
      </c>
      <c r="G214" s="4" t="s">
        <v>231</v>
      </c>
      <c r="H214" s="80" t="n">
        <v>190</v>
      </c>
      <c r="I214" s="81" t="n">
        <f aca="false">INDEX($C$5:$C$26,MATCH(G214,$A$5:$A$26,0))</f>
        <v>224.175</v>
      </c>
      <c r="J214" s="31" t="n">
        <f aca="false">H214*I214</f>
        <v>42593.25</v>
      </c>
    </row>
    <row r="215" customFormat="false" ht="15" hidden="false" customHeight="false" outlineLevel="0" collapsed="false">
      <c r="E215" s="4" t="s">
        <v>97</v>
      </c>
      <c r="F215" s="4" t="s">
        <v>273</v>
      </c>
      <c r="G215" s="4" t="s">
        <v>233</v>
      </c>
      <c r="H215" s="80" t="n">
        <v>75</v>
      </c>
      <c r="I215" s="81" t="n">
        <f aca="false">INDEX($C$5:$C$26,MATCH(G215,$A$5:$A$26,0))</f>
        <v>206.535</v>
      </c>
      <c r="J215" s="31" t="n">
        <f aca="false">H215*I215</f>
        <v>15490.125</v>
      </c>
    </row>
    <row r="216" customFormat="false" ht="15" hidden="false" customHeight="false" outlineLevel="0" collapsed="false">
      <c r="E216" s="4" t="s">
        <v>99</v>
      </c>
      <c r="F216" s="4" t="s">
        <v>249</v>
      </c>
      <c r="G216" s="4" t="s">
        <v>227</v>
      </c>
      <c r="H216" s="80" t="n">
        <v>80</v>
      </c>
      <c r="I216" s="81" t="n">
        <f aca="false">INDEX($C$5:$C$26,MATCH(G216,$A$5:$A$26,0))</f>
        <v>256.515</v>
      </c>
      <c r="J216" s="31" t="n">
        <f aca="false">H216*I216</f>
        <v>20521.2</v>
      </c>
    </row>
    <row r="217" customFormat="false" ht="15" hidden="false" customHeight="false" outlineLevel="0" collapsed="false">
      <c r="E217" s="4" t="s">
        <v>99</v>
      </c>
      <c r="F217" s="4" t="s">
        <v>249</v>
      </c>
      <c r="G217" s="4" t="s">
        <v>229</v>
      </c>
      <c r="H217" s="80" t="n">
        <v>230</v>
      </c>
      <c r="I217" s="81" t="n">
        <f aca="false">INDEX($C$5:$C$26,MATCH(G217,$A$5:$A$26,0))</f>
        <v>236.67</v>
      </c>
      <c r="J217" s="31" t="n">
        <f aca="false">H217*I217</f>
        <v>54434.1</v>
      </c>
    </row>
    <row r="218" customFormat="false" ht="15" hidden="false" customHeight="false" outlineLevel="0" collapsed="false">
      <c r="E218" s="4" t="s">
        <v>99</v>
      </c>
      <c r="F218" s="4" t="s">
        <v>249</v>
      </c>
      <c r="G218" s="4" t="s">
        <v>231</v>
      </c>
      <c r="H218" s="80" t="n">
        <v>190</v>
      </c>
      <c r="I218" s="81" t="n">
        <f aca="false">INDEX($C$5:$C$26,MATCH(G218,$A$5:$A$26,0))</f>
        <v>224.175</v>
      </c>
      <c r="J218" s="31" t="n">
        <f aca="false">H218*I218</f>
        <v>42593.25</v>
      </c>
    </row>
    <row r="219" customFormat="false" ht="15" hidden="false" customHeight="false" outlineLevel="0" collapsed="false">
      <c r="E219" s="4" t="s">
        <v>99</v>
      </c>
      <c r="F219" s="4" t="s">
        <v>249</v>
      </c>
      <c r="G219" s="4" t="s">
        <v>233</v>
      </c>
      <c r="H219" s="80" t="n">
        <v>65</v>
      </c>
      <c r="I219" s="81" t="n">
        <f aca="false">INDEX($C$5:$C$26,MATCH(G219,$A$5:$A$26,0))</f>
        <v>206.535</v>
      </c>
      <c r="J219" s="31" t="n">
        <f aca="false">H219*I219</f>
        <v>13424.775</v>
      </c>
    </row>
    <row r="220" customFormat="false" ht="15" hidden="false" customHeight="false" outlineLevel="0" collapsed="false">
      <c r="E220" s="4" t="s">
        <v>101</v>
      </c>
      <c r="F220" s="4" t="s">
        <v>274</v>
      </c>
      <c r="G220" s="4" t="s">
        <v>227</v>
      </c>
      <c r="H220" s="80" t="n">
        <v>45</v>
      </c>
      <c r="I220" s="81" t="n">
        <f aca="false">INDEX($C$5:$C$26,MATCH(G220,$A$5:$A$26,0))</f>
        <v>256.515</v>
      </c>
      <c r="J220" s="31" t="n">
        <f aca="false">H220*I220</f>
        <v>11543.175</v>
      </c>
    </row>
    <row r="221" customFormat="false" ht="15" hidden="false" customHeight="false" outlineLevel="0" collapsed="false">
      <c r="E221" s="4" t="s">
        <v>101</v>
      </c>
      <c r="F221" s="4" t="s">
        <v>274</v>
      </c>
      <c r="G221" s="4" t="s">
        <v>229</v>
      </c>
      <c r="H221" s="80" t="n">
        <v>180</v>
      </c>
      <c r="I221" s="81" t="n">
        <f aca="false">INDEX($C$5:$C$26,MATCH(G221,$A$5:$A$26,0))</f>
        <v>236.67</v>
      </c>
      <c r="J221" s="31" t="n">
        <f aca="false">H221*I221</f>
        <v>42600.6</v>
      </c>
    </row>
    <row r="222" customFormat="false" ht="15" hidden="false" customHeight="false" outlineLevel="0" collapsed="false">
      <c r="E222" s="4" t="s">
        <v>101</v>
      </c>
      <c r="F222" s="4" t="s">
        <v>274</v>
      </c>
      <c r="G222" s="4" t="s">
        <v>231</v>
      </c>
      <c r="H222" s="80" t="n">
        <v>165</v>
      </c>
      <c r="I222" s="81" t="n">
        <f aca="false">INDEX($C$5:$C$26,MATCH(G222,$A$5:$A$26,0))</f>
        <v>224.175</v>
      </c>
      <c r="J222" s="31" t="n">
        <f aca="false">H222*I222</f>
        <v>36988.875</v>
      </c>
    </row>
    <row r="223" customFormat="false" ht="15" hidden="false" customHeight="false" outlineLevel="0" collapsed="false">
      <c r="E223" s="4" t="s">
        <v>101</v>
      </c>
      <c r="F223" s="4" t="s">
        <v>274</v>
      </c>
      <c r="G223" s="4" t="s">
        <v>233</v>
      </c>
      <c r="H223" s="80" t="n">
        <v>60</v>
      </c>
      <c r="I223" s="81" t="n">
        <f aca="false">INDEX($C$5:$C$26,MATCH(G223,$A$5:$A$26,0))</f>
        <v>206.535</v>
      </c>
      <c r="J223" s="31" t="n">
        <f aca="false">H223*I223</f>
        <v>12392.1</v>
      </c>
    </row>
    <row r="224" customFormat="false" ht="15" hidden="false" customHeight="false" outlineLevel="0" collapsed="false">
      <c r="E224" s="4" t="s">
        <v>101</v>
      </c>
      <c r="F224" s="4" t="s">
        <v>272</v>
      </c>
      <c r="G224" s="4" t="s">
        <v>227</v>
      </c>
      <c r="H224" s="80" t="n">
        <v>40</v>
      </c>
      <c r="I224" s="81" t="n">
        <f aca="false">INDEX($C$5:$C$26,MATCH(G224,$A$5:$A$26,0))</f>
        <v>256.515</v>
      </c>
      <c r="J224" s="31" t="n">
        <f aca="false">H224*I224</f>
        <v>10260.6</v>
      </c>
    </row>
    <row r="225" customFormat="false" ht="15" hidden="false" customHeight="false" outlineLevel="0" collapsed="false">
      <c r="E225" s="4" t="s">
        <v>101</v>
      </c>
      <c r="F225" s="4" t="s">
        <v>272</v>
      </c>
      <c r="G225" s="4" t="s">
        <v>229</v>
      </c>
      <c r="H225" s="80" t="n">
        <v>105</v>
      </c>
      <c r="I225" s="81" t="n">
        <f aca="false">INDEX($C$5:$C$26,MATCH(G225,$A$5:$A$26,0))</f>
        <v>236.67</v>
      </c>
      <c r="J225" s="31" t="n">
        <f aca="false">H225*I225</f>
        <v>24850.35</v>
      </c>
    </row>
    <row r="226" customFormat="false" ht="15" hidden="false" customHeight="false" outlineLevel="0" collapsed="false">
      <c r="E226" s="4" t="s">
        <v>101</v>
      </c>
      <c r="F226" s="4" t="s">
        <v>272</v>
      </c>
      <c r="G226" s="4" t="s">
        <v>231</v>
      </c>
      <c r="H226" s="80" t="n">
        <v>130</v>
      </c>
      <c r="I226" s="81" t="n">
        <f aca="false">INDEX($C$5:$C$26,MATCH(G226,$A$5:$A$26,0))</f>
        <v>224.175</v>
      </c>
      <c r="J226" s="31" t="n">
        <f aca="false">H226*I226</f>
        <v>29142.75</v>
      </c>
    </row>
    <row r="227" customFormat="false" ht="15" hidden="false" customHeight="false" outlineLevel="0" collapsed="false">
      <c r="E227" s="4" t="s">
        <v>101</v>
      </c>
      <c r="F227" s="4" t="s">
        <v>272</v>
      </c>
      <c r="G227" s="4" t="s">
        <v>233</v>
      </c>
      <c r="H227" s="80" t="n">
        <v>65</v>
      </c>
      <c r="I227" s="81" t="n">
        <f aca="false">INDEX($C$5:$C$26,MATCH(G227,$A$5:$A$26,0))</f>
        <v>206.535</v>
      </c>
      <c r="J227" s="31" t="n">
        <f aca="false">H227*I227</f>
        <v>13424.775</v>
      </c>
    </row>
    <row r="228" customFormat="false" ht="15" hidden="false" customHeight="false" outlineLevel="0" collapsed="false">
      <c r="E228" s="4" t="s">
        <v>101</v>
      </c>
      <c r="F228" s="4" t="s">
        <v>273</v>
      </c>
      <c r="G228" s="4" t="s">
        <v>227</v>
      </c>
      <c r="H228" s="80" t="n">
        <v>30</v>
      </c>
      <c r="I228" s="81" t="n">
        <f aca="false">INDEX($C$5:$C$26,MATCH(G228,$A$5:$A$26,0))</f>
        <v>256.515</v>
      </c>
      <c r="J228" s="31" t="n">
        <f aca="false">H228*I228</f>
        <v>7695.45</v>
      </c>
    </row>
    <row r="229" customFormat="false" ht="15" hidden="false" customHeight="false" outlineLevel="0" collapsed="false">
      <c r="E229" s="4" t="s">
        <v>101</v>
      </c>
      <c r="F229" s="4" t="s">
        <v>273</v>
      </c>
      <c r="G229" s="4" t="s">
        <v>229</v>
      </c>
      <c r="H229" s="80" t="n">
        <v>70</v>
      </c>
      <c r="I229" s="81" t="n">
        <f aca="false">INDEX($C$5:$C$26,MATCH(G229,$A$5:$A$26,0))</f>
        <v>236.67</v>
      </c>
      <c r="J229" s="31" t="n">
        <f aca="false">H229*I229</f>
        <v>16566.9</v>
      </c>
    </row>
    <row r="230" customFormat="false" ht="15" hidden="false" customHeight="false" outlineLevel="0" collapsed="false">
      <c r="E230" s="4" t="s">
        <v>101</v>
      </c>
      <c r="F230" s="4" t="s">
        <v>273</v>
      </c>
      <c r="G230" s="4" t="s">
        <v>231</v>
      </c>
      <c r="H230" s="80" t="n">
        <v>70</v>
      </c>
      <c r="I230" s="81" t="n">
        <f aca="false">INDEX($C$5:$C$26,MATCH(G230,$A$5:$A$26,0))</f>
        <v>224.175</v>
      </c>
      <c r="J230" s="31" t="n">
        <f aca="false">H230*I230</f>
        <v>15692.25</v>
      </c>
    </row>
    <row r="231" customFormat="false" ht="15" hidden="false" customHeight="false" outlineLevel="0" collapsed="false">
      <c r="E231" s="4" t="s">
        <v>101</v>
      </c>
      <c r="F231" s="4" t="s">
        <v>273</v>
      </c>
      <c r="G231" s="4" t="s">
        <v>233</v>
      </c>
      <c r="H231" s="80" t="n">
        <v>55</v>
      </c>
      <c r="I231" s="81" t="n">
        <f aca="false">INDEX($C$5:$C$26,MATCH(G231,$A$5:$A$26,0))</f>
        <v>206.535</v>
      </c>
      <c r="J231" s="31" t="n">
        <f aca="false">H231*I231</f>
        <v>11359.425</v>
      </c>
    </row>
    <row r="232" customFormat="false" ht="15" hidden="false" customHeight="false" outlineLevel="0" collapsed="false">
      <c r="E232" s="4" t="s">
        <v>103</v>
      </c>
      <c r="F232" s="4" t="s">
        <v>65</v>
      </c>
      <c r="G232" s="4" t="s">
        <v>227</v>
      </c>
      <c r="H232" s="80" t="n">
        <v>45</v>
      </c>
      <c r="I232" s="81" t="n">
        <f aca="false">INDEX($C$5:$C$26,MATCH(G232,$A$5:$A$26,0))</f>
        <v>256.515</v>
      </c>
      <c r="J232" s="31" t="n">
        <f aca="false">H232*I232</f>
        <v>11543.175</v>
      </c>
    </row>
    <row r="233" customFormat="false" ht="15" hidden="false" customHeight="false" outlineLevel="0" collapsed="false">
      <c r="E233" s="4" t="s">
        <v>103</v>
      </c>
      <c r="F233" s="4" t="s">
        <v>65</v>
      </c>
      <c r="G233" s="4" t="s">
        <v>229</v>
      </c>
      <c r="H233" s="80" t="n">
        <v>95</v>
      </c>
      <c r="I233" s="81" t="n">
        <f aca="false">INDEX($C$5:$C$26,MATCH(G233,$A$5:$A$26,0))</f>
        <v>236.67</v>
      </c>
      <c r="J233" s="31" t="n">
        <f aca="false">H233*I233</f>
        <v>22483.65</v>
      </c>
    </row>
    <row r="234" customFormat="false" ht="15" hidden="false" customHeight="false" outlineLevel="0" collapsed="false">
      <c r="E234" s="4" t="s">
        <v>103</v>
      </c>
      <c r="F234" s="4" t="s">
        <v>65</v>
      </c>
      <c r="G234" s="4" t="s">
        <v>231</v>
      </c>
      <c r="H234" s="80" t="n">
        <v>140</v>
      </c>
      <c r="I234" s="81" t="n">
        <f aca="false">INDEX($C$5:$C$26,MATCH(G234,$A$5:$A$26,0))</f>
        <v>224.175</v>
      </c>
      <c r="J234" s="31" t="n">
        <f aca="false">H234*I234</f>
        <v>31384.5</v>
      </c>
    </row>
    <row r="235" customFormat="false" ht="15" hidden="false" customHeight="false" outlineLevel="0" collapsed="false">
      <c r="E235" s="4" t="s">
        <v>103</v>
      </c>
      <c r="F235" s="4" t="s">
        <v>65</v>
      </c>
      <c r="G235" s="4" t="s">
        <v>233</v>
      </c>
      <c r="H235" s="80" t="n">
        <v>65</v>
      </c>
      <c r="I235" s="81" t="n">
        <f aca="false">INDEX($C$5:$C$26,MATCH(G235,$A$5:$A$26,0))</f>
        <v>206.535</v>
      </c>
      <c r="J235" s="31" t="n">
        <f aca="false">H235*I235</f>
        <v>13424.775</v>
      </c>
    </row>
    <row r="236" customFormat="false" ht="15" hidden="false" customHeight="false" outlineLevel="0" collapsed="false">
      <c r="E236" s="4" t="s">
        <v>105</v>
      </c>
      <c r="F236" s="4" t="s">
        <v>65</v>
      </c>
      <c r="G236" s="4" t="s">
        <v>227</v>
      </c>
      <c r="H236" s="80" t="n">
        <v>55</v>
      </c>
      <c r="I236" s="81" t="n">
        <f aca="false">INDEX($C$5:$C$26,MATCH(G236,$A$5:$A$26,0))</f>
        <v>256.515</v>
      </c>
      <c r="J236" s="31" t="n">
        <f aca="false">H236*I236</f>
        <v>14108.325</v>
      </c>
    </row>
    <row r="237" customFormat="false" ht="15" hidden="false" customHeight="false" outlineLevel="0" collapsed="false">
      <c r="E237" s="4" t="s">
        <v>105</v>
      </c>
      <c r="F237" s="4" t="s">
        <v>65</v>
      </c>
      <c r="G237" s="4" t="s">
        <v>229</v>
      </c>
      <c r="H237" s="80" t="n">
        <v>95</v>
      </c>
      <c r="I237" s="81" t="n">
        <f aca="false">INDEX($C$5:$C$26,MATCH(G237,$A$5:$A$26,0))</f>
        <v>236.67</v>
      </c>
      <c r="J237" s="31" t="n">
        <f aca="false">H237*I237</f>
        <v>22483.65</v>
      </c>
    </row>
    <row r="238" customFormat="false" ht="15" hidden="false" customHeight="false" outlineLevel="0" collapsed="false">
      <c r="E238" s="4" t="s">
        <v>105</v>
      </c>
      <c r="F238" s="4" t="s">
        <v>65</v>
      </c>
      <c r="G238" s="4" t="s">
        <v>231</v>
      </c>
      <c r="H238" s="80" t="n">
        <v>85</v>
      </c>
      <c r="I238" s="81" t="n">
        <f aca="false">INDEX($C$5:$C$26,MATCH(G238,$A$5:$A$26,0))</f>
        <v>224.175</v>
      </c>
      <c r="J238" s="31" t="n">
        <f aca="false">H238*I238</f>
        <v>19054.875</v>
      </c>
    </row>
    <row r="239" customFormat="false" ht="15" hidden="false" customHeight="false" outlineLevel="0" collapsed="false">
      <c r="E239" s="4" t="s">
        <v>105</v>
      </c>
      <c r="F239" s="4" t="s">
        <v>65</v>
      </c>
      <c r="G239" s="4" t="s">
        <v>233</v>
      </c>
      <c r="H239" s="80" t="n">
        <v>35</v>
      </c>
      <c r="I239" s="81" t="n">
        <f aca="false">INDEX($C$5:$C$26,MATCH(G239,$A$5:$A$26,0))</f>
        <v>206.535</v>
      </c>
      <c r="J239" s="31" t="n">
        <f aca="false">H239*I239</f>
        <v>7228.725</v>
      </c>
    </row>
    <row r="240" customFormat="false" ht="15" hidden="false" customHeight="false" outlineLevel="0" collapsed="false">
      <c r="E240" s="4" t="s">
        <v>105</v>
      </c>
      <c r="F240" s="4" t="s">
        <v>105</v>
      </c>
      <c r="G240" s="4" t="s">
        <v>227</v>
      </c>
      <c r="H240" s="80" t="n">
        <v>65</v>
      </c>
      <c r="I240" s="81" t="n">
        <f aca="false">INDEX($C$5:$C$26,MATCH(G240,$A$5:$A$26,0))</f>
        <v>256.515</v>
      </c>
      <c r="J240" s="31" t="n">
        <f aca="false">H240*I240</f>
        <v>16673.475</v>
      </c>
    </row>
    <row r="241" customFormat="false" ht="15" hidden="false" customHeight="false" outlineLevel="0" collapsed="false">
      <c r="E241" s="4" t="s">
        <v>105</v>
      </c>
      <c r="F241" s="4" t="s">
        <v>105</v>
      </c>
      <c r="G241" s="4" t="s">
        <v>229</v>
      </c>
      <c r="H241" s="80" t="n">
        <v>140</v>
      </c>
      <c r="I241" s="81" t="n">
        <f aca="false">INDEX($C$5:$C$26,MATCH(G241,$A$5:$A$26,0))</f>
        <v>236.67</v>
      </c>
      <c r="J241" s="31" t="n">
        <f aca="false">H241*I241</f>
        <v>33133.8</v>
      </c>
    </row>
    <row r="242" customFormat="false" ht="15" hidden="false" customHeight="false" outlineLevel="0" collapsed="false">
      <c r="E242" s="4" t="s">
        <v>105</v>
      </c>
      <c r="F242" s="4" t="s">
        <v>105</v>
      </c>
      <c r="G242" s="4" t="s">
        <v>231</v>
      </c>
      <c r="H242" s="80" t="n">
        <v>130</v>
      </c>
      <c r="I242" s="81" t="n">
        <f aca="false">INDEX($C$5:$C$26,MATCH(G242,$A$5:$A$26,0))</f>
        <v>224.175</v>
      </c>
      <c r="J242" s="31" t="n">
        <f aca="false">H242*I242</f>
        <v>29142.75</v>
      </c>
    </row>
    <row r="243" customFormat="false" ht="15" hidden="false" customHeight="false" outlineLevel="0" collapsed="false">
      <c r="E243" s="4" t="s">
        <v>105</v>
      </c>
      <c r="F243" s="4" t="s">
        <v>105</v>
      </c>
      <c r="G243" s="4" t="s">
        <v>233</v>
      </c>
      <c r="H243" s="80" t="n">
        <v>45</v>
      </c>
      <c r="I243" s="81" t="n">
        <f aca="false">INDEX($C$5:$C$26,MATCH(G243,$A$5:$A$26,0))</f>
        <v>206.535</v>
      </c>
      <c r="J243" s="31" t="n">
        <f aca="false">H243*I243</f>
        <v>9294.075</v>
      </c>
    </row>
    <row r="244" customFormat="false" ht="15" hidden="false" customHeight="false" outlineLevel="0" collapsed="false">
      <c r="E244" s="4" t="s">
        <v>107</v>
      </c>
      <c r="F244" s="4" t="s">
        <v>65</v>
      </c>
      <c r="G244" s="4" t="s">
        <v>227</v>
      </c>
      <c r="H244" s="80" t="n">
        <v>35</v>
      </c>
      <c r="I244" s="81" t="n">
        <f aca="false">INDEX($C$5:$C$26,MATCH(G244,$A$5:$A$26,0))</f>
        <v>256.515</v>
      </c>
      <c r="J244" s="31" t="n">
        <f aca="false">H244*I244</f>
        <v>8978.025</v>
      </c>
    </row>
    <row r="245" customFormat="false" ht="15" hidden="false" customHeight="false" outlineLevel="0" collapsed="false">
      <c r="E245" s="4" t="s">
        <v>107</v>
      </c>
      <c r="F245" s="4" t="s">
        <v>65</v>
      </c>
      <c r="G245" s="4" t="s">
        <v>229</v>
      </c>
      <c r="H245" s="80" t="n">
        <v>70</v>
      </c>
      <c r="I245" s="81" t="n">
        <f aca="false">INDEX($C$5:$C$26,MATCH(G245,$A$5:$A$26,0))</f>
        <v>236.67</v>
      </c>
      <c r="J245" s="31" t="n">
        <f aca="false">H245*I245</f>
        <v>16566.9</v>
      </c>
    </row>
    <row r="246" customFormat="false" ht="15" hidden="false" customHeight="false" outlineLevel="0" collapsed="false">
      <c r="E246" s="4" t="s">
        <v>107</v>
      </c>
      <c r="F246" s="4" t="s">
        <v>65</v>
      </c>
      <c r="G246" s="4" t="s">
        <v>231</v>
      </c>
      <c r="H246" s="80" t="n">
        <v>60</v>
      </c>
      <c r="I246" s="81" t="n">
        <f aca="false">INDEX($C$5:$C$26,MATCH(G246,$A$5:$A$26,0))</f>
        <v>224.175</v>
      </c>
      <c r="J246" s="31" t="n">
        <f aca="false">H246*I246</f>
        <v>13450.5</v>
      </c>
    </row>
    <row r="247" customFormat="false" ht="15" hidden="false" customHeight="false" outlineLevel="0" collapsed="false">
      <c r="E247" s="4" t="s">
        <v>107</v>
      </c>
      <c r="F247" s="4" t="s">
        <v>65</v>
      </c>
      <c r="G247" s="4" t="s">
        <v>233</v>
      </c>
      <c r="H247" s="80" t="n">
        <v>30</v>
      </c>
      <c r="I247" s="81" t="n">
        <f aca="false">INDEX($C$5:$C$26,MATCH(G247,$A$5:$A$26,0))</f>
        <v>206.535</v>
      </c>
      <c r="J247" s="31" t="n">
        <f aca="false">H247*I247</f>
        <v>6196.05</v>
      </c>
    </row>
    <row r="248" customFormat="false" ht="15" hidden="false" customHeight="false" outlineLevel="0" collapsed="false">
      <c r="E248" s="4" t="s">
        <v>107</v>
      </c>
      <c r="F248" s="4" t="s">
        <v>105</v>
      </c>
      <c r="G248" s="4" t="s">
        <v>227</v>
      </c>
      <c r="H248" s="80" t="n">
        <v>45</v>
      </c>
      <c r="I248" s="81" t="n">
        <f aca="false">INDEX($C$5:$C$26,MATCH(G248,$A$5:$A$26,0))</f>
        <v>256.515</v>
      </c>
      <c r="J248" s="31" t="n">
        <f aca="false">H248*I248</f>
        <v>11543.175</v>
      </c>
    </row>
    <row r="249" customFormat="false" ht="15" hidden="false" customHeight="false" outlineLevel="0" collapsed="false">
      <c r="E249" s="4" t="s">
        <v>107</v>
      </c>
      <c r="F249" s="4" t="s">
        <v>105</v>
      </c>
      <c r="G249" s="4" t="s">
        <v>229</v>
      </c>
      <c r="H249" s="80" t="n">
        <v>120</v>
      </c>
      <c r="I249" s="81" t="n">
        <f aca="false">INDEX($C$5:$C$26,MATCH(G249,$A$5:$A$26,0))</f>
        <v>236.67</v>
      </c>
      <c r="J249" s="31" t="n">
        <f aca="false">H249*I249</f>
        <v>28400.4</v>
      </c>
    </row>
    <row r="250" customFormat="false" ht="15" hidden="false" customHeight="false" outlineLevel="0" collapsed="false">
      <c r="E250" s="4" t="s">
        <v>107</v>
      </c>
      <c r="F250" s="4" t="s">
        <v>105</v>
      </c>
      <c r="G250" s="4" t="s">
        <v>231</v>
      </c>
      <c r="H250" s="80" t="n">
        <v>100</v>
      </c>
      <c r="I250" s="81" t="n">
        <f aca="false">INDEX($C$5:$C$26,MATCH(G250,$A$5:$A$26,0))</f>
        <v>224.175</v>
      </c>
      <c r="J250" s="31" t="n">
        <f aca="false">H250*I250</f>
        <v>22417.5</v>
      </c>
    </row>
    <row r="251" customFormat="false" ht="15" hidden="false" customHeight="false" outlineLevel="0" collapsed="false">
      <c r="E251" s="4" t="s">
        <v>107</v>
      </c>
      <c r="F251" s="4" t="s">
        <v>105</v>
      </c>
      <c r="G251" s="4" t="s">
        <v>233</v>
      </c>
      <c r="H251" s="80" t="n">
        <v>40</v>
      </c>
      <c r="I251" s="81" t="n">
        <f aca="false">INDEX($C$5:$C$26,MATCH(G251,$A$5:$A$26,0))</f>
        <v>206.535</v>
      </c>
      <c r="J251" s="31" t="n">
        <f aca="false">H251*I251</f>
        <v>8261.4</v>
      </c>
    </row>
    <row r="252" customFormat="false" ht="15" hidden="false" customHeight="false" outlineLevel="0" collapsed="false">
      <c r="E252" s="4" t="s">
        <v>107</v>
      </c>
      <c r="F252" s="4" t="s">
        <v>107</v>
      </c>
      <c r="G252" s="4" t="s">
        <v>227</v>
      </c>
      <c r="H252" s="80" t="n">
        <v>75</v>
      </c>
      <c r="I252" s="81" t="n">
        <f aca="false">INDEX($C$5:$C$26,MATCH(G252,$A$5:$A$26,0))</f>
        <v>256.515</v>
      </c>
      <c r="J252" s="31" t="n">
        <f aca="false">H252*I252</f>
        <v>19238.625</v>
      </c>
    </row>
    <row r="253" customFormat="false" ht="15" hidden="false" customHeight="false" outlineLevel="0" collapsed="false">
      <c r="E253" s="4" t="s">
        <v>107</v>
      </c>
      <c r="F253" s="4" t="s">
        <v>107</v>
      </c>
      <c r="G253" s="4" t="s">
        <v>229</v>
      </c>
      <c r="H253" s="80" t="n">
        <v>190</v>
      </c>
      <c r="I253" s="81" t="n">
        <f aca="false">INDEX($C$5:$C$26,MATCH(G253,$A$5:$A$26,0))</f>
        <v>236.67</v>
      </c>
      <c r="J253" s="31" t="n">
        <f aca="false">H253*I253</f>
        <v>44967.3</v>
      </c>
    </row>
    <row r="254" customFormat="false" ht="15" hidden="false" customHeight="false" outlineLevel="0" collapsed="false">
      <c r="E254" s="4" t="s">
        <v>107</v>
      </c>
      <c r="F254" s="4" t="s">
        <v>107</v>
      </c>
      <c r="G254" s="4" t="s">
        <v>231</v>
      </c>
      <c r="H254" s="80" t="n">
        <v>200</v>
      </c>
      <c r="I254" s="81" t="n">
        <f aca="false">INDEX($C$5:$C$26,MATCH(G254,$A$5:$A$26,0))</f>
        <v>224.175</v>
      </c>
      <c r="J254" s="31" t="n">
        <f aca="false">H254*I254</f>
        <v>44835</v>
      </c>
    </row>
    <row r="255" customFormat="false" ht="15" hidden="false" customHeight="false" outlineLevel="0" collapsed="false">
      <c r="E255" s="4" t="s">
        <v>107</v>
      </c>
      <c r="F255" s="4" t="s">
        <v>107</v>
      </c>
      <c r="G255" s="4" t="s">
        <v>233</v>
      </c>
      <c r="H255" s="80" t="n">
        <v>75</v>
      </c>
      <c r="I255" s="81" t="n">
        <f aca="false">INDEX($C$5:$C$26,MATCH(G255,$A$5:$A$26,0))</f>
        <v>206.535</v>
      </c>
      <c r="J255" s="31" t="n">
        <f aca="false">H255*I255</f>
        <v>15490.125</v>
      </c>
    </row>
    <row r="256" customFormat="false" ht="15" hidden="false" customHeight="false" outlineLevel="0" collapsed="false">
      <c r="E256" s="4" t="s">
        <v>107</v>
      </c>
      <c r="F256" s="4" t="s">
        <v>249</v>
      </c>
      <c r="G256" s="4" t="s">
        <v>227</v>
      </c>
      <c r="H256" s="80" t="n">
        <v>85</v>
      </c>
      <c r="I256" s="81" t="n">
        <f aca="false">INDEX($C$5:$C$26,MATCH(G256,$A$5:$A$26,0))</f>
        <v>256.515</v>
      </c>
      <c r="J256" s="31" t="n">
        <f aca="false">H256*I256</f>
        <v>21803.775</v>
      </c>
    </row>
    <row r="257" customFormat="false" ht="15" hidden="false" customHeight="false" outlineLevel="0" collapsed="false">
      <c r="E257" s="4" t="s">
        <v>107</v>
      </c>
      <c r="F257" s="4" t="s">
        <v>249</v>
      </c>
      <c r="G257" s="4" t="s">
        <v>229</v>
      </c>
      <c r="H257" s="80" t="n">
        <v>235</v>
      </c>
      <c r="I257" s="81" t="n">
        <f aca="false">INDEX($C$5:$C$26,MATCH(G257,$A$5:$A$26,0))</f>
        <v>236.67</v>
      </c>
      <c r="J257" s="31" t="n">
        <f aca="false">H257*I257</f>
        <v>55617.45</v>
      </c>
    </row>
    <row r="258" customFormat="false" ht="15" hidden="false" customHeight="false" outlineLevel="0" collapsed="false">
      <c r="E258" s="4" t="s">
        <v>107</v>
      </c>
      <c r="F258" s="4" t="s">
        <v>249</v>
      </c>
      <c r="G258" s="4" t="s">
        <v>231</v>
      </c>
      <c r="H258" s="80" t="n">
        <v>225</v>
      </c>
      <c r="I258" s="81" t="n">
        <f aca="false">INDEX($C$5:$C$26,MATCH(G258,$A$5:$A$26,0))</f>
        <v>224.175</v>
      </c>
      <c r="J258" s="31" t="n">
        <f aca="false">H258*I258</f>
        <v>50439.375</v>
      </c>
    </row>
    <row r="259" customFormat="false" ht="15" hidden="false" customHeight="false" outlineLevel="0" collapsed="false">
      <c r="E259" s="4" t="s">
        <v>107</v>
      </c>
      <c r="F259" s="4" t="s">
        <v>249</v>
      </c>
      <c r="G259" s="4" t="s">
        <v>233</v>
      </c>
      <c r="H259" s="80" t="n">
        <v>85</v>
      </c>
      <c r="I259" s="81" t="n">
        <f aca="false">INDEX($C$5:$C$26,MATCH(G259,$A$5:$A$26,0))</f>
        <v>206.535</v>
      </c>
      <c r="J259" s="31" t="n">
        <f aca="false">H259*I259</f>
        <v>17555.475</v>
      </c>
    </row>
    <row r="260" customFormat="false" ht="15" hidden="false" customHeight="false" outlineLevel="0" collapsed="false">
      <c r="E260" s="4" t="s">
        <v>107</v>
      </c>
      <c r="F260" s="4" t="s">
        <v>274</v>
      </c>
      <c r="G260" s="4" t="s">
        <v>227</v>
      </c>
      <c r="H260" s="80" t="n">
        <v>45</v>
      </c>
      <c r="I260" s="81" t="n">
        <f aca="false">INDEX($C$5:$C$26,MATCH(G260,$A$5:$A$26,0))</f>
        <v>256.515</v>
      </c>
      <c r="J260" s="31" t="n">
        <f aca="false">H260*I260</f>
        <v>11543.175</v>
      </c>
    </row>
    <row r="261" customFormat="false" ht="15" hidden="false" customHeight="false" outlineLevel="0" collapsed="false">
      <c r="E261" s="4" t="s">
        <v>107</v>
      </c>
      <c r="F261" s="4" t="s">
        <v>274</v>
      </c>
      <c r="G261" s="4" t="s">
        <v>229</v>
      </c>
      <c r="H261" s="80" t="n">
        <v>85</v>
      </c>
      <c r="I261" s="81" t="n">
        <f aca="false">INDEX($C$5:$C$26,MATCH(G261,$A$5:$A$26,0))</f>
        <v>236.67</v>
      </c>
      <c r="J261" s="31" t="n">
        <f aca="false">H261*I261</f>
        <v>20116.95</v>
      </c>
    </row>
    <row r="262" customFormat="false" ht="15" hidden="false" customHeight="false" outlineLevel="0" collapsed="false">
      <c r="E262" s="4" t="s">
        <v>107</v>
      </c>
      <c r="F262" s="4" t="s">
        <v>274</v>
      </c>
      <c r="G262" s="4" t="s">
        <v>231</v>
      </c>
      <c r="H262" s="80" t="n">
        <v>90</v>
      </c>
      <c r="I262" s="81" t="n">
        <f aca="false">INDEX($C$5:$C$26,MATCH(G262,$A$5:$A$26,0))</f>
        <v>224.175</v>
      </c>
      <c r="J262" s="31" t="n">
        <f aca="false">H262*I262</f>
        <v>20175.75</v>
      </c>
    </row>
    <row r="263" customFormat="false" ht="15" hidden="false" customHeight="false" outlineLevel="0" collapsed="false">
      <c r="E263" s="4" t="s">
        <v>107</v>
      </c>
      <c r="F263" s="4" t="s">
        <v>274</v>
      </c>
      <c r="G263" s="4" t="s">
        <v>233</v>
      </c>
      <c r="H263" s="80" t="n">
        <v>55</v>
      </c>
      <c r="I263" s="81" t="n">
        <f aca="false">INDEX($C$5:$C$26,MATCH(G263,$A$5:$A$26,0))</f>
        <v>206.535</v>
      </c>
      <c r="J263" s="31" t="n">
        <f aca="false">H263*I263</f>
        <v>11359.425</v>
      </c>
    </row>
    <row r="264" customFormat="false" ht="15" hidden="false" customHeight="false" outlineLevel="0" collapsed="false">
      <c r="E264" s="4" t="s">
        <v>107</v>
      </c>
      <c r="F264" s="4" t="s">
        <v>272</v>
      </c>
      <c r="G264" s="4" t="s">
        <v>227</v>
      </c>
      <c r="H264" s="80" t="n">
        <v>45</v>
      </c>
      <c r="I264" s="81" t="n">
        <f aca="false">INDEX($C$5:$C$26,MATCH(G264,$A$5:$A$26,0))</f>
        <v>256.515</v>
      </c>
      <c r="J264" s="31" t="n">
        <f aca="false">H264*I264</f>
        <v>11543.175</v>
      </c>
    </row>
    <row r="265" customFormat="false" ht="15" hidden="false" customHeight="false" outlineLevel="0" collapsed="false">
      <c r="E265" s="4" t="s">
        <v>107</v>
      </c>
      <c r="F265" s="4" t="s">
        <v>272</v>
      </c>
      <c r="G265" s="4" t="s">
        <v>229</v>
      </c>
      <c r="H265" s="80" t="n">
        <v>90</v>
      </c>
      <c r="I265" s="81" t="n">
        <f aca="false">INDEX($C$5:$C$26,MATCH(G265,$A$5:$A$26,0))</f>
        <v>236.67</v>
      </c>
      <c r="J265" s="31" t="n">
        <f aca="false">H265*I265</f>
        <v>21300.3</v>
      </c>
    </row>
    <row r="266" customFormat="false" ht="15" hidden="false" customHeight="false" outlineLevel="0" collapsed="false">
      <c r="E266" s="4" t="s">
        <v>107</v>
      </c>
      <c r="F266" s="4" t="s">
        <v>272</v>
      </c>
      <c r="G266" s="4" t="s">
        <v>231</v>
      </c>
      <c r="H266" s="80" t="n">
        <v>90</v>
      </c>
      <c r="I266" s="81" t="n">
        <f aca="false">INDEX($C$5:$C$26,MATCH(G266,$A$5:$A$26,0))</f>
        <v>224.175</v>
      </c>
      <c r="J266" s="31" t="n">
        <f aca="false">H266*I266</f>
        <v>20175.75</v>
      </c>
    </row>
    <row r="267" customFormat="false" ht="15" hidden="false" customHeight="false" outlineLevel="0" collapsed="false">
      <c r="E267" s="4" t="s">
        <v>107</v>
      </c>
      <c r="F267" s="4" t="s">
        <v>272</v>
      </c>
      <c r="G267" s="4" t="s">
        <v>233</v>
      </c>
      <c r="H267" s="80" t="n">
        <v>60</v>
      </c>
      <c r="I267" s="81" t="n">
        <f aca="false">INDEX($C$5:$C$26,MATCH(G267,$A$5:$A$26,0))</f>
        <v>206.535</v>
      </c>
      <c r="J267" s="31" t="n">
        <f aca="false">H267*I267</f>
        <v>12392.1</v>
      </c>
    </row>
    <row r="268" customFormat="false" ht="15" hidden="false" customHeight="false" outlineLevel="0" collapsed="false">
      <c r="E268" s="4" t="s">
        <v>109</v>
      </c>
      <c r="F268" s="4" t="s">
        <v>249</v>
      </c>
      <c r="G268" s="4" t="s">
        <v>227</v>
      </c>
      <c r="H268" s="80" t="n">
        <v>7</v>
      </c>
      <c r="I268" s="81" t="n">
        <f aca="false">INDEX($C$5:$C$26,MATCH(G268,$A$5:$A$26,0))</f>
        <v>256.515</v>
      </c>
      <c r="J268" s="31" t="n">
        <f aca="false">H268*I268</f>
        <v>1795.605</v>
      </c>
    </row>
    <row r="269" customFormat="false" ht="15" hidden="false" customHeight="false" outlineLevel="0" collapsed="false">
      <c r="E269" s="4" t="s">
        <v>109</v>
      </c>
      <c r="F269" s="4" t="s">
        <v>249</v>
      </c>
      <c r="G269" s="4" t="s">
        <v>229</v>
      </c>
      <c r="H269" s="80" t="n">
        <v>235</v>
      </c>
      <c r="I269" s="81" t="n">
        <f aca="false">INDEX($C$5:$C$26,MATCH(G269,$A$5:$A$26,0))</f>
        <v>236.67</v>
      </c>
      <c r="J269" s="31" t="n">
        <f aca="false">H269*I269</f>
        <v>55617.45</v>
      </c>
    </row>
    <row r="270" customFormat="false" ht="15" hidden="false" customHeight="false" outlineLevel="0" collapsed="false">
      <c r="E270" s="4" t="s">
        <v>109</v>
      </c>
      <c r="F270" s="4" t="s">
        <v>249</v>
      </c>
      <c r="G270" s="4" t="s">
        <v>231</v>
      </c>
      <c r="H270" s="80" t="n">
        <v>280</v>
      </c>
      <c r="I270" s="81" t="n">
        <f aca="false">INDEX($C$5:$C$26,MATCH(G270,$A$5:$A$26,0))</f>
        <v>224.175</v>
      </c>
      <c r="J270" s="31" t="n">
        <f aca="false">H270*I270</f>
        <v>62769</v>
      </c>
    </row>
    <row r="271" customFormat="false" ht="15" hidden="false" customHeight="false" outlineLevel="0" collapsed="false">
      <c r="E271" s="4" t="s">
        <v>109</v>
      </c>
      <c r="F271" s="4" t="s">
        <v>249</v>
      </c>
      <c r="G271" s="4" t="s">
        <v>233</v>
      </c>
      <c r="H271" s="80" t="n">
        <v>75</v>
      </c>
      <c r="I271" s="81" t="n">
        <f aca="false">INDEX($C$5:$C$26,MATCH(G271,$A$5:$A$26,0))</f>
        <v>206.535</v>
      </c>
      <c r="J271" s="31" t="n">
        <f aca="false">H271*I271</f>
        <v>15490.125</v>
      </c>
    </row>
    <row r="272" customFormat="false" ht="15" hidden="false" customHeight="false" outlineLevel="0" collapsed="false">
      <c r="E272" s="4" t="s">
        <v>111</v>
      </c>
      <c r="F272" s="4" t="s">
        <v>107</v>
      </c>
      <c r="G272" s="4" t="s">
        <v>227</v>
      </c>
      <c r="H272" s="80" t="n">
        <v>40</v>
      </c>
      <c r="I272" s="81" t="n">
        <f aca="false">INDEX($C$5:$C$26,MATCH(G272,$A$5:$A$26,0))</f>
        <v>256.515</v>
      </c>
      <c r="J272" s="31" t="n">
        <f aca="false">H272*I272</f>
        <v>10260.6</v>
      </c>
    </row>
    <row r="273" customFormat="false" ht="15" hidden="false" customHeight="false" outlineLevel="0" collapsed="false">
      <c r="E273" s="4" t="s">
        <v>111</v>
      </c>
      <c r="F273" s="4" t="s">
        <v>107</v>
      </c>
      <c r="G273" s="4" t="s">
        <v>229</v>
      </c>
      <c r="H273" s="80" t="n">
        <v>85</v>
      </c>
      <c r="I273" s="81" t="n">
        <f aca="false">INDEX($C$5:$C$26,MATCH(G273,$A$5:$A$26,0))</f>
        <v>236.67</v>
      </c>
      <c r="J273" s="31" t="n">
        <f aca="false">H273*I273</f>
        <v>20116.95</v>
      </c>
    </row>
    <row r="274" customFormat="false" ht="15" hidden="false" customHeight="false" outlineLevel="0" collapsed="false">
      <c r="E274" s="4" t="s">
        <v>111</v>
      </c>
      <c r="F274" s="4" t="s">
        <v>107</v>
      </c>
      <c r="G274" s="4" t="s">
        <v>231</v>
      </c>
      <c r="H274" s="80" t="n">
        <v>105</v>
      </c>
      <c r="I274" s="81" t="n">
        <f aca="false">INDEX($C$5:$C$26,MATCH(G274,$A$5:$A$26,0))</f>
        <v>224.175</v>
      </c>
      <c r="J274" s="31" t="n">
        <f aca="false">H274*I274</f>
        <v>23538.375</v>
      </c>
    </row>
    <row r="275" customFormat="false" ht="15" hidden="false" customHeight="false" outlineLevel="0" collapsed="false">
      <c r="E275" s="4" t="s">
        <v>111</v>
      </c>
      <c r="F275" s="4" t="s">
        <v>107</v>
      </c>
      <c r="G275" s="4" t="s">
        <v>233</v>
      </c>
      <c r="H275" s="80" t="n">
        <v>55</v>
      </c>
      <c r="I275" s="81" t="n">
        <f aca="false">INDEX($C$5:$C$26,MATCH(G275,$A$5:$A$26,0))</f>
        <v>206.535</v>
      </c>
      <c r="J275" s="31" t="n">
        <f aca="false">H275*I275</f>
        <v>11359.425</v>
      </c>
    </row>
    <row r="276" customFormat="false" ht="15" hidden="false" customHeight="false" outlineLevel="0" collapsed="false">
      <c r="E276" s="4" t="s">
        <v>111</v>
      </c>
      <c r="F276" s="4" t="s">
        <v>249</v>
      </c>
      <c r="G276" s="4" t="s">
        <v>227</v>
      </c>
      <c r="H276" s="80" t="n">
        <v>85</v>
      </c>
      <c r="I276" s="81" t="n">
        <f aca="false">INDEX($C$5:$C$26,MATCH(G276,$A$5:$A$26,0))</f>
        <v>256.515</v>
      </c>
      <c r="J276" s="31" t="n">
        <f aca="false">H276*I276</f>
        <v>21803.775</v>
      </c>
    </row>
    <row r="277" customFormat="false" ht="15" hidden="false" customHeight="false" outlineLevel="0" collapsed="false">
      <c r="E277" s="4" t="s">
        <v>111</v>
      </c>
      <c r="F277" s="4" t="s">
        <v>249</v>
      </c>
      <c r="G277" s="4" t="s">
        <v>229</v>
      </c>
      <c r="H277" s="80" t="n">
        <v>225</v>
      </c>
      <c r="I277" s="81" t="n">
        <f aca="false">INDEX($C$5:$C$26,MATCH(G277,$A$5:$A$26,0))</f>
        <v>236.67</v>
      </c>
      <c r="J277" s="31" t="n">
        <f aca="false">H277*I277</f>
        <v>53250.75</v>
      </c>
    </row>
    <row r="278" customFormat="false" ht="15" hidden="false" customHeight="false" outlineLevel="0" collapsed="false">
      <c r="E278" s="4" t="s">
        <v>111</v>
      </c>
      <c r="F278" s="4" t="s">
        <v>249</v>
      </c>
      <c r="G278" s="4" t="s">
        <v>231</v>
      </c>
      <c r="H278" s="80" t="n">
        <v>265</v>
      </c>
      <c r="I278" s="81" t="n">
        <f aca="false">INDEX($C$5:$C$26,MATCH(G278,$A$5:$A$26,0))</f>
        <v>224.175</v>
      </c>
      <c r="J278" s="31" t="n">
        <f aca="false">H278*I278</f>
        <v>59406.375</v>
      </c>
    </row>
    <row r="279" customFormat="false" ht="15" hidden="false" customHeight="false" outlineLevel="0" collapsed="false">
      <c r="E279" s="4" t="s">
        <v>111</v>
      </c>
      <c r="F279" s="4" t="s">
        <v>249</v>
      </c>
      <c r="G279" s="4" t="s">
        <v>233</v>
      </c>
      <c r="H279" s="80" t="n">
        <v>85</v>
      </c>
      <c r="I279" s="81" t="n">
        <f aca="false">INDEX($C$5:$C$26,MATCH(G279,$A$5:$A$26,0))</f>
        <v>206.535</v>
      </c>
      <c r="J279" s="31" t="n">
        <f aca="false">H279*I279</f>
        <v>17555.475</v>
      </c>
    </row>
    <row r="280" customFormat="false" ht="15" hidden="false" customHeight="false" outlineLevel="0" collapsed="false">
      <c r="E280" s="4" t="s">
        <v>111</v>
      </c>
      <c r="F280" s="4" t="s">
        <v>274</v>
      </c>
      <c r="G280" s="4" t="s">
        <v>227</v>
      </c>
      <c r="H280" s="80" t="n">
        <v>40</v>
      </c>
      <c r="I280" s="81" t="n">
        <f aca="false">INDEX($C$5:$C$26,MATCH(G280,$A$5:$A$26,0))</f>
        <v>256.515</v>
      </c>
      <c r="J280" s="31" t="n">
        <f aca="false">H280*I280</f>
        <v>10260.6</v>
      </c>
    </row>
    <row r="281" customFormat="false" ht="15" hidden="false" customHeight="false" outlineLevel="0" collapsed="false">
      <c r="E281" s="4" t="s">
        <v>111</v>
      </c>
      <c r="F281" s="4" t="s">
        <v>274</v>
      </c>
      <c r="G281" s="4" t="s">
        <v>229</v>
      </c>
      <c r="H281" s="80" t="n">
        <v>90</v>
      </c>
      <c r="I281" s="81" t="n">
        <f aca="false">INDEX($C$5:$C$26,MATCH(G281,$A$5:$A$26,0))</f>
        <v>236.67</v>
      </c>
      <c r="J281" s="31" t="n">
        <f aca="false">H281*I281</f>
        <v>21300.3</v>
      </c>
    </row>
    <row r="282" customFormat="false" ht="15" hidden="false" customHeight="false" outlineLevel="0" collapsed="false">
      <c r="E282" s="4" t="s">
        <v>111</v>
      </c>
      <c r="F282" s="4" t="s">
        <v>274</v>
      </c>
      <c r="G282" s="4" t="s">
        <v>231</v>
      </c>
      <c r="H282" s="80" t="n">
        <v>100</v>
      </c>
      <c r="I282" s="81" t="n">
        <f aca="false">INDEX($C$5:$C$26,MATCH(G282,$A$5:$A$26,0))</f>
        <v>224.175</v>
      </c>
      <c r="J282" s="31" t="n">
        <f aca="false">H282*I282</f>
        <v>22417.5</v>
      </c>
    </row>
    <row r="283" customFormat="false" ht="15" hidden="false" customHeight="false" outlineLevel="0" collapsed="false">
      <c r="E283" s="4" t="s">
        <v>111</v>
      </c>
      <c r="F283" s="4" t="s">
        <v>274</v>
      </c>
      <c r="G283" s="4" t="s">
        <v>233</v>
      </c>
      <c r="H283" s="80" t="n">
        <v>55</v>
      </c>
      <c r="I283" s="81" t="n">
        <f aca="false">INDEX($C$5:$C$26,MATCH(G283,$A$5:$A$26,0))</f>
        <v>206.535</v>
      </c>
      <c r="J283" s="31" t="n">
        <f aca="false">H283*I283</f>
        <v>11359.425</v>
      </c>
    </row>
    <row r="284" customFormat="false" ht="15" hidden="false" customHeight="false" outlineLevel="0" collapsed="false">
      <c r="E284" s="4" t="s">
        <v>111</v>
      </c>
      <c r="F284" s="4" t="s">
        <v>272</v>
      </c>
      <c r="G284" s="4" t="s">
        <v>227</v>
      </c>
      <c r="H284" s="80" t="n">
        <v>45</v>
      </c>
      <c r="I284" s="81" t="n">
        <f aca="false">INDEX($C$5:$C$26,MATCH(G284,$A$5:$A$26,0))</f>
        <v>256.515</v>
      </c>
      <c r="J284" s="31" t="n">
        <f aca="false">H284*I284</f>
        <v>11543.175</v>
      </c>
    </row>
    <row r="285" customFormat="false" ht="15" hidden="false" customHeight="false" outlineLevel="0" collapsed="false">
      <c r="E285" s="4" t="s">
        <v>111</v>
      </c>
      <c r="F285" s="4" t="s">
        <v>272</v>
      </c>
      <c r="G285" s="4" t="s">
        <v>229</v>
      </c>
      <c r="H285" s="80" t="n">
        <v>120</v>
      </c>
      <c r="I285" s="81" t="n">
        <f aca="false">INDEX($C$5:$C$26,MATCH(G285,$A$5:$A$26,0))</f>
        <v>236.67</v>
      </c>
      <c r="J285" s="31" t="n">
        <f aca="false">H285*I285</f>
        <v>28400.4</v>
      </c>
    </row>
    <row r="286" customFormat="false" ht="15" hidden="false" customHeight="false" outlineLevel="0" collapsed="false">
      <c r="E286" s="4" t="s">
        <v>111</v>
      </c>
      <c r="F286" s="4" t="s">
        <v>272</v>
      </c>
      <c r="G286" s="4" t="s">
        <v>231</v>
      </c>
      <c r="H286" s="80" t="n">
        <v>130</v>
      </c>
      <c r="I286" s="81" t="n">
        <f aca="false">INDEX($C$5:$C$26,MATCH(G286,$A$5:$A$26,0))</f>
        <v>224.175</v>
      </c>
      <c r="J286" s="31" t="n">
        <f aca="false">H286*I286</f>
        <v>29142.75</v>
      </c>
    </row>
    <row r="287" customFormat="false" ht="15" hidden="false" customHeight="false" outlineLevel="0" collapsed="false">
      <c r="E287" s="4" t="s">
        <v>111</v>
      </c>
      <c r="F287" s="4" t="s">
        <v>272</v>
      </c>
      <c r="G287" s="4" t="s">
        <v>233</v>
      </c>
      <c r="H287" s="80" t="n">
        <v>60</v>
      </c>
      <c r="I287" s="81" t="n">
        <f aca="false">INDEX($C$5:$C$26,MATCH(G287,$A$5:$A$26,0))</f>
        <v>206.535</v>
      </c>
      <c r="J287" s="31" t="n">
        <f aca="false">H287*I287</f>
        <v>12392.1</v>
      </c>
    </row>
    <row r="288" customFormat="false" ht="15" hidden="false" customHeight="false" outlineLevel="0" collapsed="false">
      <c r="E288" s="4" t="s">
        <v>111</v>
      </c>
      <c r="F288" s="4" t="s">
        <v>273</v>
      </c>
      <c r="G288" s="4" t="s">
        <v>227</v>
      </c>
      <c r="H288" s="80" t="n">
        <v>40</v>
      </c>
      <c r="I288" s="81" t="n">
        <f aca="false">INDEX($C$5:$C$26,MATCH(G288,$A$5:$A$26,0))</f>
        <v>256.515</v>
      </c>
      <c r="J288" s="31" t="n">
        <f aca="false">H288*I288</f>
        <v>10260.6</v>
      </c>
    </row>
    <row r="289" customFormat="false" ht="15" hidden="false" customHeight="false" outlineLevel="0" collapsed="false">
      <c r="E289" s="4" t="s">
        <v>111</v>
      </c>
      <c r="F289" s="4" t="s">
        <v>273</v>
      </c>
      <c r="G289" s="4" t="s">
        <v>229</v>
      </c>
      <c r="H289" s="80" t="n">
        <v>75</v>
      </c>
      <c r="I289" s="81" t="n">
        <f aca="false">INDEX($C$5:$C$26,MATCH(G289,$A$5:$A$26,0))</f>
        <v>236.67</v>
      </c>
      <c r="J289" s="31" t="n">
        <f aca="false">H289*I289</f>
        <v>17750.25</v>
      </c>
    </row>
    <row r="290" customFormat="false" ht="15" hidden="false" customHeight="false" outlineLevel="0" collapsed="false">
      <c r="E290" s="4" t="s">
        <v>111</v>
      </c>
      <c r="F290" s="4" t="s">
        <v>273</v>
      </c>
      <c r="G290" s="4" t="s">
        <v>231</v>
      </c>
      <c r="H290" s="80" t="n">
        <v>90</v>
      </c>
      <c r="I290" s="81" t="n">
        <f aca="false">INDEX($C$5:$C$26,MATCH(G290,$A$5:$A$26,0))</f>
        <v>224.175</v>
      </c>
      <c r="J290" s="31" t="n">
        <f aca="false">H290*I290</f>
        <v>20175.75</v>
      </c>
    </row>
    <row r="291" customFormat="false" ht="15" hidden="false" customHeight="false" outlineLevel="0" collapsed="false">
      <c r="E291" s="4" t="s">
        <v>111</v>
      </c>
      <c r="F291" s="4" t="s">
        <v>273</v>
      </c>
      <c r="G291" s="4" t="s">
        <v>233</v>
      </c>
      <c r="H291" s="80" t="n">
        <v>40</v>
      </c>
      <c r="I291" s="81" t="n">
        <f aca="false">INDEX($C$5:$C$26,MATCH(G291,$A$5:$A$26,0))</f>
        <v>206.535</v>
      </c>
      <c r="J291" s="31" t="n">
        <f aca="false">H291*I291</f>
        <v>8261.4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2026-09-24T09:14:06Z</dcterms:created>
  <dc:creator>openpyxl</dc:creator>
  <dc:description/>
  <dc:language>en-US</dc:language>
  <cp:lastModifiedBy/>
  <dcterms:modified xsi:type="dcterms:W3CDTF">2026-09-24T09:14:06Z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