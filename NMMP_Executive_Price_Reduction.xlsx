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Reduction Levers" sheetId="2" state="visible" r:id="rId4"/>
    <sheet name="Scenario Detail" sheetId="3" state="visible" r:id="rId5"/>
    <sheet name="Synertec Benchmark" sheetId="4" state="visible" r:id="rId6"/>
    <sheet name="Assumptions" sheetId="5" state="visible" r:id="rId7"/>
    <sheet name="Calculation" sheetId="6" state="visible" r:id="rId8"/>
    <sheet name="Data"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<sst xmlns="http://schemas.openxmlformats.org/spreadsheetml/2006/main" count="1519" uniqueCount="303">
  <si>
    <t xml:space="preserve">NMMP — Nuclear and Radiological Scope (PSC002818)</t>
  </si>
  <si>
    <t xml:space="preserve">Executive summary of price reduction options</t>
  </si>
  <si>
    <t xml:space="preserve">1 · Offer price by scenario</t>
  </si>
  <si>
    <t xml:space="preserve">Scenario</t>
  </si>
  <si>
    <t xml:space="preserve">Total offer price</t>
  </si>
  <si>
    <t xml:space="preserve">Reduction A$</t>
  </si>
  <si>
    <t xml:space="preserve">Reduction %</t>
  </si>
  <si>
    <t xml:space="preserve">Lump sum S1–S3</t>
  </si>
  <si>
    <t xml:space="preserve">Stages 1–5</t>
  </si>
  <si>
    <t xml:space="preserve">Provisional S4–S7</t>
  </si>
  <si>
    <t xml:space="preserve">Synertec benchmark</t>
  </si>
  <si>
    <t xml:space="preserve">Deviation vs benchmark A$</t>
  </si>
  <si>
    <t xml:space="preserve">Deviation vs benchmark %</t>
  </si>
  <si>
    <t xml:space="preserve">Original offer (as submitted)</t>
  </si>
  <si>
    <t xml:space="preserve">Scenario 1 · Base offer</t>
  </si>
  <si>
    <t xml:space="preserve">Scenario 2 · Without Plan Safe HF tasks</t>
  </si>
  <si>
    <t xml:space="preserve">Scenario 3 · Without Plan Safe HF tasks and SSC</t>
  </si>
  <si>
    <t xml:space="preserve">Scenario 4 · Without SSC, Plan Safe HF tasks at reduced price</t>
  </si>
  <si>
    <t xml:space="preserve">Scenario 5 · Plan Safe as offered, without SSC</t>
  </si>
  <si>
    <t xml:space="preserve">2 · Who receives what (total offer, A$)</t>
  </si>
  <si>
    <t xml:space="preserve">IDOM</t>
  </si>
  <si>
    <t xml:space="preserve">Plan Safe</t>
  </si>
  <si>
    <t xml:space="preserve">INVAP</t>
  </si>
  <si>
    <t xml:space="preserve">Total</t>
  </si>
  <si>
    <t xml:space="preserve">IDOM share</t>
  </si>
  <si>
    <t xml:space="preserve">Hours</t>
  </si>
  <si>
    <t xml:space="preserve">3 · Key messages</t>
  </si>
  <si>
    <t xml:space="preserve">•</t>
  </si>
  <si>
    <t xml:space="preserve">Tabs: Reduction Levers (value and justification of each lever) · Scenario Detail (by price block and company) · Synertec Benchmark (by stage) · Assumptions (inputs) · Calculation and Data (engine and source).</t>
  </si>
  <si>
    <t xml:space="preserve">Reduction levers and justification</t>
  </si>
  <si>
    <t xml:space="preserve">Reduction in A$ against the original offer, by lever and scenario. Positive = price reduction. Levers are applied in this order: scope (scenario), deliverable S1 option, Stage 2 rework release, commercial discount.</t>
  </si>
  <si>
    <t xml:space="preserve">A · Total offer (Stages 1–7)</t>
  </si>
  <si>
    <t xml:space="preserve">Lever</t>
  </si>
  <si>
    <t xml:space="preserve">Type</t>
  </si>
  <si>
    <t xml:space="preserve">Sc. 1
Base offer</t>
  </si>
  <si>
    <t xml:space="preserve">Sc. 2
Without Plan Safe HF tasks</t>
  </si>
  <si>
    <t xml:space="preserve">Sc. 3
Without Plan Safe HF tasks and SSC</t>
  </si>
  <si>
    <t xml:space="preserve">Sc. 4
Without SSC, Plan Safe HF tasks at reduced price</t>
  </si>
  <si>
    <t xml:space="preserve">Sc. 5
Plan Safe as offered, without SSC</t>
  </si>
  <si>
    <t xml:space="preserve">Stage 2 rework allowance released</t>
  </si>
  <si>
    <t xml:space="preserve">Commercial (all)</t>
  </si>
  <si>
    <t xml:space="preserve">Commercial discount on IDOM's scope</t>
  </si>
  <si>
    <t xml:space="preserve">Plan Safe human factors deliverables</t>
  </si>
  <si>
    <t xml:space="preserve">Scope</t>
  </si>
  <si>
    <t xml:space="preserve">SSC group (S26, S27, S28, S29)</t>
  </si>
  <si>
    <t xml:space="preserve">INVAP conceptual design verification</t>
  </si>
  <si>
    <t xml:space="preserve">Optional</t>
  </si>
  <si>
    <t xml:space="preserve">Deliverable S1 as a two-week single issue</t>
  </si>
  <si>
    <t xml:space="preserve">Total reduction</t>
  </si>
  <si>
    <t xml:space="preserve">Original offer price</t>
  </si>
  <si>
    <t xml:space="preserve">Resulting price</t>
  </si>
  <si>
    <t xml:space="preserve">% reduction</t>
  </si>
  <si>
    <t xml:space="preserve">Check: original − resulting − total reduction</t>
  </si>
  <si>
    <t xml:space="preserve">B · Lump sum (Stages 1–3)</t>
  </si>
  <si>
    <t xml:space="preserve">C · Stages 1–5 (design to IFC)</t>
  </si>
  <si>
    <t xml:space="preserve">D · Justification of each lever</t>
  </si>
  <si>
    <t xml:space="preserve">Justification</t>
  </si>
  <si>
    <t xml:space="preserve">Applied in every scenario. The original offer carried a 35% rework allowance on IDOM's Stage 2 tasks. This proposal assumes that all deliverables are right first time: the basis of design is stable, inputs from ANSTO and the other design parties are complete and timely, and comments are resolved within the normal review cycle. The allowance is therefore released in full. Rework caused by changes to client inputs or requirements would be managed as a variation.</t>
  </si>
  <si>
    <t xml:space="preserve">Applied in every scenario. A commercial discount on everything IDOM invoices, calculated after the rework release, as a gesture towards ANSTO's budget. It is borne entirely by IDOM and does not change the price of Plan Safe or INVAP.</t>
  </si>
  <si>
    <t xml:space="preserve">Scenarios 2 and 3 remove Plan Safe's four HF deliverables (S2 HF Assurance / Integration Plan, S3 HF Hazards Identification and Control Plan, S8 HF Task Assessments, S30 HF Substantiation Report); scenario 4 prices them at a reduced factor. Assumption to be confirmed with ANSTO: the HF programme is either delivered by another party or reduced in extent. Plan Safe keeps its share of the shared deliverables, so HF inputs to IDOM's safety documents remain covered.</t>
  </si>
  <si>
    <t xml:space="preserve">Scenarios 3, 4 and 5 remove the SSC Categorisation Report (S26), the SSC Register (S27), the Engineering Schedule and V&amp;V Report for safety controls (S28) and the Design Substantiation Report (S29), including Plan Safe's share of S28 and S29. Assumption to be confirmed with ANSTO: these deliverables are produced by another design party or taken back by ANSTO; IDOM would provide inputs only.</t>
  </si>
  <si>
    <t xml:space="preserve">Optional lever (Assumptions tab). INVAP's Conceptual Design Verification in Stage 1 would be removed and its review of the reliance information covered by IDOM's own Basis of Design Gap Analysis Report.</t>
  </si>
  <si>
    <t xml:space="preserve">Optional lever (Assumptions tab). Delivering the Safety Assurance Plan and the Safety Integration Plan as a single, unrevised issue within two weeks of commencement is estimated at 165 hours, or 38,675 AUD (41,769 AUD inclusive of variable costs). The figure is governed by elapsed time rather than by content: ten working days allow approximately 2.2 senior authors to produce a coherent document set, and additional resources would extend the duration rather than shorten it. On this basis both plans can be issued at framework level, establishing the design approach for reconciling operational requirements with ALARP and Safety in Design principles together with the safety principles, organisational structure, processes and lifecycle, which is sufficient to authorise commencement of the design stage. It does not, however, discharge deliverable S1 as defined in Appendix B and Part F.1 Task 2.E C.i, since the risk screening and DSA methodologies, the requirements placed on each design party in respect of the DSAs and the SAR, the hazard log management process, the treatment of Objective Quality Evidence within the Verification and Validation Procedure, and the mapping of the 134 Quality Level 'A' sub-systems against their applicable safety assessments cannot be developed in that period, and no allowance is made for the review and comment-response cycles required by Section 6 of Part F.1. Accordingly, the two-week date should be understood as the first issue of S1, with the remaining content developed during Stage 2; if the issue is to be final and unrevised, that content must be reallocated to a separate deliverable and priced separately, as the Deterministic Safety Assessments, the SSC categorisation and the hazard log all depend on it.</t>
  </si>
  <si>
    <t xml:space="preserve">Scope levers marked "assumption to be confirmed" require ANSTO's agreement on who delivers the removed content; they are presented as options, not as a recommendation.</t>
  </si>
  <si>
    <t xml:space="preserve">Scenario detail by price block and company (A$)</t>
  </si>
  <si>
    <t xml:space="preserve">Every scenario includes the Stage 2 rework release and the commercial discount on IDOM. The reference row is the original offer with no adjustments.</t>
  </si>
  <si>
    <t xml:space="preserve">Total offer (Stages 1–7)</t>
  </si>
  <si>
    <t xml:space="preserve">Total price</t>
  </si>
  <si>
    <t xml:space="preserve">Deviation A$</t>
  </si>
  <si>
    <t xml:space="preserve">Deviation %</t>
  </si>
  <si>
    <t xml:space="preserve">Original offer (reference)</t>
  </si>
  <si>
    <t xml:space="preserve">Sc. 1 · Base offer</t>
  </si>
  <si>
    <t xml:space="preserve">Sc. 2 · Without Plan Safe HF tasks</t>
  </si>
  <si>
    <t xml:space="preserve">Sc. 3 · Without Plan Safe HF tasks and SSC</t>
  </si>
  <si>
    <t xml:space="preserve">Sc. 4 · Without SSC, Plan Safe HF tasks at reduced price</t>
  </si>
  <si>
    <t xml:space="preserve">Sc. 5 · Plan Safe as offered, without SSC</t>
  </si>
  <si>
    <t xml:space="preserve">Lump sum (Stages 1–3)</t>
  </si>
  <si>
    <t xml:space="preserve">Provisional sum (Stages 4–5)</t>
  </si>
  <si>
    <t xml:space="preserve">Provisional sum (Stages 6–7)</t>
  </si>
  <si>
    <t xml:space="preserve">Stages 1–5 (design to IFC)</t>
  </si>
  <si>
    <t xml:space="preserve">Reduction = original offer − scenario price (positive = cheaper). Deviation % = (benchmark − price) / price.</t>
  </si>
  <si>
    <t xml:space="preserve">Synertec benchmark comparison</t>
  </si>
  <si>
    <t xml:space="preserve">Synertec proposal for the nuclear and radiological scope, by stage (A$). Fixed for every scenario. Deviation A$ = price − benchmark; deviation % = (benchmark − price) / price.</t>
  </si>
  <si>
    <t xml:space="preserve">Stage</t>
  </si>
  <si>
    <t xml:space="preserve">Description</t>
  </si>
  <si>
    <t xml:space="preserve">Synertec proposal (A$)</t>
  </si>
  <si>
    <t xml:space="preserve">Original offer (A$)</t>
  </si>
  <si>
    <t xml:space="preserve">S1</t>
  </si>
  <si>
    <t xml:space="preserve">Project Familiarisation &amp; Initiation</t>
  </si>
  <si>
    <t xml:space="preserve">S2</t>
  </si>
  <si>
    <t xml:space="preserve">Concept Design</t>
  </si>
  <si>
    <t xml:space="preserve">S3</t>
  </si>
  <si>
    <t xml:space="preserve">Preliminary Design</t>
  </si>
  <si>
    <t xml:space="preserve">S4</t>
  </si>
  <si>
    <t xml:space="preserve">Detailed Design</t>
  </si>
  <si>
    <t xml:space="preserve">S5</t>
  </si>
  <si>
    <t xml:space="preserve">Issued For Construction</t>
  </si>
  <si>
    <t xml:space="preserve">S6</t>
  </si>
  <si>
    <t xml:space="preserve">Construction Support</t>
  </si>
  <si>
    <t xml:space="preserve">S7</t>
  </si>
  <si>
    <t xml:space="preserve">Commissioning, Qualification &amp; Validation</t>
  </si>
  <si>
    <t xml:space="preserve">TOTAL</t>
  </si>
  <si>
    <t xml:space="preserve">Scenario prices against the benchmark, by stage (with the commercial assumptions applied)</t>
  </si>
  <si>
    <t xml:space="preserve">Synertec</t>
  </si>
  <si>
    <t xml:space="preserve">Price (A$)</t>
  </si>
  <si>
    <t xml:space="preserve">S1–S3</t>
  </si>
  <si>
    <t xml:space="preserve">S4–S5</t>
  </si>
  <si>
    <t xml:space="preserve">S6–S7</t>
  </si>
  <si>
    <t xml:space="preserve">S1–S5</t>
  </si>
  <si>
    <t xml:space="preserve">Negative deviation = the Synertec benchmark is below the scenario price. Blocks: S1–S3 lump sum, S4–S5 and S6–S7 provisional sums, S1–S5 design to IFC.</t>
  </si>
  <si>
    <t xml:space="preserve">Assumptions and inputs</t>
  </si>
  <si>
    <t xml:space="preserve">Yellow cells with blue text are inputs; grey cells are fixed values from the original offer. Every sheet recalculates from these cells.</t>
  </si>
  <si>
    <t xml:space="preserve">Commercial assumptions applied to every scenario</t>
  </si>
  <si>
    <t xml:space="preserve">Stage 2 rework allowance included in the original offer</t>
  </si>
  <si>
    <t xml:space="preserve">Carried in the original offer as a 35% surcharge on IDOM's Stage 2 tasks.</t>
  </si>
  <si>
    <t xml:space="preserve">Stage 2 rework allowance considered in this proposal</t>
  </si>
  <si>
    <t xml:space="preserve">0% = the allowance is released in full: all deliverables are assumed right first time.</t>
  </si>
  <si>
    <t xml:space="preserve">Applied to everything IDOM invoices, after the rework release. Not applied to Plan Safe or INVAP.</t>
  </si>
  <si>
    <t xml:space="preserve">Optional levers</t>
  </si>
  <si>
    <t xml:space="preserve">Include INVAP (Conceptual Design Verification)?</t>
  </si>
  <si>
    <t xml:space="preserve">Yes</t>
  </si>
  <si>
    <t xml:space="preserve">No = INVAP's Stage 1 verification is removed from every scenario.</t>
  </si>
  <si>
    <t xml:space="preserve">Price deliverable S1 as a two-week single issue?</t>
  </si>
  <si>
    <t xml:space="preserve">No</t>
  </si>
  <si>
    <t xml:space="preserve">Yes = Safety Assurance Plan / Safety Integration Plan issued once at framework level in Stage 1, with no Stage 2 update.</t>
  </si>
  <si>
    <t xml:space="preserve">Deliverable S1 two-week option: hours</t>
  </si>
  <si>
    <t xml:space="preserve">Ten working days, approximately 2.2 senior authors.</t>
  </si>
  <si>
    <t xml:space="preserve">Deliverable S1 two-week option: price (A$)</t>
  </si>
  <si>
    <t xml:space="preserve">A$41,769 inclusive of variable costs (information only).</t>
  </si>
  <si>
    <t xml:space="preserve">Subcontractor parameters</t>
  </si>
  <si>
    <t xml:space="preserve">Plan Safe share of the shared deliverables</t>
  </si>
  <si>
    <t xml:space="preserve">Share of the deliverables led by IDOM with specialist input. Moves money between IDOM and Plan Safe; does not change the total.</t>
  </si>
  <si>
    <t xml:space="preserve">Plan Safe HF tasks price factor in scenario 4</t>
  </si>
  <si>
    <t xml:space="preserve">50% = Plan Safe's own HF deliverables at half price.</t>
  </si>
  <si>
    <t xml:space="preserve">Scenario definitions</t>
  </si>
  <si>
    <t xml:space="preserve">Name</t>
  </si>
  <si>
    <t xml:space="preserve">Definition</t>
  </si>
  <si>
    <t xml:space="preserve">Scenario 1</t>
  </si>
  <si>
    <t xml:space="preserve">Base offer</t>
  </si>
  <si>
    <t xml:space="preserve">Full scope as offered.</t>
  </si>
  <si>
    <t xml:space="preserve">Scenario 2</t>
  </si>
  <si>
    <t xml:space="preserve">Without Plan Safe HF tasks</t>
  </si>
  <si>
    <t xml:space="preserve">Removes Plan Safe's four human factors deliverables: S2, S3, S8 and S30.</t>
  </si>
  <si>
    <t xml:space="preserve">Scenario 3</t>
  </si>
  <si>
    <t xml:space="preserve">Without Plan Safe HF tasks and SSC</t>
  </si>
  <si>
    <t xml:space="preserve">Removes the four HF deliverables and the SSC group: S26, S27, S28 and S29.</t>
  </si>
  <si>
    <t xml:space="preserve">Scenario 4</t>
  </si>
  <si>
    <t xml:space="preserve">Without SSC, Plan Safe HF tasks at reduced price</t>
  </si>
  <si>
    <t xml:space="preserve">Removes the SSC group; Plan Safe's HF deliverables at the price factor above.</t>
  </si>
  <si>
    <t xml:space="preserve">Scenario 5</t>
  </si>
  <si>
    <t xml:space="preserve">Plan Safe as offered, without SSC</t>
  </si>
  <si>
    <t xml:space="preserve">Removes the SSC group only; Plan Safe scope as offered.</t>
  </si>
  <si>
    <t xml:space="preserve">Every scenario includes the commercial assumptions above. The original offer (reference) is the offer as submitted, with no adjustments.</t>
  </si>
  <si>
    <t xml:space="preserve">Calculation engine — do not edit (driven by Assumptions and Data)</t>
  </si>
  <si>
    <t xml:space="preserve">Code</t>
  </si>
  <si>
    <t xml:space="preserve">Deliverable</t>
  </si>
  <si>
    <t xml:space="preserve">Group</t>
  </si>
  <si>
    <t xml:space="preserve">% IDOM</t>
  </si>
  <si>
    <t xml:space="preserve">% Plan Safe</t>
  </si>
  <si>
    <t xml:space="preserve">% INVAP</t>
  </si>
  <si>
    <t xml:space="preserve">Factor Sc.1</t>
  </si>
  <si>
    <t xml:space="preserve">Factor Sc.2</t>
  </si>
  <si>
    <t xml:space="preserve">Factor Sc.3</t>
  </si>
  <si>
    <t xml:space="preserve">Factor Sc.4</t>
  </si>
  <si>
    <t xml:space="preserve">Factor Sc.5</t>
  </si>
  <si>
    <t xml:space="preserve">A$ S1</t>
  </si>
  <si>
    <t xml:space="preserve">A$ S2</t>
  </si>
  <si>
    <t xml:space="preserve">A$ S3</t>
  </si>
  <si>
    <t xml:space="preserve">A$ S4</t>
  </si>
  <si>
    <t xml:space="preserve">A$ S5</t>
  </si>
  <si>
    <t xml:space="preserve">A$ S6</t>
  </si>
  <si>
    <t xml:space="preserve">A$ S7</t>
  </si>
  <si>
    <t xml:space="preserve">h S1</t>
  </si>
  <si>
    <t xml:space="preserve">h S2</t>
  </si>
  <si>
    <t xml:space="preserve">h S3</t>
  </si>
  <si>
    <t xml:space="preserve">h S4</t>
  </si>
  <si>
    <t xml:space="preserve">h S5</t>
  </si>
  <si>
    <t xml:space="preserve">h S6</t>
  </si>
  <si>
    <t xml:space="preserve">h S7</t>
  </si>
  <si>
    <t xml:space="preserve">A$ S1–S3</t>
  </si>
  <si>
    <t xml:space="preserve">A$ S4–S5</t>
  </si>
  <si>
    <t xml:space="preserve">A$ S6–S7</t>
  </si>
  <si>
    <t xml:space="preserve">A$ S1–S5</t>
  </si>
  <si>
    <t xml:space="preserve">A$ Total</t>
  </si>
  <si>
    <t xml:space="preserve">E94</t>
  </si>
  <si>
    <t xml:space="preserve">Radiological Zoning Layout drawing(s)</t>
  </si>
  <si>
    <t xml:space="preserve">Other</t>
  </si>
  <si>
    <t xml:space="preserve">Safety Assurance Plan / Safety Integration Plan</t>
  </si>
  <si>
    <t xml:space="preserve">Shared</t>
  </si>
  <si>
    <t xml:space="preserve">S9</t>
  </si>
  <si>
    <t xml:space="preserve">Deterministic Safety Assessment(s) (DSA) / Inherent Risk Assessment(s)</t>
  </si>
  <si>
    <t xml:space="preserve">S10</t>
  </si>
  <si>
    <t xml:space="preserve">Probablisitic Safety Assessment / Quantitative Risk Assessment (s) (QRA)</t>
  </si>
  <si>
    <t xml:space="preserve">S17</t>
  </si>
  <si>
    <t xml:space="preserve">ALARP (Optioneering) Study</t>
  </si>
  <si>
    <t xml:space="preserve">S18</t>
  </si>
  <si>
    <t xml:space="preserve">ALARP Summary Report (ALARP/SFARP Statement Report)</t>
  </si>
  <si>
    <t xml:space="preserve">S20</t>
  </si>
  <si>
    <t xml:space="preserve">Safety in Design (SiD) Report</t>
  </si>
  <si>
    <t xml:space="preserve">S21</t>
  </si>
  <si>
    <t xml:space="preserve">Radiological Shielding Basis of Design</t>
  </si>
  <si>
    <t xml:space="preserve">S22</t>
  </si>
  <si>
    <t xml:space="preserve">Radiological Shielding Assessment</t>
  </si>
  <si>
    <t xml:space="preserve">S23</t>
  </si>
  <si>
    <t xml:space="preserve">Radiological Contamination Control Strategy</t>
  </si>
  <si>
    <t xml:space="preserve">S24</t>
  </si>
  <si>
    <t xml:space="preserve">Radiological Classification of Areas (RCA)</t>
  </si>
  <si>
    <t xml:space="preserve">S25</t>
  </si>
  <si>
    <t xml:space="preserve">Radiation Dose Assessment /Normal) Operations Dose Assessment</t>
  </si>
  <si>
    <t xml:space="preserve">S26</t>
  </si>
  <si>
    <t xml:space="preserve">Structures Systems and Components (SSC) Categorisation Report</t>
  </si>
  <si>
    <t xml:space="preserve">SSC</t>
  </si>
  <si>
    <t xml:space="preserve">S27</t>
  </si>
  <si>
    <t xml:space="preserve">Structures Systems and Components (SSC) Register</t>
  </si>
  <si>
    <t xml:space="preserve">S28</t>
  </si>
  <si>
    <t xml:space="preserve">Engineering Schedule &amp; Verification and Validation Report (Safety Controls)</t>
  </si>
  <si>
    <t xml:space="preserve">S29</t>
  </si>
  <si>
    <t xml:space="preserve">Design Substantiation Report</t>
  </si>
  <si>
    <t xml:space="preserve">S31</t>
  </si>
  <si>
    <t xml:space="preserve">Independent Verification Reports (design, constructions and commissioning phases)</t>
  </si>
  <si>
    <t xml:space="preserve">S33</t>
  </si>
  <si>
    <t xml:space="preserve">Radiological Shielding Verification Report / (Shielding integrity test report)</t>
  </si>
  <si>
    <t xml:space="preserve">S37</t>
  </si>
  <si>
    <t xml:space="preserve">Radiological Environmental Monitoring Plan</t>
  </si>
  <si>
    <t xml:space="preserve">S38</t>
  </si>
  <si>
    <t xml:space="preserve">Radiological Stack Monitoring Protocol</t>
  </si>
  <si>
    <t xml:space="preserve">Pre</t>
  </si>
  <si>
    <t xml:space="preserve">Conceptual Design Verification</t>
  </si>
  <si>
    <t xml:space="preserve">Human Factors Assurance Plan / Human Factors Integration Plan (HFIP)</t>
  </si>
  <si>
    <t xml:space="preserve">Plan Safe task</t>
  </si>
  <si>
    <t xml:space="preserve">Human Factors Hazards Identification and Control Plan (HFHICP)</t>
  </si>
  <si>
    <t xml:space="preserve">S8</t>
  </si>
  <si>
    <t xml:space="preserve">Human Factor Task Assessments</t>
  </si>
  <si>
    <t xml:space="preserve">S30</t>
  </si>
  <si>
    <t xml:space="preserve">Human Factors Substantiation/Assurance Report</t>
  </si>
  <si>
    <t xml:space="preserve">Original offer (reference, no adjustments)</t>
  </si>
  <si>
    <t xml:space="preserve">IDOM – deliverables</t>
  </si>
  <si>
    <t xml:space="preserve">Plan Safe – deliverables</t>
  </si>
  <si>
    <t xml:space="preserve">INVAP – deliverables</t>
  </si>
  <si>
    <t xml:space="preserve">IDOM – deliverable S1 option</t>
  </si>
  <si>
    <t xml:space="preserve">Plan Safe – deliverable S1 option</t>
  </si>
  <si>
    <t xml:space="preserve">IDOM – Stage 2 rework release</t>
  </si>
  <si>
    <t xml:space="preserve">IDOM – commercial discount</t>
  </si>
  <si>
    <t xml:space="preserve">IDOM – net</t>
  </si>
  <si>
    <t xml:space="preserve">Plan Safe – net</t>
  </si>
  <si>
    <t xml:space="preserve">INVAP – net</t>
  </si>
  <si>
    <t xml:space="preserve">Hours – deliverables</t>
  </si>
  <si>
    <t xml:space="preserve">Hours – deliverable S1 option</t>
  </si>
  <si>
    <t xml:space="preserve">Hours – total</t>
  </si>
  <si>
    <t xml:space="preserve">Scenario 1 — Base offer</t>
  </si>
  <si>
    <t xml:space="preserve">Scenario 2 — Without Plan Safe HF tasks</t>
  </si>
  <si>
    <t xml:space="preserve">Scenario 3 — Without Plan Safe HF tasks and SSC</t>
  </si>
  <si>
    <t xml:space="preserve">Scenario 4 — Without SSC, Plan Safe HF tasks at reduced price</t>
  </si>
  <si>
    <t xml:space="preserve">Scenario 5 — Plan Safe as offered, without SSC</t>
  </si>
  <si>
    <t xml:space="preserve">Source data: offer hours by deliverable, stage and profile, at the offer sell rates</t>
  </si>
  <si>
    <t xml:space="preserve">Source: IDOM bottom-up cost model of the offer (NMMP tool, «Oferta mayo»). Rates in A$/h, discounted, including the 1.05 factor.</t>
  </si>
  <si>
    <t xml:space="preserve">Profile</t>
  </si>
  <si>
    <t xml:space="preserve">Rate A$/h</t>
  </si>
  <si>
    <t xml:space="preserve">Amount A$</t>
  </si>
  <si>
    <t xml:space="preserve">P7</t>
  </si>
  <si>
    <t xml:space="preserve">Associate Director 2</t>
  </si>
  <si>
    <t xml:space="preserve">P6</t>
  </si>
  <si>
    <t xml:space="preserve">Principal Professional</t>
  </si>
  <si>
    <t xml:space="preserve">P5</t>
  </si>
  <si>
    <t xml:space="preserve">Senior Professional 1</t>
  </si>
  <si>
    <t xml:space="preserve">P4</t>
  </si>
  <si>
    <t xml:space="preserve">Senior Professional 2</t>
  </si>
  <si>
    <t xml:space="preserve">TO3</t>
  </si>
  <si>
    <t xml:space="preserve">TO4</t>
  </si>
  <si>
    <t xml:space="preserve">Senior Technical Officer</t>
  </si>
  <si>
    <t xml:space="preserve">TO2</t>
  </si>
  <si>
    <t xml:space="preserve">Technical Officer 1</t>
  </si>
  <si>
    <t xml:space="preserve">Technical Officer 2</t>
  </si>
  <si>
    <t xml:space="preserve">PM3</t>
  </si>
  <si>
    <t xml:space="preserve">Project Director / Project Manager</t>
  </si>
  <si>
    <t xml:space="preserve">PM2</t>
  </si>
  <si>
    <t xml:space="preserve">Senior Executive</t>
  </si>
  <si>
    <t xml:space="preserve">PM1</t>
  </si>
  <si>
    <t xml:space="preserve">Discipline Lead / Design Manager</t>
  </si>
  <si>
    <t xml:space="preserve">P10</t>
  </si>
  <si>
    <t xml:space="preserve">Industry / International Specialist</t>
  </si>
  <si>
    <t xml:space="preserve">P9</t>
  </si>
  <si>
    <t xml:space="preserve">Technical Director</t>
  </si>
  <si>
    <t xml:space="preserve">P8</t>
  </si>
  <si>
    <t xml:space="preserve">Associate Director 1</t>
  </si>
  <si>
    <t xml:space="preserve">P3</t>
  </si>
  <si>
    <t xml:space="preserve">Professional 1</t>
  </si>
  <si>
    <t xml:space="preserve">P2</t>
  </si>
  <si>
    <t xml:space="preserve">Professional 2</t>
  </si>
  <si>
    <t xml:space="preserve">P1</t>
  </si>
  <si>
    <t xml:space="preserve">Graduate Professional</t>
  </si>
  <si>
    <t xml:space="preserve">TO6</t>
  </si>
  <si>
    <t xml:space="preserve">Principal Technical Officer 1</t>
  </si>
  <si>
    <t xml:space="preserve">TO5</t>
  </si>
  <si>
    <t xml:space="preserve">Principal Technical Officer 2</t>
  </si>
  <si>
    <t xml:space="preserve">TO1</t>
  </si>
  <si>
    <t xml:space="preserve">Technical Assistant</t>
  </si>
  <si>
    <t xml:space="preserve">A3</t>
  </si>
  <si>
    <t xml:space="preserve">Senior Admin Officer</t>
  </si>
  <si>
    <t xml:space="preserve">A2</t>
  </si>
  <si>
    <t xml:space="preserve">Admin Officer</t>
  </si>
  <si>
    <t xml:space="preserve">A1</t>
  </si>
  <si>
    <t xml:space="preserve">Admin Assistant</t>
  </si>
</sst>
</file>

<file path=xl/styles.xml><?xml version="1.0" encoding="utf-8"?>
<styleSheet xmlns="http://schemas.openxmlformats.org/spreadsheetml/2006/main">
  <numFmts count="9">
    <numFmt numFmtId="164" formatCode="General"/>
    <numFmt numFmtId="165" formatCode="#,##0;\(#,##0\);\-"/>
    <numFmt numFmtId="166" formatCode="0.0%;\-0.0%;\-"/>
    <numFmt numFmtId="167" formatCode="0.00%;\-0.00%;\-"/>
    <numFmt numFmtId="168" formatCode="\+#,##0;\-#,##0;\-"/>
    <numFmt numFmtId="169" formatCode="0%"/>
    <numFmt numFmtId="170" formatCode="0.0%"/>
    <numFmt numFmtId="171" formatCode="#,##0"/>
    <numFmt numFmtId="172" formatCode="#,##0.000"/>
  </numFmts>
  <fonts count="22">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2"/>
      <color rgb="FF2E6B8A"/>
      <name val="Arial"/>
      <family val="0"/>
      <charset val="1"/>
    </font>
    <font>
      <i val="true"/>
      <sz val="10"/>
      <color rgb="FF000000"/>
      <name val="Arial"/>
      <family val="0"/>
      <charset val="1"/>
    </font>
    <font>
      <b val="true"/>
      <sz val="12"/>
      <color rgb="FF1F3A5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b val="true"/>
      <sz val="10"/>
      <color rgb="FF1F3A5F"/>
      <name val="Arial"/>
      <family val="0"/>
      <charset val="1"/>
    </font>
    <font>
      <i val="true"/>
      <sz val="9"/>
      <color rgb="FF000000"/>
      <name val="Arial"/>
      <family val="0"/>
      <charset val="1"/>
    </font>
    <font>
      <b val="true"/>
      <sz val="14"/>
      <color rgb="FF1F3A5F"/>
      <name val="Arial"/>
      <family val="0"/>
      <charset val="1"/>
    </font>
    <font>
      <b val="true"/>
      <sz val="11"/>
      <color rgb="FF1F3A5F"/>
      <name val="Arial"/>
      <family val="0"/>
      <charset val="1"/>
    </font>
    <font>
      <sz val="9"/>
      <color rgb="FF000000"/>
      <name val="Arial"/>
      <family val="0"/>
      <charset val="1"/>
    </font>
    <font>
      <i val="true"/>
      <sz val="9"/>
      <color rgb="FF808080"/>
      <name val="Arial"/>
      <family val="0"/>
      <charset val="1"/>
    </font>
    <font>
      <b val="true"/>
      <sz val="10"/>
      <color rgb="FF2E75B6"/>
      <name val="Arial"/>
      <family val="0"/>
      <charset val="1"/>
    </font>
    <font>
      <sz val="10"/>
      <color rgb="FF0000FF"/>
      <name val="Arial"/>
      <family val="0"/>
      <charset val="1"/>
    </font>
    <font>
      <b val="true"/>
      <sz val="10"/>
      <color rgb="FF595959"/>
      <name val="Arial"/>
      <family val="0"/>
      <charset val="1"/>
    </font>
    <font>
      <b val="true"/>
      <sz val="10"/>
      <color rgb="FF0000FF"/>
      <name val="Arial"/>
      <family val="0"/>
      <charset val="1"/>
    </font>
    <font>
      <sz val="8"/>
      <color rgb="FF808080"/>
      <name val="Arial"/>
      <family val="0"/>
      <charset val="1"/>
    </font>
  </fonts>
  <fills count="13">
    <fill>
      <patternFill patternType="none"/>
    </fill>
    <fill>
      <patternFill patternType="gray125"/>
    </fill>
    <fill>
      <patternFill patternType="solid">
        <fgColor rgb="FF1F3A5F"/>
        <bgColor rgb="FF333333"/>
      </patternFill>
    </fill>
    <fill>
      <patternFill patternType="solid">
        <fgColor rgb="FFF2F4F7"/>
        <bgColor rgb="FFFFFFFF"/>
      </patternFill>
    </fill>
    <fill>
      <patternFill patternType="solid">
        <fgColor rgb="FFFFF2CC"/>
        <bgColor rgb="FFF2F4F7"/>
      </patternFill>
    </fill>
    <fill>
      <patternFill patternType="solid">
        <fgColor rgb="FFDDEBF7"/>
        <bgColor rgb="FFE7E6E6"/>
      </patternFill>
    </fill>
    <fill>
      <patternFill patternType="solid">
        <fgColor rgb="FF2E6B8A"/>
        <bgColor rgb="FF2E75B6"/>
      </patternFill>
    </fill>
    <fill>
      <patternFill patternType="solid">
        <fgColor rgb="FF7A5C1E"/>
        <bgColor rgb="FF595959"/>
      </patternFill>
    </fill>
    <fill>
      <patternFill patternType="solid">
        <fgColor rgb="FF6B3A6B"/>
        <bgColor rgb="FF993366"/>
      </patternFill>
    </fill>
    <fill>
      <patternFill patternType="solid">
        <fgColor rgb="FF2F6B3A"/>
        <bgColor rgb="FF2E6B8A"/>
      </patternFill>
    </fill>
    <fill>
      <patternFill patternType="solid">
        <fgColor rgb="FFD9DEE6"/>
        <bgColor rgb="FFE7E6E6"/>
      </patternFill>
    </fill>
    <fill>
      <patternFill patternType="solid">
        <fgColor rgb="FFE7E6E6"/>
        <bgColor rgb="FFDDEBF7"/>
      </patternFill>
    </fill>
    <fill>
      <patternFill patternType="solid">
        <fgColor rgb="FFFFFF00"/>
        <bgColor rgb="FFFFFF00"/>
      </patternFill>
    </fill>
  </fills>
  <borders count="2">
    <border diagonalUp="false" diagonalDown="false">
      <left/>
      <right/>
      <top/>
      <bottom/>
      <diagonal/>
    </border>
    <border diagonalUp="false" diagonalDown="false">
      <left style="thin">
        <color rgb="FFBFC5CF"/>
      </left>
      <right style="thin">
        <color rgb="FFBFC5CF"/>
      </right>
      <top style="thin">
        <color rgb="FFBFC5CF"/>
      </top>
      <bottom style="thin">
        <color rgb="FFBFC5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7" fontId="9"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center" vertical="center" textRotation="0" wrapText="true" indent="0"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8" fillId="8" borderId="0" xfId="0" applyFont="true" applyBorder="true" applyAlignment="true" applyProtection="false">
      <alignment horizontal="center" vertical="center" textRotation="0" wrapText="true" indent="0" shrinkToFit="false"/>
      <protection locked="true" hidden="false"/>
    </xf>
    <xf numFmtId="164" fontId="8" fillId="9" borderId="0"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19" fillId="11" borderId="0" xfId="0" applyFont="true" applyBorder="false" applyAlignment="true" applyProtection="false">
      <alignment horizontal="center" vertical="center" textRotation="0" wrapText="false" indent="0" shrinkToFit="false"/>
      <protection locked="true" hidden="false"/>
    </xf>
    <xf numFmtId="169" fontId="20" fillId="12" borderId="0" xfId="0" applyFont="true" applyBorder="false" applyAlignment="true" applyProtection="false">
      <alignment horizontal="center" vertical="center" textRotation="0" wrapText="false" indent="0" shrinkToFit="false"/>
      <protection locked="true" hidden="false"/>
    </xf>
    <xf numFmtId="170" fontId="20" fillId="12" borderId="0" xfId="0" applyFont="true" applyBorder="false" applyAlignment="true" applyProtection="false">
      <alignment horizontal="center" vertical="center" textRotation="0" wrapText="false" indent="0" shrinkToFit="false"/>
      <protection locked="true" hidden="false"/>
    </xf>
    <xf numFmtId="164" fontId="20" fillId="12" borderId="0" xfId="0" applyFont="true" applyBorder="false" applyAlignment="true" applyProtection="false">
      <alignment horizontal="center" vertical="center" textRotation="0" wrapText="false" indent="0" shrinkToFit="false"/>
      <protection locked="true" hidden="false"/>
    </xf>
    <xf numFmtId="171" fontId="20" fillId="12" borderId="0" xfId="0" applyFont="true" applyBorder="false" applyAlignment="true" applyProtection="false">
      <alignment horizontal="center" vertical="center" textRotation="0" wrapText="false" indent="0" shrinkToFit="false"/>
      <protection locked="true" hidden="false"/>
    </xf>
    <xf numFmtId="165" fontId="20" fillId="12"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center" vertical="center"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center" vertical="center"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true" applyProtection="false">
      <alignment horizontal="center" vertical="center"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true" applyProtection="false">
      <alignment horizontal="center" vertical="center" textRotation="0" wrapText="false" indent="0" shrinkToFit="false"/>
      <protection locked="true" hidden="false"/>
    </xf>
    <xf numFmtId="164" fontId="8"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8" fillId="9" borderId="0" xfId="0" applyFont="true" applyBorder="false" applyAlignment="true" applyProtection="false">
      <alignment horizontal="center" vertical="center" textRotation="0" wrapText="false" indent="0" shrinkToFit="false"/>
      <protection locked="true" hidden="false"/>
    </xf>
    <xf numFmtId="172" fontId="18"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2F6B3A"/>
      <rgbColor rgb="FF000080"/>
      <rgbColor rgb="FF7A5C1E"/>
      <rgbColor rgb="FF800080"/>
      <rgbColor rgb="FF2E6B8A"/>
      <rgbColor rgb="FFBFC5CF"/>
      <rgbColor rgb="FF808080"/>
      <rgbColor rgb="FF9999FF"/>
      <rgbColor rgb="FF6B3A6B"/>
      <rgbColor rgb="FFFFF2CC"/>
      <rgbColor rgb="FFDDEBF7"/>
      <rgbColor rgb="FF660066"/>
      <rgbColor rgb="FFFF8080"/>
      <rgbColor rgb="FF0066CC"/>
      <rgbColor rgb="FFD9DEE6"/>
      <rgbColor rgb="FF000080"/>
      <rgbColor rgb="FFFF00FF"/>
      <rgbColor rgb="FFFFFF00"/>
      <rgbColor rgb="FF00FFFF"/>
      <rgbColor rgb="FF800080"/>
      <rgbColor rgb="FF800000"/>
      <rgbColor rgb="FF008080"/>
      <rgbColor rgb="FF0000FF"/>
      <rgbColor rgb="FF00CCFF"/>
      <rgbColor rgb="FFF2F4F7"/>
      <rgbColor rgb="FFE7E6E6"/>
      <rgbColor rgb="FFFFFF99"/>
      <rgbColor rgb="FF99CCFF"/>
      <rgbColor rgb="FFFF99CC"/>
      <rgbColor rgb="FFCC99FF"/>
      <rgbColor rgb="FFFFCC99"/>
      <rgbColor rgb="FF2E75B6"/>
      <rgbColor rgb="FF33CCCC"/>
      <rgbColor rgb="FF99CC00"/>
      <rgbColor rgb="FFFFC0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K32"/>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11" min="3" style="0" width="15"/>
  </cols>
  <sheetData>
    <row r="1" customFormat="false" ht="19.7"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t="str">
        <f aca="false">"Basis for every scenario: Stage 2 rework allowance released ("&amp;TEXT(Assumptions!$C$6,"0%")&amp;" instead of "&amp;TEXT(Assumptions!$C$5,"0%")&amp;", all deliverables assumed right first time) and a "&amp;TEXT(Assumptions!$C$7,"0.0%")&amp;" commercial discount on IDOM's scope. Figures in A$, excluding GST."</f>
        <v>Basis for every scenario: Stage 2 rework allowance released (0% instead of 35%, all deliverables assumed right first time) and a 4.0% commercial discount on IDOM's scope. Figures in A$, excluding GST.</v>
      </c>
      <c r="C3" s="3"/>
      <c r="D3" s="3"/>
      <c r="E3" s="3"/>
      <c r="F3" s="3"/>
      <c r="G3" s="3"/>
      <c r="H3" s="3"/>
      <c r="I3" s="3"/>
      <c r="J3" s="3"/>
      <c r="K3" s="3"/>
    </row>
    <row r="5" customFormat="false" ht="15" hidden="false" customHeight="false" outlineLevel="0" collapsed="false">
      <c r="B5" s="4" t="s">
        <v>2</v>
      </c>
    </row>
    <row r="6" customFormat="false" ht="43.5" hidden="false" customHeight="true" outlineLevel="0" collapsed="false">
      <c r="B6" s="5" t="s">
        <v>3</v>
      </c>
      <c r="C6" s="5" t="s">
        <v>4</v>
      </c>
      <c r="D6" s="5" t="s">
        <v>5</v>
      </c>
      <c r="E6" s="5" t="s">
        <v>6</v>
      </c>
      <c r="F6" s="5" t="s">
        <v>7</v>
      </c>
      <c r="G6" s="5" t="s">
        <v>8</v>
      </c>
      <c r="H6" s="5" t="s">
        <v>9</v>
      </c>
      <c r="I6" s="5" t="s">
        <v>10</v>
      </c>
      <c r="J6" s="5" t="s">
        <v>11</v>
      </c>
      <c r="K6" s="5" t="s">
        <v>12</v>
      </c>
    </row>
    <row r="7" customFormat="false" ht="15" hidden="false" customHeight="false" outlineLevel="0" collapsed="false">
      <c r="B7" s="6" t="s">
        <v>13</v>
      </c>
      <c r="C7" s="7" t="n">
        <f aca="false">'Scenario Detail'!G6</f>
        <v>7530724.005</v>
      </c>
      <c r="D7" s="8" t="n">
        <f aca="false">$C$7-C7</f>
        <v>0</v>
      </c>
      <c r="E7" s="9" t="n">
        <f aca="false">IF($C$7=0,0,D7/$C$7)</f>
        <v>0</v>
      </c>
      <c r="F7" s="8" t="n">
        <f aca="false">'Scenario Detail'!G16</f>
        <v>2537245.725</v>
      </c>
      <c r="G7" s="8" t="n">
        <f aca="false">'Scenario Detail'!G46</f>
        <v>6261739.155</v>
      </c>
      <c r="H7" s="8" t="n">
        <f aca="false">'Scenario Detail'!G26+'Scenario Detail'!G36</f>
        <v>4993478.28</v>
      </c>
      <c r="I7" s="8" t="n">
        <f aca="false">'Scenario Detail'!J6</f>
        <v>3809000</v>
      </c>
      <c r="J7" s="8" t="n">
        <f aca="false">C7-I7</f>
        <v>3721724.005</v>
      </c>
      <c r="K7" s="10" t="n">
        <f aca="false">IF(C7=0,0,(I7-C7)/C7)</f>
        <v>-0.494205338361753</v>
      </c>
    </row>
    <row r="8" customFormat="false" ht="15" hidden="false" customHeight="false" outlineLevel="0" collapsed="false">
      <c r="B8" s="11" t="s">
        <v>14</v>
      </c>
      <c r="C8" s="7" t="n">
        <f aca="false">'Scenario Detail'!G7</f>
        <v>7162862.6447</v>
      </c>
      <c r="D8" s="8" t="n">
        <f aca="false">$C$7-C8</f>
        <v>367861.360300001</v>
      </c>
      <c r="E8" s="9" t="n">
        <f aca="false">IF($C$7=0,0,D8/$C$7)</f>
        <v>0.0488480735790822</v>
      </c>
      <c r="F8" s="8" t="n">
        <f aca="false">'Scenario Detail'!G17</f>
        <v>2328401.4383</v>
      </c>
      <c r="G8" s="8" t="n">
        <f aca="false">'Scenario Detail'!G47</f>
        <v>5933727.0251</v>
      </c>
      <c r="H8" s="8" t="n">
        <f aca="false">'Scenario Detail'!G27+'Scenario Detail'!G37</f>
        <v>4834461.2064</v>
      </c>
      <c r="I8" s="8" t="n">
        <f aca="false">'Scenario Detail'!J7</f>
        <v>3809000</v>
      </c>
      <c r="J8" s="8" t="n">
        <f aca="false">C8-I8</f>
        <v>3353862.6447</v>
      </c>
      <c r="K8" s="10" t="n">
        <f aca="false">IF(C8=0,0,(I8-C8)/C8)</f>
        <v>-0.468229367371943</v>
      </c>
    </row>
    <row r="9" customFormat="false" ht="15" hidden="false" customHeight="false" outlineLevel="0" collapsed="false">
      <c r="B9" s="11" t="s">
        <v>15</v>
      </c>
      <c r="C9" s="7" t="n">
        <f aca="false">'Scenario Detail'!G8</f>
        <v>5941147.1147</v>
      </c>
      <c r="D9" s="8" t="n">
        <f aca="false">$C$7-C9</f>
        <v>1589576.8903</v>
      </c>
      <c r="E9" s="9" t="n">
        <f aca="false">IF($C$7=0,0,D9/$C$7)</f>
        <v>0.21107889350939</v>
      </c>
      <c r="F9" s="8" t="n">
        <f aca="false">'Scenario Detail'!G18</f>
        <v>1871661.4133</v>
      </c>
      <c r="G9" s="8" t="n">
        <f aca="false">'Scenario Detail'!G48</f>
        <v>4915349.2451</v>
      </c>
      <c r="H9" s="8" t="n">
        <f aca="false">'Scenario Detail'!G28+'Scenario Detail'!G38</f>
        <v>4069485.7014</v>
      </c>
      <c r="I9" s="8" t="n">
        <f aca="false">'Scenario Detail'!J8</f>
        <v>3809000</v>
      </c>
      <c r="J9" s="8" t="n">
        <f aca="false">C9-I9</f>
        <v>2132147.1147</v>
      </c>
      <c r="K9" s="10" t="n">
        <f aca="false">IF(C9=0,0,(I9-C9)/C9)</f>
        <v>-0.358878020277346</v>
      </c>
    </row>
    <row r="10" customFormat="false" ht="15" hidden="false" customHeight="false" outlineLevel="0" collapsed="false">
      <c r="B10" s="11" t="s">
        <v>16</v>
      </c>
      <c r="C10" s="7" t="n">
        <f aca="false">'Scenario Detail'!G9</f>
        <v>4376618.92476667</v>
      </c>
      <c r="D10" s="8" t="n">
        <f aca="false">$C$7-C10</f>
        <v>3154105.08023333</v>
      </c>
      <c r="E10" s="9" t="n">
        <f aca="false">IF($C$7=0,0,D10/$C$7)</f>
        <v>0.418831586197977</v>
      </c>
      <c r="F10" s="8" t="n">
        <f aca="false">'Scenario Detail'!G19</f>
        <v>1533068.06496667</v>
      </c>
      <c r="G10" s="8" t="n">
        <f aca="false">'Scenario Detail'!G49</f>
        <v>3737301.91566667</v>
      </c>
      <c r="H10" s="8" t="n">
        <f aca="false">'Scenario Detail'!G29+'Scenario Detail'!G39</f>
        <v>2843550.8598</v>
      </c>
      <c r="I10" s="8" t="n">
        <f aca="false">'Scenario Detail'!J9</f>
        <v>3809000</v>
      </c>
      <c r="J10" s="8" t="n">
        <f aca="false">C10-I10</f>
        <v>567618.924766666</v>
      </c>
      <c r="K10" s="10" t="n">
        <f aca="false">IF(C10=0,0,(I10-C10)/C10)</f>
        <v>-0.129693476750875</v>
      </c>
    </row>
    <row r="11" customFormat="false" ht="15" hidden="false" customHeight="false" outlineLevel="0" collapsed="false">
      <c r="B11" s="11" t="s">
        <v>17</v>
      </c>
      <c r="C11" s="7" t="n">
        <f aca="false">'Scenario Detail'!G10</f>
        <v>4987476.68976667</v>
      </c>
      <c r="D11" s="8" t="n">
        <f aca="false">$C$7-C11</f>
        <v>2543247.31523334</v>
      </c>
      <c r="E11" s="9" t="n">
        <f aca="false">IF($C$7=0,0,D11/$C$7)</f>
        <v>0.337716176232824</v>
      </c>
      <c r="F11" s="8" t="n">
        <f aca="false">'Scenario Detail'!G20</f>
        <v>1761438.07746667</v>
      </c>
      <c r="G11" s="8" t="n">
        <f aca="false">'Scenario Detail'!G50</f>
        <v>4246490.80566667</v>
      </c>
      <c r="H11" s="8" t="n">
        <f aca="false">'Scenario Detail'!G30+'Scenario Detail'!G40</f>
        <v>3226038.6123</v>
      </c>
      <c r="I11" s="8" t="n">
        <f aca="false">'Scenario Detail'!J10</f>
        <v>3809000</v>
      </c>
      <c r="J11" s="8" t="n">
        <f aca="false">C11-I11</f>
        <v>1178476.68976667</v>
      </c>
      <c r="K11" s="10" t="n">
        <f aca="false">IF(C11=0,0,(I11-C11)/C11)</f>
        <v>-0.23628715742866</v>
      </c>
    </row>
    <row r="12" customFormat="false" ht="15" hidden="false" customHeight="false" outlineLevel="0" collapsed="false">
      <c r="B12" s="11" t="s">
        <v>18</v>
      </c>
      <c r="C12" s="7" t="n">
        <f aca="false">'Scenario Detail'!G11</f>
        <v>5598334.45476667</v>
      </c>
      <c r="D12" s="8" t="n">
        <f aca="false">$C$7-C12</f>
        <v>1932389.55023333</v>
      </c>
      <c r="E12" s="9" t="n">
        <f aca="false">IF($C$7=0,0,D12/$C$7)</f>
        <v>0.25660076626767</v>
      </c>
      <c r="F12" s="8" t="n">
        <f aca="false">'Scenario Detail'!G21</f>
        <v>1989808.08996667</v>
      </c>
      <c r="G12" s="8" t="n">
        <f aca="false">'Scenario Detail'!G51</f>
        <v>4755679.69566667</v>
      </c>
      <c r="H12" s="8" t="n">
        <f aca="false">'Scenario Detail'!G31+'Scenario Detail'!G41</f>
        <v>3608526.3648</v>
      </c>
      <c r="I12" s="8" t="n">
        <f aca="false">'Scenario Detail'!J11</f>
        <v>3809000</v>
      </c>
      <c r="J12" s="8" t="n">
        <f aca="false">C12-I12</f>
        <v>1789334.45476667</v>
      </c>
      <c r="K12" s="10" t="n">
        <f aca="false">IF(C12=0,0,(I12-C12)/C12)</f>
        <v>-0.319619070497503</v>
      </c>
    </row>
    <row r="15" customFormat="false" ht="15" hidden="false" customHeight="false" outlineLevel="0" collapsed="false">
      <c r="B15" s="4" t="s">
        <v>19</v>
      </c>
    </row>
    <row r="16" customFormat="false" ht="30" hidden="false" customHeight="true" outlineLevel="0" collapsed="false">
      <c r="B16" s="5" t="s">
        <v>3</v>
      </c>
      <c r="C16" s="5" t="s">
        <v>20</v>
      </c>
      <c r="D16" s="5" t="s">
        <v>21</v>
      </c>
      <c r="E16" s="5" t="s">
        <v>22</v>
      </c>
      <c r="F16" s="5" t="s">
        <v>23</v>
      </c>
      <c r="G16" s="5" t="s">
        <v>24</v>
      </c>
      <c r="H16" s="5" t="s">
        <v>25</v>
      </c>
    </row>
    <row r="17" customFormat="false" ht="15" hidden="false" customHeight="false" outlineLevel="0" collapsed="false">
      <c r="B17" s="6" t="str">
        <f aca="false">B7</f>
        <v>Original offer (as submitted)</v>
      </c>
      <c r="C17" s="8" t="n">
        <f aca="false">'Scenario Detail'!D6</f>
        <v>5858217.9075</v>
      </c>
      <c r="D17" s="8" t="n">
        <f aca="false">'Scenario Detail'!E6</f>
        <v>1593669.9975</v>
      </c>
      <c r="E17" s="8" t="n">
        <f aca="false">'Scenario Detail'!F6</f>
        <v>78836.1</v>
      </c>
      <c r="F17" s="7" t="n">
        <f aca="false">SUM(C17:E17)</f>
        <v>7530724.005</v>
      </c>
      <c r="G17" s="12" t="n">
        <f aca="false">IF(F17=0,0,C17/F17)</f>
        <v>0.777908990372035</v>
      </c>
      <c r="H17" s="8" t="n">
        <f aca="false">'Scenario Detail'!C6</f>
        <v>32722</v>
      </c>
    </row>
    <row r="18" customFormat="false" ht="15" hidden="false" customHeight="false" outlineLevel="0" collapsed="false">
      <c r="B18" s="13" t="str">
        <f aca="false">B8</f>
        <v>Scenario 1 · Base offer</v>
      </c>
      <c r="C18" s="8" t="n">
        <f aca="false">'Scenario Detail'!D7</f>
        <v>5490356.5472</v>
      </c>
      <c r="D18" s="8" t="n">
        <f aca="false">'Scenario Detail'!E7</f>
        <v>1593669.9975</v>
      </c>
      <c r="E18" s="8" t="n">
        <f aca="false">'Scenario Detail'!F7</f>
        <v>78836.1</v>
      </c>
      <c r="F18" s="7" t="n">
        <f aca="false">SUM(C18:E18)</f>
        <v>7162862.6447</v>
      </c>
      <c r="G18" s="12" t="n">
        <f aca="false">IF(F18=0,0,C18/F18)</f>
        <v>0.766503117473915</v>
      </c>
      <c r="H18" s="8" t="n">
        <f aca="false">'Scenario Detail'!C7</f>
        <v>32722</v>
      </c>
    </row>
    <row r="19" customFormat="false" ht="15" hidden="false" customHeight="false" outlineLevel="0" collapsed="false">
      <c r="B19" s="13" t="str">
        <f aca="false">B9</f>
        <v>Scenario 2 · Without Plan Safe HF tasks</v>
      </c>
      <c r="C19" s="8" t="n">
        <f aca="false">'Scenario Detail'!D8</f>
        <v>5490356.5472</v>
      </c>
      <c r="D19" s="8" t="n">
        <f aca="false">'Scenario Detail'!E8</f>
        <v>371954.4675</v>
      </c>
      <c r="E19" s="8" t="n">
        <f aca="false">'Scenario Detail'!F8</f>
        <v>78836.1</v>
      </c>
      <c r="F19" s="7" t="n">
        <f aca="false">SUM(C19:E19)</f>
        <v>5941147.1147</v>
      </c>
      <c r="G19" s="12" t="n">
        <f aca="false">IF(F19=0,0,C19/F19)</f>
        <v>0.924123985015516</v>
      </c>
      <c r="H19" s="8" t="n">
        <f aca="false">'Scenario Detail'!C8</f>
        <v>27415</v>
      </c>
    </row>
    <row r="20" customFormat="false" ht="15" hidden="false" customHeight="false" outlineLevel="0" collapsed="false">
      <c r="B20" s="13" t="str">
        <f aca="false">B10</f>
        <v>Scenario 3 · Without Plan Safe HF tasks and SSC</v>
      </c>
      <c r="C20" s="8" t="n">
        <f aca="false">'Scenario Detail'!D9</f>
        <v>4003833.17226667</v>
      </c>
      <c r="D20" s="8" t="n">
        <f aca="false">'Scenario Detail'!E9</f>
        <v>293949.6525</v>
      </c>
      <c r="E20" s="8" t="n">
        <f aca="false">'Scenario Detail'!F9</f>
        <v>78836.1</v>
      </c>
      <c r="F20" s="7" t="n">
        <f aca="false">SUM(C20:E20)</f>
        <v>4376618.92476667</v>
      </c>
      <c r="G20" s="12" t="n">
        <f aca="false">IF(F20=0,0,C20/F20)</f>
        <v>0.914823346764221</v>
      </c>
      <c r="H20" s="8" t="n">
        <f aca="false">'Scenario Detail'!C9</f>
        <v>20220</v>
      </c>
    </row>
    <row r="21" customFormat="false" ht="15" hidden="false" customHeight="false" outlineLevel="0" collapsed="false">
      <c r="B21" s="13" t="str">
        <f aca="false">B11</f>
        <v>Scenario 4 · Without SSC, Plan Safe HF tasks at reduced price</v>
      </c>
      <c r="C21" s="8" t="n">
        <f aca="false">'Scenario Detail'!D10</f>
        <v>4003833.17226667</v>
      </c>
      <c r="D21" s="8" t="n">
        <f aca="false">'Scenario Detail'!E10</f>
        <v>904807.4175</v>
      </c>
      <c r="E21" s="8" t="n">
        <f aca="false">'Scenario Detail'!F10</f>
        <v>78836.1</v>
      </c>
      <c r="F21" s="7" t="n">
        <f aca="false">SUM(C21:E21)</f>
        <v>4987476.68976667</v>
      </c>
      <c r="G21" s="12" t="n">
        <f aca="false">IF(F21=0,0,C21/F21)</f>
        <v>0.802777320339513</v>
      </c>
      <c r="H21" s="8" t="n">
        <f aca="false">'Scenario Detail'!C10</f>
        <v>25527</v>
      </c>
    </row>
    <row r="22" customFormat="false" ht="15" hidden="false" customHeight="false" outlineLevel="0" collapsed="false">
      <c r="B22" s="13" t="str">
        <f aca="false">B12</f>
        <v>Scenario 5 · Plan Safe as offered, without SSC</v>
      </c>
      <c r="C22" s="8" t="n">
        <f aca="false">'Scenario Detail'!D11</f>
        <v>4003833.17226667</v>
      </c>
      <c r="D22" s="8" t="n">
        <f aca="false">'Scenario Detail'!E11</f>
        <v>1515665.1825</v>
      </c>
      <c r="E22" s="8" t="n">
        <f aca="false">'Scenario Detail'!F11</f>
        <v>78836.1</v>
      </c>
      <c r="F22" s="7" t="n">
        <f aca="false">SUM(C22:E22)</f>
        <v>5598334.45476667</v>
      </c>
      <c r="G22" s="12" t="n">
        <f aca="false">IF(F22=0,0,C22/F22)</f>
        <v>0.715182918172677</v>
      </c>
      <c r="H22" s="8" t="n">
        <f aca="false">'Scenario Detail'!C11</f>
        <v>25527</v>
      </c>
    </row>
    <row r="25" customFormat="false" ht="15" hidden="false" customHeight="false" outlineLevel="0" collapsed="false">
      <c r="B25" s="4" t="s">
        <v>26</v>
      </c>
    </row>
    <row r="26" customFormat="false" ht="31.5" hidden="false" customHeight="true" outlineLevel="0" collapsed="false">
      <c r="B26" s="14" t="s">
        <v>27</v>
      </c>
      <c r="C26" s="15" t="str">
        <f aca="false">"Commercial measures alone (rework release and "&amp;TEXT(Assumptions!$C$7,"0.0%")&amp;" discount) bring the offer from A$"&amp;TEXT(C7,"#,##0")&amp;" to A$"&amp;TEXT(C8,"#,##0")&amp;", a reduction of "&amp;TEXT(E8,"0.0%")&amp;", without changing the scope."</f>
        <v>Commercial measures alone (rework release and 4.0% discount) bring the offer from A$7,530,724 to A$7,162,863, a reduction of 4.9%, without changing the scope.</v>
      </c>
      <c r="D26" s="15"/>
      <c r="E26" s="15"/>
      <c r="F26" s="15"/>
      <c r="G26" s="15"/>
      <c r="H26" s="15"/>
      <c r="I26" s="15"/>
      <c r="J26" s="15"/>
      <c r="K26" s="15"/>
    </row>
    <row r="27" customFormat="false" ht="31.5" hidden="false" customHeight="true" outlineLevel="0" collapsed="false">
      <c r="B27" s="14" t="s">
        <v>27</v>
      </c>
      <c r="C27" s="15" t="str">
        <f aca="false">"Releasing the Stage 2 rework allowance is worth A$"&amp;TEXT('Reduction Levers'!D6,"#,##0")&amp;" and the commercial discount A$"&amp;TEXT('Reduction Levers'!D7,"#,##0")&amp;" in the base offer; both assume the design proceeds right first time on a stable basis of design."</f>
        <v>Releasing the Stage 2 rework allowance is worth A$139,097 and the commercial discount A$228,765 in the base offer; both assume the design proceeds right first time on a stable basis of design.</v>
      </c>
      <c r="D27" s="15"/>
      <c r="E27" s="15"/>
      <c r="F27" s="15"/>
      <c r="G27" s="15"/>
      <c r="H27" s="15"/>
      <c r="I27" s="15"/>
      <c r="J27" s="15"/>
      <c r="K27" s="15"/>
    </row>
    <row r="28" customFormat="false" ht="31.5" hidden="false" customHeight="true" outlineLevel="0" collapsed="false">
      <c r="B28" s="14" t="s">
        <v>27</v>
      </c>
      <c r="C28" s="15" t="str">
        <f aca="false">"The largest further reductions require scope changes to be agreed with ANSTO: removing the SSC group (S26–S29) saves up to A$"&amp;TEXT(MAX('Reduction Levers'!D9:H9),"#,##0")&amp;" and removing Plan Safe's HF deliverables up to A$"&amp;TEXT(MAX('Reduction Levers'!D8:H8),"#,##0")&amp;"."</f>
        <v>The largest further reductions require scope changes to be agreed with ANSTO: removing the SSC group (S26–S29) saves up to A$1,652,324 and removing Plan Safe's HF deliverables up to A$1,221,716.</v>
      </c>
      <c r="D28" s="15"/>
      <c r="E28" s="15"/>
      <c r="F28" s="15"/>
      <c r="G28" s="15"/>
      <c r="H28" s="15"/>
      <c r="I28" s="15"/>
      <c r="J28" s="15"/>
      <c r="K28" s="15"/>
    </row>
    <row r="29" customFormat="false" ht="31.5" hidden="false" customHeight="true" outlineLevel="0" collapsed="false">
      <c r="B29" s="14" t="s">
        <v>27</v>
      </c>
      <c r="C29" s="15" t="str">
        <f aca="false">"Against the Synertec benchmark of A$"&amp;TEXT(I7,"#,##0")&amp;", the gap falls from "&amp;TEXT(K7,"0.0%")&amp;" in the original offer to between "&amp;TEXT(MAX(K8:K12),"0.0%")&amp;" and "&amp;TEXT(MIN(K8:K12),"0.0%")&amp;" across the scenarios; the lump sum S1–S3 is the block closest to the benchmark (see Synertec Benchmark tab)."</f>
        <v>Against the Synertec benchmark of A$3,809,000, the gap falls from -49.4% in the original offer to between -13.0% and -46.8% across the scenarios; the lump sum S1–S3 is the block closest to the benchmark (see Synertec Benchmark tab).</v>
      </c>
      <c r="D29" s="15"/>
      <c r="E29" s="15"/>
      <c r="F29" s="15"/>
      <c r="G29" s="15"/>
      <c r="H29" s="15"/>
      <c r="I29" s="15"/>
      <c r="J29" s="15"/>
      <c r="K29" s="15"/>
    </row>
    <row r="30" customFormat="false" ht="31.5" hidden="false" customHeight="true" outlineLevel="0" collapsed="false">
      <c r="B30" s="14" t="s">
        <v>27</v>
      </c>
      <c r="C30" s="15" t="str">
        <f aca="false">IF(Assumptions!$C$10="Yes","Deliverable S1 is priced as a two-week single issue (A$"&amp;TEXT(Assumptions!$C$12,"#,##0")&amp;"); see the justification and its limits in the Reduction Levers tab.","Pricing deliverable S1 as a two-week single issue (A$"&amp;TEXT(Assumptions!$C$12,"#,##0")&amp;") is available as an optional lever worth about A$"&amp;TEXT(SUM(Calculation!M6:S6)-Assumptions!$C$12,"#,##0")&amp;"; it is not included in these figures.")</f>
        <v>Pricing deliverable S1 as a two-week single issue (A$38,675) is available as an optional lever worth about A$393,744; it is not included in these figures.</v>
      </c>
      <c r="D30" s="15"/>
      <c r="E30" s="15"/>
      <c r="F30" s="15"/>
      <c r="G30" s="15"/>
      <c r="H30" s="15"/>
      <c r="I30" s="15"/>
      <c r="J30" s="15"/>
      <c r="K30" s="15"/>
    </row>
    <row r="32" customFormat="false" ht="15" hidden="false" customHeight="false" outlineLevel="0" collapsed="false">
      <c r="B32" s="16" t="s">
        <v>28</v>
      </c>
      <c r="C32" s="16"/>
      <c r="D32" s="16"/>
      <c r="E32" s="16"/>
      <c r="F32" s="16"/>
      <c r="G32" s="16"/>
      <c r="H32" s="16"/>
      <c r="I32" s="16"/>
      <c r="J32" s="16"/>
      <c r="K32" s="16"/>
    </row>
  </sheetData>
  <mergeCells count="7">
    <mergeCell ref="B3:K3"/>
    <mergeCell ref="C26:K26"/>
    <mergeCell ref="C27:K27"/>
    <mergeCell ref="C28:K28"/>
    <mergeCell ref="C29:K29"/>
    <mergeCell ref="C30:K30"/>
    <mergeCell ref="B32:K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6B3A"/>
    <pageSetUpPr fitToPage="false"/>
  </sheetPr>
  <dimension ref="B1:H5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16"/>
    <col collapsed="false" customWidth="true" hidden="false" outlineLevel="0" max="8" min="4" style="0" width="19"/>
  </cols>
  <sheetData>
    <row r="1" customFormat="false" ht="17.35" hidden="false" customHeight="false" outlineLevel="0" collapsed="false">
      <c r="B1" s="17" t="s">
        <v>29</v>
      </c>
    </row>
    <row r="2" customFormat="false" ht="15" hidden="false" customHeight="false" outlineLevel="0" collapsed="false">
      <c r="B2" s="18" t="s">
        <v>30</v>
      </c>
    </row>
    <row r="4" customFormat="false" ht="15" hidden="false" customHeight="false" outlineLevel="0" collapsed="false">
      <c r="B4" s="19" t="s">
        <v>31</v>
      </c>
    </row>
    <row r="5" customFormat="false" ht="57.75" hidden="false" customHeight="true" outlineLevel="0" collapsed="false">
      <c r="B5" s="5" t="s">
        <v>32</v>
      </c>
      <c r="C5" s="5" t="s">
        <v>33</v>
      </c>
      <c r="D5" s="5" t="s">
        <v>34</v>
      </c>
      <c r="E5" s="5" t="s">
        <v>35</v>
      </c>
      <c r="F5" s="5" t="s">
        <v>36</v>
      </c>
      <c r="G5" s="5" t="s">
        <v>37</v>
      </c>
      <c r="H5" s="5" t="s">
        <v>38</v>
      </c>
    </row>
    <row r="6" customFormat="false" ht="15" hidden="false" customHeight="false" outlineLevel="0" collapsed="false">
      <c r="B6" s="11" t="s">
        <v>39</v>
      </c>
      <c r="C6" s="20" t="s">
        <v>40</v>
      </c>
      <c r="D6" s="21" t="n">
        <f aca="false">-SUM(Calculation!M56:S56)</f>
        <v>139096.504166667</v>
      </c>
      <c r="E6" s="21" t="n">
        <f aca="false">-SUM(Calculation!M73:S73)</f>
        <v>139096.504166667</v>
      </c>
      <c r="F6" s="21" t="n">
        <f aca="false">-SUM(Calculation!M90:S90)</f>
        <v>113239.068055556</v>
      </c>
      <c r="G6" s="21" t="n">
        <f aca="false">-SUM(Calculation!M107:S107)</f>
        <v>113239.068055556</v>
      </c>
      <c r="H6" s="21" t="n">
        <f aca="false">-SUM(Calculation!M124:S124)</f>
        <v>113239.068055556</v>
      </c>
    </row>
    <row r="7" customFormat="false" ht="15" hidden="false" customHeight="false" outlineLevel="0" collapsed="false">
      <c r="B7" s="11" t="s">
        <v>41</v>
      </c>
      <c r="C7" s="20" t="s">
        <v>40</v>
      </c>
      <c r="D7" s="21" t="n">
        <f aca="false">-SUM(Calculation!M57:S57)</f>
        <v>228764.856133333</v>
      </c>
      <c r="E7" s="21" t="n">
        <f aca="false">-SUM(Calculation!M74:S74)</f>
        <v>228764.856133333</v>
      </c>
      <c r="F7" s="21" t="n">
        <f aca="false">-SUM(Calculation!M91:S91)</f>
        <v>166826.382177778</v>
      </c>
      <c r="G7" s="21" t="n">
        <f aca="false">-SUM(Calculation!M108:S108)</f>
        <v>166826.382177778</v>
      </c>
      <c r="H7" s="21" t="n">
        <f aca="false">-SUM(Calculation!M125:S125)</f>
        <v>166826.382177778</v>
      </c>
    </row>
    <row r="8" customFormat="false" ht="15" hidden="false" customHeight="false" outlineLevel="0" collapsed="false">
      <c r="B8" s="11" t="s">
        <v>42</v>
      </c>
      <c r="C8" s="20" t="s">
        <v>43</v>
      </c>
      <c r="D8" s="21" t="n">
        <f aca="false">SUMPRODUCT((Calculation!$D$5:$D$29="Plan Safe task")*Calculation!$AE$5:$AE$29*(1-Calculation!$H$5:$H$29))</f>
        <v>0</v>
      </c>
      <c r="E8" s="21" t="n">
        <f aca="false">SUMPRODUCT((Calculation!$D$5:$D$29="Plan Safe task")*Calculation!$AE$5:$AE$29*(1-Calculation!$I$5:$I$29))</f>
        <v>1221715.53</v>
      </c>
      <c r="F8" s="21" t="n">
        <f aca="false">SUMPRODUCT((Calculation!$D$5:$D$29="Plan Safe task")*Calculation!$AE$5:$AE$29*(1-Calculation!$J$5:$J$29))</f>
        <v>1221715.53</v>
      </c>
      <c r="G8" s="21" t="n">
        <f aca="false">SUMPRODUCT((Calculation!$D$5:$D$29="Plan Safe task")*Calculation!$AE$5:$AE$29*(1-Calculation!$K$5:$K$29))</f>
        <v>610857.765</v>
      </c>
      <c r="H8" s="21" t="n">
        <f aca="false">SUMPRODUCT((Calculation!$D$5:$D$29="Plan Safe task")*Calculation!$AE$5:$AE$29*(1-Calculation!$L$5:$L$29))</f>
        <v>0</v>
      </c>
    </row>
    <row r="9" customFormat="false" ht="15" hidden="false" customHeight="false" outlineLevel="0" collapsed="false">
      <c r="B9" s="11" t="s">
        <v>44</v>
      </c>
      <c r="C9" s="20" t="s">
        <v>43</v>
      </c>
      <c r="D9" s="21" t="n">
        <f aca="false">SUMPRODUCT((Calculation!$D$5:$D$29="SSC")*Calculation!$AE$5:$AE$29*(1-Calculation!$H$5:$H$29))</f>
        <v>0</v>
      </c>
      <c r="E9" s="21" t="n">
        <f aca="false">SUMPRODUCT((Calculation!$D$5:$D$29="SSC")*Calculation!$AE$5:$AE$29*(1-Calculation!$I$5:$I$29))</f>
        <v>0</v>
      </c>
      <c r="F9" s="21" t="n">
        <f aca="false">SUMPRODUCT((Calculation!$D$5:$D$29="SSC")*Calculation!$AE$5:$AE$29*(1-Calculation!$J$5:$J$29))</f>
        <v>1652324.1</v>
      </c>
      <c r="G9" s="21" t="n">
        <f aca="false">SUMPRODUCT((Calculation!$D$5:$D$29="SSC")*Calculation!$AE$5:$AE$29*(1-Calculation!$K$5:$K$29))</f>
        <v>1652324.1</v>
      </c>
      <c r="H9" s="21" t="n">
        <f aca="false">SUMPRODUCT((Calculation!$D$5:$D$29="SSC")*Calculation!$AE$5:$AE$29*(1-Calculation!$L$5:$L$29))</f>
        <v>1652324.1</v>
      </c>
    </row>
    <row r="10" customFormat="false" ht="15" hidden="false" customHeight="false" outlineLevel="0" collapsed="false">
      <c r="B10" s="11" t="s">
        <v>45</v>
      </c>
      <c r="C10" s="20" t="s">
        <v>46</v>
      </c>
      <c r="D10" s="21" t="n">
        <f aca="false">SUMPRODUCT((Calculation!$D$5:$D$29="INVAP")*Calculation!$AE$5:$AE$29*(1-Calculation!$H$5:$H$29))</f>
        <v>0</v>
      </c>
      <c r="E10" s="21" t="n">
        <f aca="false">SUMPRODUCT((Calculation!$D$5:$D$29="INVAP")*Calculation!$AE$5:$AE$29*(1-Calculation!$I$5:$I$29))</f>
        <v>0</v>
      </c>
      <c r="F10" s="21" t="n">
        <f aca="false">SUMPRODUCT((Calculation!$D$5:$D$29="INVAP")*Calculation!$AE$5:$AE$29*(1-Calculation!$J$5:$J$29))</f>
        <v>0</v>
      </c>
      <c r="G10" s="21" t="n">
        <f aca="false">SUMPRODUCT((Calculation!$D$5:$D$29="INVAP")*Calculation!$AE$5:$AE$29*(1-Calculation!$K$5:$K$29))</f>
        <v>0</v>
      </c>
      <c r="H10" s="21" t="n">
        <f aca="false">SUMPRODUCT((Calculation!$D$5:$D$29="INVAP")*Calculation!$AE$5:$AE$29*(1-Calculation!$L$5:$L$29))</f>
        <v>0</v>
      </c>
    </row>
    <row r="11" customFormat="false" ht="15" hidden="false" customHeight="false" outlineLevel="0" collapsed="false">
      <c r="B11" s="11" t="s">
        <v>47</v>
      </c>
      <c r="C11" s="20" t="s">
        <v>46</v>
      </c>
      <c r="D11" s="21" t="n">
        <f aca="false">-(SUM(Calculation!M54:S54)+SUM(Calculation!M55:S55))</f>
        <v>-0</v>
      </c>
      <c r="E11" s="21" t="n">
        <f aca="false">-(SUM(Calculation!M71:S71)+SUM(Calculation!M72:S72))</f>
        <v>-0</v>
      </c>
      <c r="F11" s="21" t="n">
        <f aca="false">-(SUM(Calculation!M88:S88)+SUM(Calculation!M89:S89))</f>
        <v>-0</v>
      </c>
      <c r="G11" s="21" t="n">
        <f aca="false">-(SUM(Calculation!M105:S105)+SUM(Calculation!M106:S106))</f>
        <v>-0</v>
      </c>
      <c r="H11" s="21" t="n">
        <f aca="false">-(SUM(Calculation!M122:S122)+SUM(Calculation!M123:S123))</f>
        <v>-0</v>
      </c>
    </row>
    <row r="12" customFormat="false" ht="15" hidden="false" customHeight="false" outlineLevel="0" collapsed="false">
      <c r="B12" s="22" t="s">
        <v>48</v>
      </c>
      <c r="C12" s="23"/>
      <c r="D12" s="24" t="n">
        <f aca="false">SUM(D6:D11)</f>
        <v>367861.3603</v>
      </c>
      <c r="E12" s="24" t="n">
        <f aca="false">SUM(E6:E11)</f>
        <v>1589576.8903</v>
      </c>
      <c r="F12" s="24" t="n">
        <f aca="false">SUM(F6:F11)</f>
        <v>3154105.08023333</v>
      </c>
      <c r="G12" s="24" t="n">
        <f aca="false">SUM(G6:G11)</f>
        <v>2543247.31523333</v>
      </c>
      <c r="H12" s="24" t="n">
        <f aca="false">SUM(H6:H11)</f>
        <v>1932389.55023333</v>
      </c>
    </row>
    <row r="13" customFormat="false" ht="15" hidden="false" customHeight="false" outlineLevel="0" collapsed="false">
      <c r="B13" s="13" t="s">
        <v>49</v>
      </c>
      <c r="C13" s="25"/>
      <c r="D13" s="8" t="n">
        <f aca="false">SUM(Calculation!M44:S44)</f>
        <v>7530724.005</v>
      </c>
      <c r="E13" s="8" t="n">
        <f aca="false">SUM(Calculation!M44:S44)</f>
        <v>7530724.005</v>
      </c>
      <c r="F13" s="8" t="n">
        <f aca="false">SUM(Calculation!M44:S44)</f>
        <v>7530724.005</v>
      </c>
      <c r="G13" s="8" t="n">
        <f aca="false">SUM(Calculation!M44:S44)</f>
        <v>7530724.005</v>
      </c>
      <c r="H13" s="8" t="n">
        <f aca="false">SUM(Calculation!M44:S44)</f>
        <v>7530724.005</v>
      </c>
    </row>
    <row r="14" customFormat="false" ht="15" hidden="false" customHeight="false" outlineLevel="0" collapsed="false">
      <c r="B14" s="11" t="s">
        <v>50</v>
      </c>
      <c r="C14" s="25"/>
      <c r="D14" s="7" t="n">
        <f aca="false">SUM(Calculation!M61:S61)</f>
        <v>7162862.6447</v>
      </c>
      <c r="E14" s="7" t="n">
        <f aca="false">SUM(Calculation!M78:S78)</f>
        <v>5941147.1147</v>
      </c>
      <c r="F14" s="7" t="n">
        <f aca="false">SUM(Calculation!M95:S95)</f>
        <v>4376618.92476667</v>
      </c>
      <c r="G14" s="7" t="n">
        <f aca="false">SUM(Calculation!M112:S112)</f>
        <v>4987476.68976667</v>
      </c>
      <c r="H14" s="7" t="n">
        <f aca="false">SUM(Calculation!M129:S129)</f>
        <v>5598334.45476667</v>
      </c>
    </row>
    <row r="15" customFormat="false" ht="15" hidden="false" customHeight="false" outlineLevel="0" collapsed="false">
      <c r="B15" s="11" t="s">
        <v>51</v>
      </c>
      <c r="C15" s="25"/>
      <c r="D15" s="9" t="n">
        <f aca="false">IF(D13=0,0,D12/D13)</f>
        <v>0.0488480735790821</v>
      </c>
      <c r="E15" s="9" t="n">
        <f aca="false">IF(E13=0,0,E12/E13)</f>
        <v>0.21107889350939</v>
      </c>
      <c r="F15" s="9" t="n">
        <f aca="false">IF(F13=0,0,F12/F13)</f>
        <v>0.418831586197977</v>
      </c>
      <c r="G15" s="9" t="n">
        <f aca="false">IF(G13=0,0,G12/G13)</f>
        <v>0.337716176232823</v>
      </c>
      <c r="H15" s="9" t="n">
        <f aca="false">IF(H13=0,0,H12/H13)</f>
        <v>0.25660076626767</v>
      </c>
    </row>
    <row r="16" customFormat="false" ht="15" hidden="false" customHeight="false" outlineLevel="0" collapsed="false">
      <c r="B16" s="26" t="s">
        <v>52</v>
      </c>
      <c r="D16" s="27" t="n">
        <f aca="false">ROUND(D13-D14-D12,0)</f>
        <v>0</v>
      </c>
      <c r="E16" s="27" t="n">
        <f aca="false">ROUND(E13-E14-E12,0)</f>
        <v>0</v>
      </c>
      <c r="F16" s="27" t="n">
        <f aca="false">ROUND(F13-F14-F12,0)</f>
        <v>0</v>
      </c>
      <c r="G16" s="27" t="n">
        <f aca="false">ROUND(G13-G14-G12,0)</f>
        <v>0</v>
      </c>
      <c r="H16" s="27" t="n">
        <f aca="false">ROUND(H13-H14-H12,0)</f>
        <v>0</v>
      </c>
    </row>
    <row r="19" customFormat="false" ht="15" hidden="false" customHeight="false" outlineLevel="0" collapsed="false">
      <c r="B19" s="19" t="s">
        <v>53</v>
      </c>
    </row>
    <row r="20" customFormat="false" ht="57.75" hidden="false" customHeight="true" outlineLevel="0" collapsed="false">
      <c r="B20" s="5" t="s">
        <v>32</v>
      </c>
      <c r="C20" s="5" t="s">
        <v>33</v>
      </c>
      <c r="D20" s="5" t="s">
        <v>34</v>
      </c>
      <c r="E20" s="5" t="s">
        <v>35</v>
      </c>
      <c r="F20" s="5" t="s">
        <v>36</v>
      </c>
      <c r="G20" s="5" t="s">
        <v>37</v>
      </c>
      <c r="H20" s="5" t="s">
        <v>38</v>
      </c>
    </row>
    <row r="21" customFormat="false" ht="15" hidden="false" customHeight="false" outlineLevel="0" collapsed="false">
      <c r="B21" s="11" t="s">
        <v>39</v>
      </c>
      <c r="C21" s="20" t="s">
        <v>40</v>
      </c>
      <c r="D21" s="21" t="n">
        <f aca="false">-SUM(Calculation!M56:O56)</f>
        <v>139096.504166667</v>
      </c>
      <c r="E21" s="21" t="n">
        <f aca="false">-SUM(Calculation!M73:O73)</f>
        <v>139096.504166667</v>
      </c>
      <c r="F21" s="21" t="n">
        <f aca="false">-SUM(Calculation!M90:O90)</f>
        <v>113239.068055556</v>
      </c>
      <c r="G21" s="21" t="n">
        <f aca="false">-SUM(Calculation!M107:O107)</f>
        <v>113239.068055556</v>
      </c>
      <c r="H21" s="21" t="n">
        <f aca="false">-SUM(Calculation!M124:O124)</f>
        <v>113239.068055556</v>
      </c>
    </row>
    <row r="22" customFormat="false" ht="15" hidden="false" customHeight="false" outlineLevel="0" collapsed="false">
      <c r="B22" s="11" t="s">
        <v>41</v>
      </c>
      <c r="C22" s="20" t="s">
        <v>40</v>
      </c>
      <c r="D22" s="21" t="n">
        <f aca="false">-SUM(Calculation!M57:O57)</f>
        <v>69747.7825333333</v>
      </c>
      <c r="E22" s="21" t="n">
        <f aca="false">-SUM(Calculation!M74:O74)</f>
        <v>69747.7825333333</v>
      </c>
      <c r="F22" s="21" t="n">
        <f aca="false">-SUM(Calculation!M91:O91)</f>
        <v>55974.9169777778</v>
      </c>
      <c r="G22" s="21" t="n">
        <f aca="false">-SUM(Calculation!M108:O108)</f>
        <v>55974.9169777778</v>
      </c>
      <c r="H22" s="21" t="n">
        <f aca="false">-SUM(Calculation!M125:O125)</f>
        <v>55974.9169777778</v>
      </c>
    </row>
    <row r="23" customFormat="false" ht="15" hidden="false" customHeight="false" outlineLevel="0" collapsed="false">
      <c r="B23" s="11" t="s">
        <v>42</v>
      </c>
      <c r="C23" s="20" t="s">
        <v>43</v>
      </c>
      <c r="D23" s="21" t="n">
        <f aca="false">SUMPRODUCT((Calculation!$D$5:$D$29="Plan Safe task")*Calculation!$AA$5:$AA$29*(1-Calculation!$H$5:$H$29))</f>
        <v>0</v>
      </c>
      <c r="E23" s="21" t="n">
        <f aca="false">SUMPRODUCT((Calculation!$D$5:$D$29="Plan Safe task")*Calculation!$AA$5:$AA$29*(1-Calculation!$I$5:$I$29))</f>
        <v>456740.025</v>
      </c>
      <c r="F23" s="21" t="n">
        <f aca="false">SUMPRODUCT((Calculation!$D$5:$D$29="Plan Safe task")*Calculation!$AA$5:$AA$29*(1-Calculation!$J$5:$J$29))</f>
        <v>456740.025</v>
      </c>
      <c r="G23" s="21" t="n">
        <f aca="false">SUMPRODUCT((Calculation!$D$5:$D$29="Plan Safe task")*Calculation!$AA$5:$AA$29*(1-Calculation!$K$5:$K$29))</f>
        <v>228370.0125</v>
      </c>
      <c r="H23" s="21" t="n">
        <f aca="false">SUMPRODUCT((Calculation!$D$5:$D$29="Plan Safe task")*Calculation!$AA$5:$AA$29*(1-Calculation!$L$5:$L$29))</f>
        <v>0</v>
      </c>
    </row>
    <row r="24" customFormat="false" ht="15" hidden="false" customHeight="false" outlineLevel="0" collapsed="false">
      <c r="B24" s="11" t="s">
        <v>44</v>
      </c>
      <c r="C24" s="20" t="s">
        <v>43</v>
      </c>
      <c r="D24" s="21" t="n">
        <f aca="false">SUMPRODUCT((Calculation!$D$5:$D$29="SSC")*Calculation!$AA$5:$AA$29*(1-Calculation!$H$5:$H$29))</f>
        <v>0</v>
      </c>
      <c r="E24" s="21" t="n">
        <f aca="false">SUMPRODUCT((Calculation!$D$5:$D$29="SSC")*Calculation!$AA$5:$AA$29*(1-Calculation!$I$5:$I$29))</f>
        <v>0</v>
      </c>
      <c r="F24" s="21" t="n">
        <f aca="false">SUMPRODUCT((Calculation!$D$5:$D$29="SSC")*Calculation!$AA$5:$AA$29*(1-Calculation!$J$5:$J$29))</f>
        <v>378223.65</v>
      </c>
      <c r="G24" s="21" t="n">
        <f aca="false">SUMPRODUCT((Calculation!$D$5:$D$29="SSC")*Calculation!$AA$5:$AA$29*(1-Calculation!$K$5:$K$29))</f>
        <v>378223.65</v>
      </c>
      <c r="H24" s="21" t="n">
        <f aca="false">SUMPRODUCT((Calculation!$D$5:$D$29="SSC")*Calculation!$AA$5:$AA$29*(1-Calculation!$L$5:$L$29))</f>
        <v>378223.65</v>
      </c>
    </row>
    <row r="25" customFormat="false" ht="15" hidden="false" customHeight="false" outlineLevel="0" collapsed="false">
      <c r="B25" s="11" t="s">
        <v>45</v>
      </c>
      <c r="C25" s="20" t="s">
        <v>46</v>
      </c>
      <c r="D25" s="21" t="n">
        <f aca="false">SUMPRODUCT((Calculation!$D$5:$D$29="INVAP")*Calculation!$AA$5:$AA$29*(1-Calculation!$H$5:$H$29))</f>
        <v>0</v>
      </c>
      <c r="E25" s="21" t="n">
        <f aca="false">SUMPRODUCT((Calculation!$D$5:$D$29="INVAP")*Calculation!$AA$5:$AA$29*(1-Calculation!$I$5:$I$29))</f>
        <v>0</v>
      </c>
      <c r="F25" s="21" t="n">
        <f aca="false">SUMPRODUCT((Calculation!$D$5:$D$29="INVAP")*Calculation!$AA$5:$AA$29*(1-Calculation!$J$5:$J$29))</f>
        <v>0</v>
      </c>
      <c r="G25" s="21" t="n">
        <f aca="false">SUMPRODUCT((Calculation!$D$5:$D$29="INVAP")*Calculation!$AA$5:$AA$29*(1-Calculation!$K$5:$K$29))</f>
        <v>0</v>
      </c>
      <c r="H25" s="21" t="n">
        <f aca="false">SUMPRODUCT((Calculation!$D$5:$D$29="INVAP")*Calculation!$AA$5:$AA$29*(1-Calculation!$L$5:$L$29))</f>
        <v>0</v>
      </c>
    </row>
    <row r="26" customFormat="false" ht="15" hidden="false" customHeight="false" outlineLevel="0" collapsed="false">
      <c r="B26" s="11" t="s">
        <v>47</v>
      </c>
      <c r="C26" s="20" t="s">
        <v>46</v>
      </c>
      <c r="D26" s="21" t="n">
        <f aca="false">-(SUM(Calculation!M54:O54)+SUM(Calculation!M55:O55))</f>
        <v>-0</v>
      </c>
      <c r="E26" s="21" t="n">
        <f aca="false">-(SUM(Calculation!M71:O71)+SUM(Calculation!M72:O72))</f>
        <v>-0</v>
      </c>
      <c r="F26" s="21" t="n">
        <f aca="false">-(SUM(Calculation!M88:O88)+SUM(Calculation!M89:O89))</f>
        <v>-0</v>
      </c>
      <c r="G26" s="21" t="n">
        <f aca="false">-(SUM(Calculation!M105:O105)+SUM(Calculation!M106:O106))</f>
        <v>-0</v>
      </c>
      <c r="H26" s="21" t="n">
        <f aca="false">-(SUM(Calculation!M122:O122)+SUM(Calculation!M123:O123))</f>
        <v>-0</v>
      </c>
    </row>
    <row r="27" customFormat="false" ht="15" hidden="false" customHeight="false" outlineLevel="0" collapsed="false">
      <c r="B27" s="22" t="s">
        <v>48</v>
      </c>
      <c r="C27" s="23"/>
      <c r="D27" s="24" t="n">
        <f aca="false">SUM(D21:D26)</f>
        <v>208844.2867</v>
      </c>
      <c r="E27" s="24" t="n">
        <f aca="false">SUM(E21:E26)</f>
        <v>665584.3117</v>
      </c>
      <c r="F27" s="24" t="n">
        <f aca="false">SUM(F21:F26)</f>
        <v>1004177.66003333</v>
      </c>
      <c r="G27" s="24" t="n">
        <f aca="false">SUM(G21:G26)</f>
        <v>775807.647533333</v>
      </c>
      <c r="H27" s="24" t="n">
        <f aca="false">SUM(H21:H26)</f>
        <v>547437.635033333</v>
      </c>
    </row>
    <row r="28" customFormat="false" ht="15" hidden="false" customHeight="false" outlineLevel="0" collapsed="false">
      <c r="B28" s="13" t="s">
        <v>49</v>
      </c>
      <c r="C28" s="25"/>
      <c r="D28" s="8" t="n">
        <f aca="false">SUM(Calculation!M44:O44)</f>
        <v>2537245.725</v>
      </c>
      <c r="E28" s="8" t="n">
        <f aca="false">SUM(Calculation!M44:O44)</f>
        <v>2537245.725</v>
      </c>
      <c r="F28" s="8" t="n">
        <f aca="false">SUM(Calculation!M44:O44)</f>
        <v>2537245.725</v>
      </c>
      <c r="G28" s="8" t="n">
        <f aca="false">SUM(Calculation!M44:O44)</f>
        <v>2537245.725</v>
      </c>
      <c r="H28" s="8" t="n">
        <f aca="false">SUM(Calculation!M44:O44)</f>
        <v>2537245.725</v>
      </c>
    </row>
    <row r="29" customFormat="false" ht="15" hidden="false" customHeight="false" outlineLevel="0" collapsed="false">
      <c r="B29" s="11" t="s">
        <v>50</v>
      </c>
      <c r="C29" s="25"/>
      <c r="D29" s="7" t="n">
        <f aca="false">SUM(Calculation!M61:O61)</f>
        <v>2328401.4383</v>
      </c>
      <c r="E29" s="7" t="n">
        <f aca="false">SUM(Calculation!M78:O78)</f>
        <v>1871661.4133</v>
      </c>
      <c r="F29" s="7" t="n">
        <f aca="false">SUM(Calculation!M95:O95)</f>
        <v>1533068.06496667</v>
      </c>
      <c r="G29" s="7" t="n">
        <f aca="false">SUM(Calculation!M112:O112)</f>
        <v>1761438.07746667</v>
      </c>
      <c r="H29" s="7" t="n">
        <f aca="false">SUM(Calculation!M129:O129)</f>
        <v>1989808.08996667</v>
      </c>
    </row>
    <row r="30" customFormat="false" ht="15" hidden="false" customHeight="false" outlineLevel="0" collapsed="false">
      <c r="B30" s="11" t="s">
        <v>51</v>
      </c>
      <c r="C30" s="25"/>
      <c r="D30" s="9" t="n">
        <f aca="false">IF(D28=0,0,D27/D28)</f>
        <v>0.0823114153438962</v>
      </c>
      <c r="E30" s="9" t="n">
        <f aca="false">IF(E28=0,0,E27/E28)</f>
        <v>0.262325522964474</v>
      </c>
      <c r="F30" s="9" t="n">
        <f aca="false">IF(F28=0,0,F27/F28)</f>
        <v>0.395774697790981</v>
      </c>
      <c r="G30" s="9" t="n">
        <f aca="false">IF(G28=0,0,G27/G28)</f>
        <v>0.305767643980692</v>
      </c>
      <c r="H30" s="9" t="n">
        <f aca="false">IF(H28=0,0,H27/H28)</f>
        <v>0.215760590170404</v>
      </c>
    </row>
    <row r="31" customFormat="false" ht="15" hidden="false" customHeight="false" outlineLevel="0" collapsed="false">
      <c r="B31" s="26" t="s">
        <v>52</v>
      </c>
      <c r="D31" s="27" t="n">
        <f aca="false">ROUND(D28-D29-D27,0)</f>
        <v>0</v>
      </c>
      <c r="E31" s="27" t="n">
        <f aca="false">ROUND(E28-E29-E27,0)</f>
        <v>0</v>
      </c>
      <c r="F31" s="27" t="n">
        <f aca="false">ROUND(F28-F29-F27,0)</f>
        <v>0</v>
      </c>
      <c r="G31" s="27" t="n">
        <f aca="false">ROUND(G28-G29-G27,0)</f>
        <v>0</v>
      </c>
      <c r="H31" s="27" t="n">
        <f aca="false">ROUND(H28-H29-H27,0)</f>
        <v>0</v>
      </c>
    </row>
    <row r="34" customFormat="false" ht="15" hidden="false" customHeight="false" outlineLevel="0" collapsed="false">
      <c r="B34" s="19" t="s">
        <v>54</v>
      </c>
    </row>
    <row r="35" customFormat="false" ht="57.75" hidden="false" customHeight="true" outlineLevel="0" collapsed="false">
      <c r="B35" s="5" t="s">
        <v>32</v>
      </c>
      <c r="C35" s="5" t="s">
        <v>33</v>
      </c>
      <c r="D35" s="5" t="s">
        <v>34</v>
      </c>
      <c r="E35" s="5" t="s">
        <v>35</v>
      </c>
      <c r="F35" s="5" t="s">
        <v>36</v>
      </c>
      <c r="G35" s="5" t="s">
        <v>37</v>
      </c>
      <c r="H35" s="5" t="s">
        <v>38</v>
      </c>
    </row>
    <row r="36" customFormat="false" ht="15" hidden="false" customHeight="false" outlineLevel="0" collapsed="false">
      <c r="B36" s="11" t="s">
        <v>39</v>
      </c>
      <c r="C36" s="20" t="s">
        <v>40</v>
      </c>
      <c r="D36" s="21" t="n">
        <f aca="false">-SUM(Calculation!M56:Q56)</f>
        <v>139096.504166667</v>
      </c>
      <c r="E36" s="21" t="n">
        <f aca="false">-SUM(Calculation!M73:Q73)</f>
        <v>139096.504166667</v>
      </c>
      <c r="F36" s="21" t="n">
        <f aca="false">-SUM(Calculation!M90:Q90)</f>
        <v>113239.068055556</v>
      </c>
      <c r="G36" s="21" t="n">
        <f aca="false">-SUM(Calculation!M107:Q107)</f>
        <v>113239.068055556</v>
      </c>
      <c r="H36" s="21" t="n">
        <f aca="false">-SUM(Calculation!M124:Q124)</f>
        <v>113239.068055556</v>
      </c>
    </row>
    <row r="37" customFormat="false" ht="15" hidden="false" customHeight="false" outlineLevel="0" collapsed="false">
      <c r="B37" s="11" t="s">
        <v>41</v>
      </c>
      <c r="C37" s="20" t="s">
        <v>40</v>
      </c>
      <c r="D37" s="21" t="n">
        <f aca="false">-SUM(Calculation!M57:Q57)</f>
        <v>188915.625733333</v>
      </c>
      <c r="E37" s="21" t="n">
        <f aca="false">-SUM(Calculation!M74:Q74)</f>
        <v>188915.625733333</v>
      </c>
      <c r="F37" s="21" t="n">
        <f aca="false">-SUM(Calculation!M91:Q91)</f>
        <v>142162.766277778</v>
      </c>
      <c r="G37" s="21" t="n">
        <f aca="false">-SUM(Calculation!M108:Q108)</f>
        <v>142162.766277778</v>
      </c>
      <c r="H37" s="21" t="n">
        <f aca="false">-SUM(Calculation!M125:Q125)</f>
        <v>142162.766277778</v>
      </c>
    </row>
    <row r="38" customFormat="false" ht="15" hidden="false" customHeight="false" outlineLevel="0" collapsed="false">
      <c r="B38" s="11" t="s">
        <v>42</v>
      </c>
      <c r="C38" s="20" t="s">
        <v>43</v>
      </c>
      <c r="D38" s="21" t="n">
        <f aca="false">SUMPRODUCT((Calculation!$D$5:$D$29="Plan Safe task")*Calculation!$AD$5:$AD$29*(1-Calculation!$H$5:$H$29))</f>
        <v>0</v>
      </c>
      <c r="E38" s="21" t="n">
        <f aca="false">SUMPRODUCT((Calculation!$D$5:$D$29="Plan Safe task")*Calculation!$AD$5:$AD$29*(1-Calculation!$I$5:$I$29))</f>
        <v>1018377.78</v>
      </c>
      <c r="F38" s="21" t="n">
        <f aca="false">SUMPRODUCT((Calculation!$D$5:$D$29="Plan Safe task")*Calculation!$AD$5:$AD$29*(1-Calculation!$J$5:$J$29))</f>
        <v>1018377.78</v>
      </c>
      <c r="G38" s="21" t="n">
        <f aca="false">SUMPRODUCT((Calculation!$D$5:$D$29="Plan Safe task")*Calculation!$AD$5:$AD$29*(1-Calculation!$K$5:$K$29))</f>
        <v>509188.89</v>
      </c>
      <c r="H38" s="21" t="n">
        <f aca="false">SUMPRODUCT((Calculation!$D$5:$D$29="Plan Safe task")*Calculation!$AD$5:$AD$29*(1-Calculation!$L$5:$L$29))</f>
        <v>0</v>
      </c>
    </row>
    <row r="39" customFormat="false" ht="15" hidden="false" customHeight="false" outlineLevel="0" collapsed="false">
      <c r="B39" s="11" t="s">
        <v>44</v>
      </c>
      <c r="C39" s="20" t="s">
        <v>43</v>
      </c>
      <c r="D39" s="21" t="n">
        <f aca="false">SUMPRODUCT((Calculation!$D$5:$D$29="SSC")*Calculation!$AD$5:$AD$29*(1-Calculation!$H$5:$H$29))</f>
        <v>0</v>
      </c>
      <c r="E39" s="21" t="n">
        <f aca="false">SUMPRODUCT((Calculation!$D$5:$D$29="SSC")*Calculation!$AD$5:$AD$29*(1-Calculation!$I$5:$I$29))</f>
        <v>0</v>
      </c>
      <c r="F39" s="21" t="n">
        <f aca="false">SUMPRODUCT((Calculation!$D$5:$D$29="SSC")*Calculation!$AD$5:$AD$29*(1-Calculation!$J$5:$J$29))</f>
        <v>1250657.625</v>
      </c>
      <c r="G39" s="21" t="n">
        <f aca="false">SUMPRODUCT((Calculation!$D$5:$D$29="SSC")*Calculation!$AD$5:$AD$29*(1-Calculation!$K$5:$K$29))</f>
        <v>1250657.625</v>
      </c>
      <c r="H39" s="21" t="n">
        <f aca="false">SUMPRODUCT((Calculation!$D$5:$D$29="SSC")*Calculation!$AD$5:$AD$29*(1-Calculation!$L$5:$L$29))</f>
        <v>1250657.625</v>
      </c>
    </row>
    <row r="40" customFormat="false" ht="15" hidden="false" customHeight="false" outlineLevel="0" collapsed="false">
      <c r="B40" s="11" t="s">
        <v>45</v>
      </c>
      <c r="C40" s="20" t="s">
        <v>46</v>
      </c>
      <c r="D40" s="21" t="n">
        <f aca="false">SUMPRODUCT((Calculation!$D$5:$D$29="INVAP")*Calculation!$AD$5:$AD$29*(1-Calculation!$H$5:$H$29))</f>
        <v>0</v>
      </c>
      <c r="E40" s="21" t="n">
        <f aca="false">SUMPRODUCT((Calculation!$D$5:$D$29="INVAP")*Calculation!$AD$5:$AD$29*(1-Calculation!$I$5:$I$29))</f>
        <v>0</v>
      </c>
      <c r="F40" s="21" t="n">
        <f aca="false">SUMPRODUCT((Calculation!$D$5:$D$29="INVAP")*Calculation!$AD$5:$AD$29*(1-Calculation!$J$5:$J$29))</f>
        <v>0</v>
      </c>
      <c r="G40" s="21" t="n">
        <f aca="false">SUMPRODUCT((Calculation!$D$5:$D$29="INVAP")*Calculation!$AD$5:$AD$29*(1-Calculation!$K$5:$K$29))</f>
        <v>0</v>
      </c>
      <c r="H40" s="21" t="n">
        <f aca="false">SUMPRODUCT((Calculation!$D$5:$D$29="INVAP")*Calculation!$AD$5:$AD$29*(1-Calculation!$L$5:$L$29))</f>
        <v>0</v>
      </c>
    </row>
    <row r="41" customFormat="false" ht="15" hidden="false" customHeight="false" outlineLevel="0" collapsed="false">
      <c r="B41" s="11" t="s">
        <v>47</v>
      </c>
      <c r="C41" s="20" t="s">
        <v>46</v>
      </c>
      <c r="D41" s="21" t="n">
        <f aca="false">-(SUM(Calculation!M54:Q54)+SUM(Calculation!M55:Q55))</f>
        <v>-0</v>
      </c>
      <c r="E41" s="21" t="n">
        <f aca="false">-(SUM(Calculation!M71:Q71)+SUM(Calculation!M72:Q72))</f>
        <v>-0</v>
      </c>
      <c r="F41" s="21" t="n">
        <f aca="false">-(SUM(Calculation!M88:Q88)+SUM(Calculation!M89:Q89))</f>
        <v>-0</v>
      </c>
      <c r="G41" s="21" t="n">
        <f aca="false">-(SUM(Calculation!M105:Q105)+SUM(Calculation!M106:Q106))</f>
        <v>-0</v>
      </c>
      <c r="H41" s="21" t="n">
        <f aca="false">-(SUM(Calculation!M122:Q122)+SUM(Calculation!M123:Q123))</f>
        <v>-0</v>
      </c>
    </row>
    <row r="42" customFormat="false" ht="15" hidden="false" customHeight="false" outlineLevel="0" collapsed="false">
      <c r="B42" s="22" t="s">
        <v>48</v>
      </c>
      <c r="C42" s="23"/>
      <c r="D42" s="24" t="n">
        <f aca="false">SUM(D36:D41)</f>
        <v>328012.1299</v>
      </c>
      <c r="E42" s="24" t="n">
        <f aca="false">SUM(E36:E41)</f>
        <v>1346389.9099</v>
      </c>
      <c r="F42" s="24" t="n">
        <f aca="false">SUM(F36:F41)</f>
        <v>2524437.23933333</v>
      </c>
      <c r="G42" s="24" t="n">
        <f aca="false">SUM(G36:G41)</f>
        <v>2015248.34933333</v>
      </c>
      <c r="H42" s="24" t="n">
        <f aca="false">SUM(H36:H41)</f>
        <v>1506059.45933333</v>
      </c>
    </row>
    <row r="43" customFormat="false" ht="15" hidden="false" customHeight="false" outlineLevel="0" collapsed="false">
      <c r="B43" s="13" t="s">
        <v>49</v>
      </c>
      <c r="C43" s="25"/>
      <c r="D43" s="8" t="n">
        <f aca="false">SUM(Calculation!M44:Q44)</f>
        <v>6261739.155</v>
      </c>
      <c r="E43" s="8" t="n">
        <f aca="false">SUM(Calculation!M44:Q44)</f>
        <v>6261739.155</v>
      </c>
      <c r="F43" s="8" t="n">
        <f aca="false">SUM(Calculation!M44:Q44)</f>
        <v>6261739.155</v>
      </c>
      <c r="G43" s="8" t="n">
        <f aca="false">SUM(Calculation!M44:Q44)</f>
        <v>6261739.155</v>
      </c>
      <c r="H43" s="8" t="n">
        <f aca="false">SUM(Calculation!M44:Q44)</f>
        <v>6261739.155</v>
      </c>
    </row>
    <row r="44" customFormat="false" ht="15" hidden="false" customHeight="false" outlineLevel="0" collapsed="false">
      <c r="B44" s="11" t="s">
        <v>50</v>
      </c>
      <c r="C44" s="25"/>
      <c r="D44" s="7" t="n">
        <f aca="false">SUM(Calculation!M61:Q61)</f>
        <v>5933727.0251</v>
      </c>
      <c r="E44" s="7" t="n">
        <f aca="false">SUM(Calculation!M78:Q78)</f>
        <v>4915349.2451</v>
      </c>
      <c r="F44" s="7" t="n">
        <f aca="false">SUM(Calculation!M95:Q95)</f>
        <v>3737301.91566667</v>
      </c>
      <c r="G44" s="7" t="n">
        <f aca="false">SUM(Calculation!M112:Q112)</f>
        <v>4246490.80566667</v>
      </c>
      <c r="H44" s="7" t="n">
        <f aca="false">SUM(Calculation!M129:Q129)</f>
        <v>4755679.69566667</v>
      </c>
    </row>
    <row r="45" customFormat="false" ht="15" hidden="false" customHeight="false" outlineLevel="0" collapsed="false">
      <c r="B45" s="11" t="s">
        <v>51</v>
      </c>
      <c r="C45" s="25"/>
      <c r="D45" s="9" t="n">
        <f aca="false">IF(D43=0,0,D42/D43)</f>
        <v>0.0523835506048</v>
      </c>
      <c r="E45" s="9" t="n">
        <f aca="false">IF(E43=0,0,E42/E43)</f>
        <v>0.215018523859287</v>
      </c>
      <c r="F45" s="9" t="n">
        <f aca="false">IF(F43=0,0,F42/F43)</f>
        <v>0.403152730710216</v>
      </c>
      <c r="G45" s="9" t="n">
        <f aca="false">IF(G43=0,0,G42/G43)</f>
        <v>0.321835244082973</v>
      </c>
      <c r="H45" s="9" t="n">
        <f aca="false">IF(H43=0,0,H42/H43)</f>
        <v>0.240517757455729</v>
      </c>
    </row>
    <row r="46" customFormat="false" ht="15" hidden="false" customHeight="false" outlineLevel="0" collapsed="false">
      <c r="B46" s="26" t="s">
        <v>52</v>
      </c>
      <c r="D46" s="27" t="n">
        <f aca="false">ROUND(D43-D44-D42,0)</f>
        <v>0</v>
      </c>
      <c r="E46" s="27" t="n">
        <f aca="false">ROUND(E43-E44-E42,0)</f>
        <v>0</v>
      </c>
      <c r="F46" s="27" t="n">
        <f aca="false">ROUND(F43-F44-F42,0)</f>
        <v>0</v>
      </c>
      <c r="G46" s="27" t="n">
        <f aca="false">ROUND(G43-G44-G42,0)</f>
        <v>0</v>
      </c>
      <c r="H46" s="27" t="n">
        <f aca="false">ROUND(H43-H44-H42,0)</f>
        <v>0</v>
      </c>
    </row>
    <row r="49" customFormat="false" ht="15" hidden="false" customHeight="false" outlineLevel="0" collapsed="false">
      <c r="B49" s="19" t="s">
        <v>55</v>
      </c>
    </row>
    <row r="50" customFormat="false" ht="19.5" hidden="false" customHeight="true" outlineLevel="0" collapsed="false">
      <c r="B50" s="28" t="s">
        <v>32</v>
      </c>
      <c r="C50" s="29" t="s">
        <v>56</v>
      </c>
      <c r="D50" s="29"/>
      <c r="E50" s="29"/>
      <c r="F50" s="29"/>
      <c r="G50" s="29"/>
      <c r="H50" s="29"/>
    </row>
    <row r="51" customFormat="false" ht="61.5" hidden="false" customHeight="true" outlineLevel="0" collapsed="false">
      <c r="B51" s="30" t="s">
        <v>39</v>
      </c>
      <c r="C51" s="31" t="s">
        <v>57</v>
      </c>
      <c r="D51" s="31"/>
      <c r="E51" s="31"/>
      <c r="F51" s="31"/>
      <c r="G51" s="31"/>
      <c r="H51" s="31"/>
    </row>
    <row r="52" customFormat="false" ht="61.5" hidden="false" customHeight="true" outlineLevel="0" collapsed="false">
      <c r="B52" s="30" t="s">
        <v>41</v>
      </c>
      <c r="C52" s="31" t="s">
        <v>58</v>
      </c>
      <c r="D52" s="31"/>
      <c r="E52" s="31"/>
      <c r="F52" s="31"/>
      <c r="G52" s="31"/>
      <c r="H52" s="31"/>
    </row>
    <row r="53" customFormat="false" ht="61.5" hidden="false" customHeight="true" outlineLevel="0" collapsed="false">
      <c r="B53" s="30" t="s">
        <v>42</v>
      </c>
      <c r="C53" s="31" t="s">
        <v>59</v>
      </c>
      <c r="D53" s="31"/>
      <c r="E53" s="31"/>
      <c r="F53" s="31"/>
      <c r="G53" s="31"/>
      <c r="H53" s="31"/>
    </row>
    <row r="54" customFormat="false" ht="61.5" hidden="false" customHeight="true" outlineLevel="0" collapsed="false">
      <c r="B54" s="30" t="s">
        <v>44</v>
      </c>
      <c r="C54" s="31" t="s">
        <v>60</v>
      </c>
      <c r="D54" s="31"/>
      <c r="E54" s="31"/>
      <c r="F54" s="31"/>
      <c r="G54" s="31"/>
      <c r="H54" s="31"/>
    </row>
    <row r="55" customFormat="false" ht="61.5" hidden="false" customHeight="true" outlineLevel="0" collapsed="false">
      <c r="B55" s="30" t="s">
        <v>45</v>
      </c>
      <c r="C55" s="31" t="s">
        <v>61</v>
      </c>
      <c r="D55" s="31"/>
      <c r="E55" s="31"/>
      <c r="F55" s="31"/>
      <c r="G55" s="31"/>
      <c r="H55" s="31"/>
    </row>
    <row r="56" customFormat="false" ht="199.5" hidden="false" customHeight="true" outlineLevel="0" collapsed="false">
      <c r="B56" s="30" t="s">
        <v>47</v>
      </c>
      <c r="C56" s="31" t="s">
        <v>62</v>
      </c>
      <c r="D56" s="31"/>
      <c r="E56" s="31"/>
      <c r="F56" s="31"/>
      <c r="G56" s="31"/>
      <c r="H56" s="31"/>
    </row>
    <row r="58" customFormat="false" ht="15" hidden="false" customHeight="false" outlineLevel="0" collapsed="false">
      <c r="B58" s="18" t="s">
        <v>63</v>
      </c>
    </row>
  </sheetData>
  <mergeCells count="7">
    <mergeCell ref="C50:H50"/>
    <mergeCell ref="C51:H51"/>
    <mergeCell ref="C52:H52"/>
    <mergeCell ref="C53:H53"/>
    <mergeCell ref="C54:H54"/>
    <mergeCell ref="C55:H55"/>
    <mergeCell ref="C56:H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B8A"/>
    <pageSetUpPr fitToPage="false"/>
  </sheetPr>
  <dimension ref="B1:L5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12" min="3" style="0" width="14"/>
  </cols>
  <sheetData>
    <row r="1" customFormat="false" ht="17.35" hidden="false" customHeight="false" outlineLevel="0" collapsed="false">
      <c r="B1" s="17" t="s">
        <v>64</v>
      </c>
    </row>
    <row r="2" customFormat="false" ht="15" hidden="false" customHeight="false" outlineLevel="0" collapsed="false">
      <c r="B2" s="18" t="s">
        <v>65</v>
      </c>
    </row>
    <row r="4" customFormat="false" ht="15" hidden="false" customHeight="false" outlineLevel="0" collapsed="false">
      <c r="B4" s="19" t="s">
        <v>66</v>
      </c>
    </row>
    <row r="5" customFormat="false" ht="31.5" hidden="false" customHeight="true" outlineLevel="0" collapsed="false">
      <c r="B5" s="5" t="s">
        <v>3</v>
      </c>
      <c r="C5" s="5" t="s">
        <v>25</v>
      </c>
      <c r="D5" s="5" t="s">
        <v>20</v>
      </c>
      <c r="E5" s="5" t="s">
        <v>21</v>
      </c>
      <c r="F5" s="5" t="s">
        <v>22</v>
      </c>
      <c r="G5" s="5" t="s">
        <v>67</v>
      </c>
      <c r="H5" s="5" t="s">
        <v>5</v>
      </c>
      <c r="I5" s="5" t="s">
        <v>6</v>
      </c>
      <c r="J5" s="5" t="s">
        <v>10</v>
      </c>
      <c r="K5" s="5" t="s">
        <v>68</v>
      </c>
      <c r="L5" s="5" t="s">
        <v>69</v>
      </c>
    </row>
    <row r="6" customFormat="false" ht="15" hidden="false" customHeight="false" outlineLevel="0" collapsed="false">
      <c r="B6" s="6" t="s">
        <v>70</v>
      </c>
      <c r="C6" s="8" t="n">
        <f aca="false">SUM(Calculation!M47:S47)</f>
        <v>32722</v>
      </c>
      <c r="D6" s="8" t="n">
        <f aca="false">SUM(Calculation!M41:S41)</f>
        <v>5858217.9075</v>
      </c>
      <c r="E6" s="8" t="n">
        <f aca="false">SUM(Calculation!M42:S42)</f>
        <v>1593669.9975</v>
      </c>
      <c r="F6" s="8" t="n">
        <f aca="false">SUM(Calculation!M43:S43)</f>
        <v>78836.1</v>
      </c>
      <c r="G6" s="7" t="n">
        <f aca="false">SUM(D6:F6)</f>
        <v>7530724.005</v>
      </c>
      <c r="H6" s="8" t="n">
        <f aca="false">$G$6-G6</f>
        <v>0</v>
      </c>
      <c r="I6" s="9" t="n">
        <f aca="false">IF($G$6=0,0,H6/$G$6)</f>
        <v>0</v>
      </c>
      <c r="J6" s="8" t="n">
        <f aca="false">('Synertec Benchmark'!$D$5+'Synertec Benchmark'!$D$6+'Synertec Benchmark'!$D$7+'Synertec Benchmark'!$D$8+'Synertec Benchmark'!$D$9+'Synertec Benchmark'!$D$10+'Synertec Benchmark'!$D$11)</f>
        <v>3809000</v>
      </c>
      <c r="K6" s="8" t="n">
        <f aca="false">G6-J6</f>
        <v>3721724.005</v>
      </c>
      <c r="L6" s="10" t="n">
        <f aca="false">IF(G6=0,0,(J6-G6)/G6)</f>
        <v>-0.494205338361753</v>
      </c>
    </row>
    <row r="7" customFormat="false" ht="15" hidden="false" customHeight="false" outlineLevel="0" collapsed="false">
      <c r="B7" s="13" t="s">
        <v>71</v>
      </c>
      <c r="C7" s="8" t="n">
        <f aca="false">SUM(Calculation!M64:S64)</f>
        <v>32722</v>
      </c>
      <c r="D7" s="8" t="n">
        <f aca="false">SUM(Calculation!M58:S58)</f>
        <v>5490356.5472</v>
      </c>
      <c r="E7" s="8" t="n">
        <f aca="false">SUM(Calculation!M59:S59)</f>
        <v>1593669.9975</v>
      </c>
      <c r="F7" s="8" t="n">
        <f aca="false">SUM(Calculation!M60:S60)</f>
        <v>78836.1</v>
      </c>
      <c r="G7" s="7" t="n">
        <f aca="false">SUM(D7:F7)</f>
        <v>7162862.6447</v>
      </c>
      <c r="H7" s="8" t="n">
        <f aca="false">$G$6-G7</f>
        <v>367861.360300001</v>
      </c>
      <c r="I7" s="9" t="n">
        <f aca="false">IF($G$6=0,0,H7/$G$6)</f>
        <v>0.0488480735790822</v>
      </c>
      <c r="J7" s="8" t="n">
        <f aca="false">('Synertec Benchmark'!$D$5+'Synertec Benchmark'!$D$6+'Synertec Benchmark'!$D$7+'Synertec Benchmark'!$D$8+'Synertec Benchmark'!$D$9+'Synertec Benchmark'!$D$10+'Synertec Benchmark'!$D$11)</f>
        <v>3809000</v>
      </c>
      <c r="K7" s="8" t="n">
        <f aca="false">G7-J7</f>
        <v>3353862.6447</v>
      </c>
      <c r="L7" s="10" t="n">
        <f aca="false">IF(G7=0,0,(J7-G7)/G7)</f>
        <v>-0.468229367371943</v>
      </c>
    </row>
    <row r="8" customFormat="false" ht="15" hidden="false" customHeight="false" outlineLevel="0" collapsed="false">
      <c r="B8" s="13" t="s">
        <v>72</v>
      </c>
      <c r="C8" s="8" t="n">
        <f aca="false">SUM(Calculation!M81:S81)</f>
        <v>27415</v>
      </c>
      <c r="D8" s="8" t="n">
        <f aca="false">SUM(Calculation!M75:S75)</f>
        <v>5490356.5472</v>
      </c>
      <c r="E8" s="8" t="n">
        <f aca="false">SUM(Calculation!M76:S76)</f>
        <v>371954.4675</v>
      </c>
      <c r="F8" s="8" t="n">
        <f aca="false">SUM(Calculation!M77:S77)</f>
        <v>78836.1</v>
      </c>
      <c r="G8" s="7" t="n">
        <f aca="false">SUM(D8:F8)</f>
        <v>5941147.1147</v>
      </c>
      <c r="H8" s="8" t="n">
        <f aca="false">$G$6-G8</f>
        <v>1589576.8903</v>
      </c>
      <c r="I8" s="9" t="n">
        <f aca="false">IF($G$6=0,0,H8/$G$6)</f>
        <v>0.21107889350939</v>
      </c>
      <c r="J8" s="8" t="n">
        <f aca="false">('Synertec Benchmark'!$D$5+'Synertec Benchmark'!$D$6+'Synertec Benchmark'!$D$7+'Synertec Benchmark'!$D$8+'Synertec Benchmark'!$D$9+'Synertec Benchmark'!$D$10+'Synertec Benchmark'!$D$11)</f>
        <v>3809000</v>
      </c>
      <c r="K8" s="8" t="n">
        <f aca="false">G8-J8</f>
        <v>2132147.1147</v>
      </c>
      <c r="L8" s="10" t="n">
        <f aca="false">IF(G8=0,0,(J8-G8)/G8)</f>
        <v>-0.358878020277346</v>
      </c>
    </row>
    <row r="9" customFormat="false" ht="15" hidden="false" customHeight="false" outlineLevel="0" collapsed="false">
      <c r="B9" s="13" t="s">
        <v>73</v>
      </c>
      <c r="C9" s="8" t="n">
        <f aca="false">SUM(Calculation!M98:S98)</f>
        <v>20220</v>
      </c>
      <c r="D9" s="8" t="n">
        <f aca="false">SUM(Calculation!M92:S92)</f>
        <v>4003833.17226667</v>
      </c>
      <c r="E9" s="8" t="n">
        <f aca="false">SUM(Calculation!M93:S93)</f>
        <v>293949.6525</v>
      </c>
      <c r="F9" s="8" t="n">
        <f aca="false">SUM(Calculation!M94:S94)</f>
        <v>78836.1</v>
      </c>
      <c r="G9" s="7" t="n">
        <f aca="false">SUM(D9:F9)</f>
        <v>4376618.92476667</v>
      </c>
      <c r="H9" s="8" t="n">
        <f aca="false">$G$6-G9</f>
        <v>3154105.08023333</v>
      </c>
      <c r="I9" s="9" t="n">
        <f aca="false">IF($G$6=0,0,H9/$G$6)</f>
        <v>0.418831586197977</v>
      </c>
      <c r="J9" s="8" t="n">
        <f aca="false">('Synertec Benchmark'!$D$5+'Synertec Benchmark'!$D$6+'Synertec Benchmark'!$D$7+'Synertec Benchmark'!$D$8+'Synertec Benchmark'!$D$9+'Synertec Benchmark'!$D$10+'Synertec Benchmark'!$D$11)</f>
        <v>3809000</v>
      </c>
      <c r="K9" s="8" t="n">
        <f aca="false">G9-J9</f>
        <v>567618.924766666</v>
      </c>
      <c r="L9" s="10" t="n">
        <f aca="false">IF(G9=0,0,(J9-G9)/G9)</f>
        <v>-0.129693476750875</v>
      </c>
    </row>
    <row r="10" customFormat="false" ht="15" hidden="false" customHeight="false" outlineLevel="0" collapsed="false">
      <c r="B10" s="13" t="s">
        <v>74</v>
      </c>
      <c r="C10" s="8" t="n">
        <f aca="false">SUM(Calculation!M115:S115)</f>
        <v>25527</v>
      </c>
      <c r="D10" s="8" t="n">
        <f aca="false">SUM(Calculation!M109:S109)</f>
        <v>4003833.17226667</v>
      </c>
      <c r="E10" s="8" t="n">
        <f aca="false">SUM(Calculation!M110:S110)</f>
        <v>904807.4175</v>
      </c>
      <c r="F10" s="8" t="n">
        <f aca="false">SUM(Calculation!M111:S111)</f>
        <v>78836.1</v>
      </c>
      <c r="G10" s="7" t="n">
        <f aca="false">SUM(D10:F10)</f>
        <v>4987476.68976667</v>
      </c>
      <c r="H10" s="8" t="n">
        <f aca="false">$G$6-G10</f>
        <v>2543247.31523334</v>
      </c>
      <c r="I10" s="9" t="n">
        <f aca="false">IF($G$6=0,0,H10/$G$6)</f>
        <v>0.337716176232824</v>
      </c>
      <c r="J10" s="8" t="n">
        <f aca="false">('Synertec Benchmark'!$D$5+'Synertec Benchmark'!$D$6+'Synertec Benchmark'!$D$7+'Synertec Benchmark'!$D$8+'Synertec Benchmark'!$D$9+'Synertec Benchmark'!$D$10+'Synertec Benchmark'!$D$11)</f>
        <v>3809000</v>
      </c>
      <c r="K10" s="8" t="n">
        <f aca="false">G10-J10</f>
        <v>1178476.68976667</v>
      </c>
      <c r="L10" s="10" t="n">
        <f aca="false">IF(G10=0,0,(J10-G10)/G10)</f>
        <v>-0.23628715742866</v>
      </c>
    </row>
    <row r="11" customFormat="false" ht="15" hidden="false" customHeight="false" outlineLevel="0" collapsed="false">
      <c r="B11" s="13" t="s">
        <v>75</v>
      </c>
      <c r="C11" s="8" t="n">
        <f aca="false">SUM(Calculation!M132:S132)</f>
        <v>25527</v>
      </c>
      <c r="D11" s="8" t="n">
        <f aca="false">SUM(Calculation!M126:S126)</f>
        <v>4003833.17226667</v>
      </c>
      <c r="E11" s="8" t="n">
        <f aca="false">SUM(Calculation!M127:S127)</f>
        <v>1515665.1825</v>
      </c>
      <c r="F11" s="8" t="n">
        <f aca="false">SUM(Calculation!M128:S128)</f>
        <v>78836.1</v>
      </c>
      <c r="G11" s="7" t="n">
        <f aca="false">SUM(D11:F11)</f>
        <v>5598334.45476667</v>
      </c>
      <c r="H11" s="8" t="n">
        <f aca="false">$G$6-G11</f>
        <v>1932389.55023333</v>
      </c>
      <c r="I11" s="9" t="n">
        <f aca="false">IF($G$6=0,0,H11/$G$6)</f>
        <v>0.25660076626767</v>
      </c>
      <c r="J11" s="8" t="n">
        <f aca="false">('Synertec Benchmark'!$D$5+'Synertec Benchmark'!$D$6+'Synertec Benchmark'!$D$7+'Synertec Benchmark'!$D$8+'Synertec Benchmark'!$D$9+'Synertec Benchmark'!$D$10+'Synertec Benchmark'!$D$11)</f>
        <v>3809000</v>
      </c>
      <c r="K11" s="8" t="n">
        <f aca="false">G11-J11</f>
        <v>1789334.45476667</v>
      </c>
      <c r="L11" s="10" t="n">
        <f aca="false">IF(G11=0,0,(J11-G11)/G11)</f>
        <v>-0.319619070497503</v>
      </c>
    </row>
    <row r="14" customFormat="false" ht="15" hidden="false" customHeight="false" outlineLevel="0" collapsed="false">
      <c r="B14" s="19" t="s">
        <v>76</v>
      </c>
    </row>
    <row r="15" customFormat="false" ht="31.5" hidden="false" customHeight="true" outlineLevel="0" collapsed="false">
      <c r="B15" s="5" t="s">
        <v>3</v>
      </c>
      <c r="C15" s="5" t="s">
        <v>25</v>
      </c>
      <c r="D15" s="5" t="s">
        <v>20</v>
      </c>
      <c r="E15" s="5" t="s">
        <v>21</v>
      </c>
      <c r="F15" s="5" t="s">
        <v>22</v>
      </c>
      <c r="G15" s="5" t="s">
        <v>67</v>
      </c>
      <c r="H15" s="5" t="s">
        <v>5</v>
      </c>
      <c r="I15" s="5" t="s">
        <v>6</v>
      </c>
      <c r="J15" s="5" t="s">
        <v>10</v>
      </c>
      <c r="K15" s="5" t="s">
        <v>68</v>
      </c>
      <c r="L15" s="5" t="s">
        <v>69</v>
      </c>
    </row>
    <row r="16" customFormat="false" ht="15" hidden="false" customHeight="false" outlineLevel="0" collapsed="false">
      <c r="B16" s="6" t="s">
        <v>70</v>
      </c>
      <c r="C16" s="8" t="n">
        <f aca="false">SUM(Calculation!M47:O47)</f>
        <v>11025</v>
      </c>
      <c r="D16" s="8" t="n">
        <f aca="false">SUM(Calculation!M41:O41)</f>
        <v>1882791.0675</v>
      </c>
      <c r="E16" s="8" t="n">
        <f aca="false">SUM(Calculation!M42:O42)</f>
        <v>575618.5575</v>
      </c>
      <c r="F16" s="8" t="n">
        <f aca="false">SUM(Calculation!M43:O43)</f>
        <v>78836.1</v>
      </c>
      <c r="G16" s="7" t="n">
        <f aca="false">SUM(D16:F16)</f>
        <v>2537245.725</v>
      </c>
      <c r="H16" s="8" t="n">
        <f aca="false">$G$16-G16</f>
        <v>0</v>
      </c>
      <c r="I16" s="9" t="n">
        <f aca="false">IF($G$16=0,0,H16/$G$16)</f>
        <v>0</v>
      </c>
      <c r="J16" s="8" t="n">
        <f aca="false">('Synertec Benchmark'!$D$5+'Synertec Benchmark'!$D$6+'Synertec Benchmark'!$D$7)</f>
        <v>1809000</v>
      </c>
      <c r="K16" s="8" t="n">
        <f aca="false">G16-J16</f>
        <v>728245.725</v>
      </c>
      <c r="L16" s="10" t="n">
        <f aca="false">IF(G16=0,0,(J16-G16)/G16)</f>
        <v>-0.287022150761531</v>
      </c>
    </row>
    <row r="17" customFormat="false" ht="15" hidden="false" customHeight="false" outlineLevel="0" collapsed="false">
      <c r="B17" s="13" t="s">
        <v>71</v>
      </c>
      <c r="C17" s="8" t="n">
        <f aca="false">SUM(Calculation!M64:O64)</f>
        <v>11025</v>
      </c>
      <c r="D17" s="8" t="n">
        <f aca="false">SUM(Calculation!M58:O58)</f>
        <v>1673946.7808</v>
      </c>
      <c r="E17" s="8" t="n">
        <f aca="false">SUM(Calculation!M59:O59)</f>
        <v>575618.5575</v>
      </c>
      <c r="F17" s="8" t="n">
        <f aca="false">SUM(Calculation!M60:O60)</f>
        <v>78836.1</v>
      </c>
      <c r="G17" s="7" t="n">
        <f aca="false">SUM(D17:F17)</f>
        <v>2328401.4383</v>
      </c>
      <c r="H17" s="8" t="n">
        <f aca="false">$G$16-G17</f>
        <v>208844.2867</v>
      </c>
      <c r="I17" s="9" t="n">
        <f aca="false">IF($G$16=0,0,H17/$G$16)</f>
        <v>0.0823114153438962</v>
      </c>
      <c r="J17" s="8" t="n">
        <f aca="false">('Synertec Benchmark'!$D$5+'Synertec Benchmark'!$D$6+'Synertec Benchmark'!$D$7)</f>
        <v>1809000</v>
      </c>
      <c r="K17" s="8" t="n">
        <f aca="false">G17-J17</f>
        <v>519401.4383</v>
      </c>
      <c r="L17" s="10" t="n">
        <f aca="false">IF(G17=0,0,(J17-G17)/G17)</f>
        <v>-0.223072117099886</v>
      </c>
    </row>
    <row r="18" customFormat="false" ht="15" hidden="false" customHeight="false" outlineLevel="0" collapsed="false">
      <c r="B18" s="13" t="s">
        <v>72</v>
      </c>
      <c r="C18" s="8" t="n">
        <f aca="false">SUM(Calculation!M81:O81)</f>
        <v>9050</v>
      </c>
      <c r="D18" s="8" t="n">
        <f aca="false">SUM(Calculation!M75:O75)</f>
        <v>1673946.7808</v>
      </c>
      <c r="E18" s="8" t="n">
        <f aca="false">SUM(Calculation!M76:O76)</f>
        <v>118878.5325</v>
      </c>
      <c r="F18" s="8" t="n">
        <f aca="false">SUM(Calculation!M77:O77)</f>
        <v>78836.1</v>
      </c>
      <c r="G18" s="7" t="n">
        <f aca="false">SUM(D18:F18)</f>
        <v>1871661.4133</v>
      </c>
      <c r="H18" s="8" t="n">
        <f aca="false">$G$16-G18</f>
        <v>665584.3117</v>
      </c>
      <c r="I18" s="9" t="n">
        <f aca="false">IF($G$16=0,0,H18/$G$16)</f>
        <v>0.262325522964474</v>
      </c>
      <c r="J18" s="8" t="n">
        <f aca="false">('Synertec Benchmark'!$D$5+'Synertec Benchmark'!$D$6+'Synertec Benchmark'!$D$7)</f>
        <v>1809000</v>
      </c>
      <c r="K18" s="8" t="n">
        <f aca="false">G18-J18</f>
        <v>62661.4132999999</v>
      </c>
      <c r="L18" s="10" t="n">
        <f aca="false">IF(G18=0,0,(J18-G18)/G18)</f>
        <v>-0.0334790325080855</v>
      </c>
    </row>
    <row r="19" customFormat="false" ht="15" hidden="false" customHeight="false" outlineLevel="0" collapsed="false">
      <c r="B19" s="13" t="s">
        <v>73</v>
      </c>
      <c r="C19" s="8" t="n">
        <f aca="false">SUM(Calculation!M98:O98)</f>
        <v>7400</v>
      </c>
      <c r="D19" s="8" t="n">
        <f aca="false">SUM(Calculation!M92:O92)</f>
        <v>1343398.00746667</v>
      </c>
      <c r="E19" s="8" t="n">
        <f aca="false">SUM(Calculation!M93:O93)</f>
        <v>110833.9575</v>
      </c>
      <c r="F19" s="8" t="n">
        <f aca="false">SUM(Calculation!M94:O94)</f>
        <v>78836.1</v>
      </c>
      <c r="G19" s="7" t="n">
        <f aca="false">SUM(D19:F19)</f>
        <v>1533068.06496667</v>
      </c>
      <c r="H19" s="8" t="n">
        <f aca="false">$G$16-G19</f>
        <v>1004177.66003333</v>
      </c>
      <c r="I19" s="9" t="n">
        <f aca="false">IF($G$16=0,0,H19/$G$16)</f>
        <v>0.395774697790981</v>
      </c>
      <c r="J19" s="8" t="n">
        <f aca="false">('Synertec Benchmark'!$D$5+'Synertec Benchmark'!$D$6+'Synertec Benchmark'!$D$7)</f>
        <v>1809000</v>
      </c>
      <c r="K19" s="8" t="n">
        <f aca="false">G19-J19</f>
        <v>-275931.935033333</v>
      </c>
      <c r="L19" s="10" t="n">
        <f aca="false">IF(G19=0,0,(J19-G19)/G19)</f>
        <v>0.179986747711252</v>
      </c>
    </row>
    <row r="20" customFormat="false" ht="15" hidden="false" customHeight="false" outlineLevel="0" collapsed="false">
      <c r="B20" s="13" t="s">
        <v>74</v>
      </c>
      <c r="C20" s="8" t="n">
        <f aca="false">SUM(Calculation!M115:O115)</f>
        <v>9375</v>
      </c>
      <c r="D20" s="8" t="n">
        <f aca="false">SUM(Calculation!M109:O109)</f>
        <v>1343398.00746667</v>
      </c>
      <c r="E20" s="8" t="n">
        <f aca="false">SUM(Calculation!M110:O110)</f>
        <v>339203.97</v>
      </c>
      <c r="F20" s="8" t="n">
        <f aca="false">SUM(Calculation!M111:O111)</f>
        <v>78836.1</v>
      </c>
      <c r="G20" s="7" t="n">
        <f aca="false">SUM(D20:F20)</f>
        <v>1761438.07746667</v>
      </c>
      <c r="H20" s="8" t="n">
        <f aca="false">$G$16-G20</f>
        <v>775807.647533333</v>
      </c>
      <c r="I20" s="9" t="n">
        <f aca="false">IF($G$16=0,0,H20/$G$16)</f>
        <v>0.305767643980692</v>
      </c>
      <c r="J20" s="8" t="n">
        <f aca="false">('Synertec Benchmark'!$D$5+'Synertec Benchmark'!$D$6+'Synertec Benchmark'!$D$7)</f>
        <v>1809000</v>
      </c>
      <c r="K20" s="8" t="n">
        <f aca="false">G20-J20</f>
        <v>-47561.9225333333</v>
      </c>
      <c r="L20" s="10" t="n">
        <f aca="false">IF(G20=0,0,(J20-G20)/G20)</f>
        <v>0.0270017567700919</v>
      </c>
    </row>
    <row r="21" customFormat="false" ht="15" hidden="false" customHeight="false" outlineLevel="0" collapsed="false">
      <c r="B21" s="13" t="s">
        <v>75</v>
      </c>
      <c r="C21" s="8" t="n">
        <f aca="false">SUM(Calculation!M132:O132)</f>
        <v>9375</v>
      </c>
      <c r="D21" s="8" t="n">
        <f aca="false">SUM(Calculation!M126:O126)</f>
        <v>1343398.00746667</v>
      </c>
      <c r="E21" s="8" t="n">
        <f aca="false">SUM(Calculation!M127:O127)</f>
        <v>567573.9825</v>
      </c>
      <c r="F21" s="8" t="n">
        <f aca="false">SUM(Calculation!M128:O128)</f>
        <v>78836.1</v>
      </c>
      <c r="G21" s="7" t="n">
        <f aca="false">SUM(D21:F21)</f>
        <v>1989808.08996667</v>
      </c>
      <c r="H21" s="8" t="n">
        <f aca="false">$G$16-G21</f>
        <v>547437.635033333</v>
      </c>
      <c r="I21" s="9" t="n">
        <f aca="false">IF($G$16=0,0,H21/$G$16)</f>
        <v>0.215760590170404</v>
      </c>
      <c r="J21" s="8" t="n">
        <f aca="false">('Synertec Benchmark'!$D$5+'Synertec Benchmark'!$D$6+'Synertec Benchmark'!$D$7)</f>
        <v>1809000</v>
      </c>
      <c r="K21" s="8" t="n">
        <f aca="false">G21-J21</f>
        <v>180808.089966667</v>
      </c>
      <c r="L21" s="10" t="n">
        <f aca="false">IF(G21=0,0,(J21-G21)/G21)</f>
        <v>-0.0908670996355712</v>
      </c>
    </row>
    <row r="24" customFormat="false" ht="15" hidden="false" customHeight="false" outlineLevel="0" collapsed="false">
      <c r="B24" s="19" t="s">
        <v>77</v>
      </c>
    </row>
    <row r="25" customFormat="false" ht="31.5" hidden="false" customHeight="true" outlineLevel="0" collapsed="false">
      <c r="B25" s="5" t="s">
        <v>3</v>
      </c>
      <c r="C25" s="5" t="s">
        <v>25</v>
      </c>
      <c r="D25" s="5" t="s">
        <v>20</v>
      </c>
      <c r="E25" s="5" t="s">
        <v>21</v>
      </c>
      <c r="F25" s="5" t="s">
        <v>22</v>
      </c>
      <c r="G25" s="5" t="s">
        <v>67</v>
      </c>
      <c r="H25" s="5" t="s">
        <v>5</v>
      </c>
      <c r="I25" s="5" t="s">
        <v>6</v>
      </c>
      <c r="J25" s="5" t="s">
        <v>10</v>
      </c>
      <c r="K25" s="5" t="s">
        <v>68</v>
      </c>
      <c r="L25" s="5" t="s">
        <v>69</v>
      </c>
    </row>
    <row r="26" customFormat="false" ht="15" hidden="false" customHeight="false" outlineLevel="0" collapsed="false">
      <c r="B26" s="6" t="s">
        <v>70</v>
      </c>
      <c r="C26" s="8" t="n">
        <f aca="false">SUM(Calculation!P47:Q47)</f>
        <v>16197</v>
      </c>
      <c r="D26" s="8" t="n">
        <f aca="false">SUM(Calculation!P41:Q41)</f>
        <v>2979196.08</v>
      </c>
      <c r="E26" s="8" t="n">
        <f aca="false">SUM(Calculation!P42:Q42)</f>
        <v>745297.35</v>
      </c>
      <c r="F26" s="8" t="n">
        <f aca="false">SUM(Calculation!P43:Q43)</f>
        <v>0</v>
      </c>
      <c r="G26" s="7" t="n">
        <f aca="false">SUM(D26:F26)</f>
        <v>3724493.43</v>
      </c>
      <c r="H26" s="8" t="n">
        <f aca="false">$G$26-G26</f>
        <v>0</v>
      </c>
      <c r="I26" s="9" t="n">
        <f aca="false">IF($G$26=0,0,H26/$G$26)</f>
        <v>0</v>
      </c>
      <c r="J26" s="8" t="n">
        <f aca="false">('Synertec Benchmark'!$D$8+'Synertec Benchmark'!$D$9)</f>
        <v>1825000</v>
      </c>
      <c r="K26" s="8" t="n">
        <f aca="false">G26-J26</f>
        <v>1899493.43</v>
      </c>
      <c r="L26" s="10" t="n">
        <f aca="false">IF(G26=0,0,(J26-G26)/G26)</f>
        <v>-0.510000478105287</v>
      </c>
    </row>
    <row r="27" customFormat="false" ht="15" hidden="false" customHeight="false" outlineLevel="0" collapsed="false">
      <c r="B27" s="13" t="s">
        <v>71</v>
      </c>
      <c r="C27" s="8" t="n">
        <f aca="false">SUM(Calculation!P64:Q64)</f>
        <v>16197</v>
      </c>
      <c r="D27" s="8" t="n">
        <f aca="false">SUM(Calculation!P58:Q58)</f>
        <v>2860028.2368</v>
      </c>
      <c r="E27" s="8" t="n">
        <f aca="false">SUM(Calculation!P59:Q59)</f>
        <v>745297.35</v>
      </c>
      <c r="F27" s="8" t="n">
        <f aca="false">SUM(Calculation!P60:Q60)</f>
        <v>0</v>
      </c>
      <c r="G27" s="7" t="n">
        <f aca="false">SUM(D27:F27)</f>
        <v>3605325.5868</v>
      </c>
      <c r="H27" s="8" t="n">
        <f aca="false">$G$26-G27</f>
        <v>119167.8432</v>
      </c>
      <c r="I27" s="9" t="n">
        <f aca="false">IF($G$26=0,0,H27/$G$26)</f>
        <v>0.0319957184620406</v>
      </c>
      <c r="J27" s="8" t="n">
        <f aca="false">('Synertec Benchmark'!$D$8+'Synertec Benchmark'!$D$9)</f>
        <v>1825000</v>
      </c>
      <c r="K27" s="8" t="n">
        <f aca="false">G27-J27</f>
        <v>1780325.5868</v>
      </c>
      <c r="L27" s="10" t="n">
        <f aca="false">IF(G27=0,0,(J27-G27)/G27)</f>
        <v>-0.49380438574486</v>
      </c>
    </row>
    <row r="28" customFormat="false" ht="15" hidden="false" customHeight="false" outlineLevel="0" collapsed="false">
      <c r="B28" s="13" t="s">
        <v>72</v>
      </c>
      <c r="C28" s="8" t="n">
        <f aca="false">SUM(Calculation!P81:Q81)</f>
        <v>13750</v>
      </c>
      <c r="D28" s="8" t="n">
        <f aca="false">SUM(Calculation!P75:Q75)</f>
        <v>2860028.2368</v>
      </c>
      <c r="E28" s="8" t="n">
        <f aca="false">SUM(Calculation!P76:Q76)</f>
        <v>183659.595</v>
      </c>
      <c r="F28" s="8" t="n">
        <f aca="false">SUM(Calculation!P77:Q77)</f>
        <v>0</v>
      </c>
      <c r="G28" s="7" t="n">
        <f aca="false">SUM(D28:F28)</f>
        <v>3043687.8318</v>
      </c>
      <c r="H28" s="8" t="n">
        <f aca="false">$G$26-G28</f>
        <v>680805.5982</v>
      </c>
      <c r="I28" s="9" t="n">
        <f aca="false">IF($G$26=0,0,H28/$G$26)</f>
        <v>0.182791461710271</v>
      </c>
      <c r="J28" s="8" t="n">
        <f aca="false">('Synertec Benchmark'!$D$8+'Synertec Benchmark'!$D$9)</f>
        <v>1825000</v>
      </c>
      <c r="K28" s="8" t="n">
        <f aca="false">G28-J28</f>
        <v>1218687.8318</v>
      </c>
      <c r="L28" s="10" t="n">
        <f aca="false">IF(G28=0,0,(J28-G28)/G28)</f>
        <v>-0.400398430833586</v>
      </c>
    </row>
    <row r="29" customFormat="false" ht="15" hidden="false" customHeight="false" outlineLevel="0" collapsed="false">
      <c r="B29" s="13" t="s">
        <v>73</v>
      </c>
      <c r="C29" s="8" t="n">
        <f aca="false">SUM(Calculation!P98:Q98)</f>
        <v>9950</v>
      </c>
      <c r="D29" s="8" t="n">
        <f aca="false">SUM(Calculation!P92:Q92)</f>
        <v>2068508.3832</v>
      </c>
      <c r="E29" s="8" t="n">
        <f aca="false">SUM(Calculation!P93:Q93)</f>
        <v>135725.4675</v>
      </c>
      <c r="F29" s="8" t="n">
        <f aca="false">SUM(Calculation!P94:Q94)</f>
        <v>0</v>
      </c>
      <c r="G29" s="7" t="n">
        <f aca="false">SUM(D29:F29)</f>
        <v>2204233.8507</v>
      </c>
      <c r="H29" s="8" t="n">
        <f aca="false">$G$26-G29</f>
        <v>1520259.5793</v>
      </c>
      <c r="I29" s="9" t="n">
        <f aca="false">IF($G$26=0,0,H29/$G$26)</f>
        <v>0.408178886034442</v>
      </c>
      <c r="J29" s="8" t="n">
        <f aca="false">('Synertec Benchmark'!$D$8+'Synertec Benchmark'!$D$9)</f>
        <v>1825000</v>
      </c>
      <c r="K29" s="8" t="n">
        <f aca="false">G29-J29</f>
        <v>379233.8507</v>
      </c>
      <c r="L29" s="10" t="n">
        <f aca="false">IF(G29=0,0,(J29-G29)/G29)</f>
        <v>-0.172047920677548</v>
      </c>
    </row>
    <row r="30" customFormat="false" ht="15" hidden="false" customHeight="false" outlineLevel="0" collapsed="false">
      <c r="B30" s="13" t="s">
        <v>74</v>
      </c>
      <c r="C30" s="8" t="n">
        <f aca="false">SUM(Calculation!P115:Q115)</f>
        <v>12397</v>
      </c>
      <c r="D30" s="8" t="n">
        <f aca="false">SUM(Calculation!P109:Q109)</f>
        <v>2068508.3832</v>
      </c>
      <c r="E30" s="8" t="n">
        <f aca="false">SUM(Calculation!P110:Q110)</f>
        <v>416544.345</v>
      </c>
      <c r="F30" s="8" t="n">
        <f aca="false">SUM(Calculation!P111:Q111)</f>
        <v>0</v>
      </c>
      <c r="G30" s="7" t="n">
        <f aca="false">SUM(D30:F30)</f>
        <v>2485052.7282</v>
      </c>
      <c r="H30" s="8" t="n">
        <f aca="false">$G$26-G30</f>
        <v>1239440.7018</v>
      </c>
      <c r="I30" s="9" t="n">
        <f aca="false">IF($G$26=0,0,H30/$G$26)</f>
        <v>0.332781014410328</v>
      </c>
      <c r="J30" s="8" t="n">
        <f aca="false">('Synertec Benchmark'!$D$8+'Synertec Benchmark'!$D$9)</f>
        <v>1825000</v>
      </c>
      <c r="K30" s="8" t="n">
        <f aca="false">G30-J30</f>
        <v>660052.7282</v>
      </c>
      <c r="L30" s="10" t="n">
        <f aca="false">IF(G30=0,0,(J30-G30)/G30)</f>
        <v>-0.265609144107818</v>
      </c>
    </row>
    <row r="31" customFormat="false" ht="15" hidden="false" customHeight="false" outlineLevel="0" collapsed="false">
      <c r="B31" s="13" t="s">
        <v>75</v>
      </c>
      <c r="C31" s="8" t="n">
        <f aca="false">SUM(Calculation!P132:Q132)</f>
        <v>12397</v>
      </c>
      <c r="D31" s="8" t="n">
        <f aca="false">SUM(Calculation!P126:Q126)</f>
        <v>2068508.3832</v>
      </c>
      <c r="E31" s="8" t="n">
        <f aca="false">SUM(Calculation!P127:Q127)</f>
        <v>697363.2225</v>
      </c>
      <c r="F31" s="8" t="n">
        <f aca="false">SUM(Calculation!P128:Q128)</f>
        <v>0</v>
      </c>
      <c r="G31" s="7" t="n">
        <f aca="false">SUM(D31:F31)</f>
        <v>2765871.6057</v>
      </c>
      <c r="H31" s="8" t="n">
        <f aca="false">$G$26-G31</f>
        <v>958621.8243</v>
      </c>
      <c r="I31" s="9" t="n">
        <f aca="false">IF($G$26=0,0,H31/$G$26)</f>
        <v>0.257383142786212</v>
      </c>
      <c r="J31" s="8" t="n">
        <f aca="false">('Synertec Benchmark'!$D$8+'Synertec Benchmark'!$D$9)</f>
        <v>1825000</v>
      </c>
      <c r="K31" s="8" t="n">
        <f aca="false">G31-J31</f>
        <v>940871.6057</v>
      </c>
      <c r="L31" s="10" t="n">
        <f aca="false">IF(G31=0,0,(J31-G31)/G31)</f>
        <v>-0.340171830015906</v>
      </c>
    </row>
    <row r="34" customFormat="false" ht="15" hidden="false" customHeight="false" outlineLevel="0" collapsed="false">
      <c r="B34" s="19" t="s">
        <v>78</v>
      </c>
    </row>
    <row r="35" customFormat="false" ht="31.5" hidden="false" customHeight="true" outlineLevel="0" collapsed="false">
      <c r="B35" s="5" t="s">
        <v>3</v>
      </c>
      <c r="C35" s="5" t="s">
        <v>25</v>
      </c>
      <c r="D35" s="5" t="s">
        <v>20</v>
      </c>
      <c r="E35" s="5" t="s">
        <v>21</v>
      </c>
      <c r="F35" s="5" t="s">
        <v>22</v>
      </c>
      <c r="G35" s="5" t="s">
        <v>67</v>
      </c>
      <c r="H35" s="5" t="s">
        <v>5</v>
      </c>
      <c r="I35" s="5" t="s">
        <v>6</v>
      </c>
      <c r="J35" s="5" t="s">
        <v>10</v>
      </c>
      <c r="K35" s="5" t="s">
        <v>68</v>
      </c>
      <c r="L35" s="5" t="s">
        <v>69</v>
      </c>
    </row>
    <row r="36" customFormat="false" ht="15" hidden="false" customHeight="false" outlineLevel="0" collapsed="false">
      <c r="B36" s="6" t="s">
        <v>70</v>
      </c>
      <c r="C36" s="8" t="n">
        <f aca="false">SUM(Calculation!R47:S47)</f>
        <v>5500</v>
      </c>
      <c r="D36" s="8" t="n">
        <f aca="false">SUM(Calculation!R41:S41)</f>
        <v>996230.76</v>
      </c>
      <c r="E36" s="8" t="n">
        <f aca="false">SUM(Calculation!R42:S42)</f>
        <v>272754.09</v>
      </c>
      <c r="F36" s="8" t="n">
        <f aca="false">SUM(Calculation!R43:S43)</f>
        <v>0</v>
      </c>
      <c r="G36" s="7" t="n">
        <f aca="false">SUM(D36:F36)</f>
        <v>1268984.85</v>
      </c>
      <c r="H36" s="8" t="n">
        <f aca="false">$G$36-G36</f>
        <v>0</v>
      </c>
      <c r="I36" s="9" t="n">
        <f aca="false">IF($G$36=0,0,H36/$G$36)</f>
        <v>0</v>
      </c>
      <c r="J36" s="8" t="n">
        <f aca="false">('Synertec Benchmark'!$D$10+'Synertec Benchmark'!$D$11)</f>
        <v>175000</v>
      </c>
      <c r="K36" s="8" t="n">
        <f aca="false">G36-J36</f>
        <v>1093984.85</v>
      </c>
      <c r="L36" s="10" t="n">
        <f aca="false">IF(G36=0,0,(J36-G36)/G36)</f>
        <v>-0.862094492302252</v>
      </c>
    </row>
    <row r="37" customFormat="false" ht="15" hidden="false" customHeight="false" outlineLevel="0" collapsed="false">
      <c r="B37" s="13" t="s">
        <v>71</v>
      </c>
      <c r="C37" s="8" t="n">
        <f aca="false">SUM(Calculation!R64:S64)</f>
        <v>5500</v>
      </c>
      <c r="D37" s="8" t="n">
        <f aca="false">SUM(Calculation!R58:S58)</f>
        <v>956381.5296</v>
      </c>
      <c r="E37" s="8" t="n">
        <f aca="false">SUM(Calculation!R59:S59)</f>
        <v>272754.09</v>
      </c>
      <c r="F37" s="8" t="n">
        <f aca="false">SUM(Calculation!R60:S60)</f>
        <v>0</v>
      </c>
      <c r="G37" s="7" t="n">
        <f aca="false">SUM(D37:F37)</f>
        <v>1229135.6196</v>
      </c>
      <c r="H37" s="8" t="n">
        <f aca="false">$G$36-G37</f>
        <v>39849.2304</v>
      </c>
      <c r="I37" s="9" t="n">
        <f aca="false">IF($G$36=0,0,H37/$G$36)</f>
        <v>0.0314024477124372</v>
      </c>
      <c r="J37" s="8" t="n">
        <f aca="false">('Synertec Benchmark'!$D$10+'Synertec Benchmark'!$D$11)</f>
        <v>175000</v>
      </c>
      <c r="K37" s="8" t="n">
        <f aca="false">G37-J37</f>
        <v>1054135.6196</v>
      </c>
      <c r="L37" s="10" t="n">
        <f aca="false">IF(G37=0,0,(J37-G37)/G37)</f>
        <v>-0.857623522409227</v>
      </c>
    </row>
    <row r="38" customFormat="false" ht="15" hidden="false" customHeight="false" outlineLevel="0" collapsed="false">
      <c r="B38" s="13" t="s">
        <v>72</v>
      </c>
      <c r="C38" s="8" t="n">
        <f aca="false">SUM(Calculation!R81:S81)</f>
        <v>4615</v>
      </c>
      <c r="D38" s="8" t="n">
        <f aca="false">SUM(Calculation!R75:S75)</f>
        <v>956381.5296</v>
      </c>
      <c r="E38" s="8" t="n">
        <f aca="false">SUM(Calculation!R76:S76)</f>
        <v>69416.34</v>
      </c>
      <c r="F38" s="8" t="n">
        <f aca="false">SUM(Calculation!R77:S77)</f>
        <v>0</v>
      </c>
      <c r="G38" s="7" t="n">
        <f aca="false">SUM(D38:F38)</f>
        <v>1025797.8696</v>
      </c>
      <c r="H38" s="8" t="n">
        <f aca="false">$G$36-G38</f>
        <v>243186.9804</v>
      </c>
      <c r="I38" s="9" t="n">
        <f aca="false">IF($G$36=0,0,H38/$G$36)</f>
        <v>0.191638994271681</v>
      </c>
      <c r="J38" s="8" t="n">
        <f aca="false">('Synertec Benchmark'!$D$10+'Synertec Benchmark'!$D$11)</f>
        <v>175000</v>
      </c>
      <c r="K38" s="8" t="n">
        <f aca="false">G38-J38</f>
        <v>850797.8696</v>
      </c>
      <c r="L38" s="10" t="n">
        <f aca="false">IF(G38=0,0,(J38-G38)/G38)</f>
        <v>-0.829401088473464</v>
      </c>
    </row>
    <row r="39" customFormat="false" ht="15" hidden="false" customHeight="false" outlineLevel="0" collapsed="false">
      <c r="B39" s="13" t="s">
        <v>73</v>
      </c>
      <c r="C39" s="8" t="n">
        <f aca="false">SUM(Calculation!R98:S98)</f>
        <v>2870</v>
      </c>
      <c r="D39" s="8" t="n">
        <f aca="false">SUM(Calculation!R92:S92)</f>
        <v>591926.7816</v>
      </c>
      <c r="E39" s="8" t="n">
        <f aca="false">SUM(Calculation!R93:S93)</f>
        <v>47390.2275</v>
      </c>
      <c r="F39" s="8" t="n">
        <f aca="false">SUM(Calculation!R94:S94)</f>
        <v>0</v>
      </c>
      <c r="G39" s="7" t="n">
        <f aca="false">SUM(D39:F39)</f>
        <v>639317.0091</v>
      </c>
      <c r="H39" s="8" t="n">
        <f aca="false">$G$36-G39</f>
        <v>629667.8409</v>
      </c>
      <c r="I39" s="9" t="n">
        <f aca="false">IF($G$36=0,0,H39/$G$36)</f>
        <v>0.496198075887194</v>
      </c>
      <c r="J39" s="8" t="n">
        <f aca="false">('Synertec Benchmark'!$D$10+'Synertec Benchmark'!$D$11)</f>
        <v>175000</v>
      </c>
      <c r="K39" s="8" t="n">
        <f aca="false">G39-J39</f>
        <v>464317.0091</v>
      </c>
      <c r="L39" s="10" t="n">
        <f aca="false">IF(G39=0,0,(J39-G39)/G39)</f>
        <v>-0.726270383066522</v>
      </c>
    </row>
    <row r="40" customFormat="false" ht="15" hidden="false" customHeight="false" outlineLevel="0" collapsed="false">
      <c r="B40" s="13" t="s">
        <v>74</v>
      </c>
      <c r="C40" s="8" t="n">
        <f aca="false">SUM(Calculation!R115:S115)</f>
        <v>3755</v>
      </c>
      <c r="D40" s="8" t="n">
        <f aca="false">SUM(Calculation!R109:S109)</f>
        <v>591926.7816</v>
      </c>
      <c r="E40" s="8" t="n">
        <f aca="false">SUM(Calculation!R110:S110)</f>
        <v>149059.1025</v>
      </c>
      <c r="F40" s="8" t="n">
        <f aca="false">SUM(Calculation!R111:S111)</f>
        <v>0</v>
      </c>
      <c r="G40" s="7" t="n">
        <f aca="false">SUM(D40:F40)</f>
        <v>740985.8841</v>
      </c>
      <c r="H40" s="8" t="n">
        <f aca="false">$G$36-G40</f>
        <v>527998.9659</v>
      </c>
      <c r="I40" s="9" t="n">
        <f aca="false">IF($G$36=0,0,H40/$G$36)</f>
        <v>0.416079802607572</v>
      </c>
      <c r="J40" s="8" t="n">
        <f aca="false">('Synertec Benchmark'!$D$10+'Synertec Benchmark'!$D$11)</f>
        <v>175000</v>
      </c>
      <c r="K40" s="8" t="n">
        <f aca="false">G40-J40</f>
        <v>565985.8841</v>
      </c>
      <c r="L40" s="10" t="n">
        <f aca="false">IF(G40=0,0,(J40-G40)/G40)</f>
        <v>-0.763828159543748</v>
      </c>
    </row>
    <row r="41" customFormat="false" ht="15" hidden="false" customHeight="false" outlineLevel="0" collapsed="false">
      <c r="B41" s="13" t="s">
        <v>75</v>
      </c>
      <c r="C41" s="8" t="n">
        <f aca="false">SUM(Calculation!R132:S132)</f>
        <v>3755</v>
      </c>
      <c r="D41" s="8" t="n">
        <f aca="false">SUM(Calculation!R126:S126)</f>
        <v>591926.7816</v>
      </c>
      <c r="E41" s="8" t="n">
        <f aca="false">SUM(Calculation!R127:S127)</f>
        <v>250727.9775</v>
      </c>
      <c r="F41" s="8" t="n">
        <f aca="false">SUM(Calculation!R128:S128)</f>
        <v>0</v>
      </c>
      <c r="G41" s="7" t="n">
        <f aca="false">SUM(D41:F41)</f>
        <v>842654.7591</v>
      </c>
      <c r="H41" s="8" t="n">
        <f aca="false">$G$36-G41</f>
        <v>426330.0909</v>
      </c>
      <c r="I41" s="9" t="n">
        <f aca="false">IF($G$36=0,0,H41/$G$36)</f>
        <v>0.335961529327951</v>
      </c>
      <c r="J41" s="8" t="n">
        <f aca="false">('Synertec Benchmark'!$D$10+'Synertec Benchmark'!$D$11)</f>
        <v>175000</v>
      </c>
      <c r="K41" s="8" t="n">
        <f aca="false">G41-J41</f>
        <v>667654.7591</v>
      </c>
      <c r="L41" s="10" t="n">
        <f aca="false">IF(G41=0,0,(J41-G41)/G41)</f>
        <v>-0.792323014722056</v>
      </c>
    </row>
    <row r="44" customFormat="false" ht="15" hidden="false" customHeight="false" outlineLevel="0" collapsed="false">
      <c r="B44" s="19" t="s">
        <v>79</v>
      </c>
    </row>
    <row r="45" customFormat="false" ht="31.5" hidden="false" customHeight="true" outlineLevel="0" collapsed="false">
      <c r="B45" s="5" t="s">
        <v>3</v>
      </c>
      <c r="C45" s="5" t="s">
        <v>25</v>
      </c>
      <c r="D45" s="5" t="s">
        <v>20</v>
      </c>
      <c r="E45" s="5" t="s">
        <v>21</v>
      </c>
      <c r="F45" s="5" t="s">
        <v>22</v>
      </c>
      <c r="G45" s="5" t="s">
        <v>67</v>
      </c>
      <c r="H45" s="5" t="s">
        <v>5</v>
      </c>
      <c r="I45" s="5" t="s">
        <v>6</v>
      </c>
      <c r="J45" s="5" t="s">
        <v>10</v>
      </c>
      <c r="K45" s="5" t="s">
        <v>68</v>
      </c>
      <c r="L45" s="5" t="s">
        <v>69</v>
      </c>
    </row>
    <row r="46" customFormat="false" ht="15" hidden="false" customHeight="false" outlineLevel="0" collapsed="false">
      <c r="B46" s="6" t="s">
        <v>70</v>
      </c>
      <c r="C46" s="8" t="n">
        <f aca="false">SUM(Calculation!M47:Q47)</f>
        <v>27222</v>
      </c>
      <c r="D46" s="8" t="n">
        <f aca="false">SUM(Calculation!M41:Q41)</f>
        <v>4861987.1475</v>
      </c>
      <c r="E46" s="8" t="n">
        <f aca="false">SUM(Calculation!M42:Q42)</f>
        <v>1320915.9075</v>
      </c>
      <c r="F46" s="8" t="n">
        <f aca="false">SUM(Calculation!M43:Q43)</f>
        <v>78836.1</v>
      </c>
      <c r="G46" s="7" t="n">
        <f aca="false">SUM(D46:F46)</f>
        <v>6261739.155</v>
      </c>
      <c r="H46" s="8" t="n">
        <f aca="false">$G$46-G46</f>
        <v>0</v>
      </c>
      <c r="I46" s="9" t="n">
        <f aca="false">IF($G$46=0,0,H46/$G$46)</f>
        <v>0</v>
      </c>
      <c r="J46" s="8" t="n">
        <f aca="false">('Synertec Benchmark'!$D$5+'Synertec Benchmark'!$D$6+'Synertec Benchmark'!$D$7+'Synertec Benchmark'!$D$8+'Synertec Benchmark'!$D$9)</f>
        <v>3634000</v>
      </c>
      <c r="K46" s="8" t="n">
        <f aca="false">G46-J46</f>
        <v>2627739.155</v>
      </c>
      <c r="L46" s="10" t="n">
        <f aca="false">IF(G46=0,0,(J46-G46)/G46)</f>
        <v>-0.419650050881112</v>
      </c>
    </row>
    <row r="47" customFormat="false" ht="15" hidden="false" customHeight="false" outlineLevel="0" collapsed="false">
      <c r="B47" s="13" t="s">
        <v>71</v>
      </c>
      <c r="C47" s="8" t="n">
        <f aca="false">SUM(Calculation!M64:Q64)</f>
        <v>27222</v>
      </c>
      <c r="D47" s="8" t="n">
        <f aca="false">SUM(Calculation!M58:Q58)</f>
        <v>4533975.0176</v>
      </c>
      <c r="E47" s="8" t="n">
        <f aca="false">SUM(Calculation!M59:Q59)</f>
        <v>1320915.9075</v>
      </c>
      <c r="F47" s="8" t="n">
        <f aca="false">SUM(Calculation!M60:Q60)</f>
        <v>78836.1</v>
      </c>
      <c r="G47" s="7" t="n">
        <f aca="false">SUM(D47:F47)</f>
        <v>5933727.0251</v>
      </c>
      <c r="H47" s="8" t="n">
        <f aca="false">$G$46-G47</f>
        <v>328012.1299</v>
      </c>
      <c r="I47" s="9" t="n">
        <f aca="false">IF($G$46=0,0,H47/$G$46)</f>
        <v>0.0523835506048</v>
      </c>
      <c r="J47" s="8" t="n">
        <f aca="false">('Synertec Benchmark'!$D$5+'Synertec Benchmark'!$D$6+'Synertec Benchmark'!$D$7+'Synertec Benchmark'!$D$8+'Synertec Benchmark'!$D$9)</f>
        <v>3634000</v>
      </c>
      <c r="K47" s="8" t="n">
        <f aca="false">G47-J47</f>
        <v>2299727.0251</v>
      </c>
      <c r="L47" s="10" t="n">
        <f aca="false">IF(G47=0,0,(J47-G47)/G47)</f>
        <v>-0.387568726261256</v>
      </c>
    </row>
    <row r="48" customFormat="false" ht="15" hidden="false" customHeight="false" outlineLevel="0" collapsed="false">
      <c r="B48" s="13" t="s">
        <v>72</v>
      </c>
      <c r="C48" s="8" t="n">
        <f aca="false">SUM(Calculation!M81:Q81)</f>
        <v>22800</v>
      </c>
      <c r="D48" s="8" t="n">
        <f aca="false">SUM(Calculation!M75:Q75)</f>
        <v>4533975.0176</v>
      </c>
      <c r="E48" s="8" t="n">
        <f aca="false">SUM(Calculation!M76:Q76)</f>
        <v>302538.1275</v>
      </c>
      <c r="F48" s="8" t="n">
        <f aca="false">SUM(Calculation!M77:Q77)</f>
        <v>78836.1</v>
      </c>
      <c r="G48" s="7" t="n">
        <f aca="false">SUM(D48:F48)</f>
        <v>4915349.2451</v>
      </c>
      <c r="H48" s="8" t="n">
        <f aca="false">$G$46-G48</f>
        <v>1346389.9099</v>
      </c>
      <c r="I48" s="9" t="n">
        <f aca="false">IF($G$46=0,0,H48/$G$46)</f>
        <v>0.215018523859287</v>
      </c>
      <c r="J48" s="8" t="n">
        <f aca="false">('Synertec Benchmark'!$D$5+'Synertec Benchmark'!$D$6+'Synertec Benchmark'!$D$7+'Synertec Benchmark'!$D$8+'Synertec Benchmark'!$D$9)</f>
        <v>3634000</v>
      </c>
      <c r="K48" s="8" t="n">
        <f aca="false">G48-J48</f>
        <v>1281349.2451</v>
      </c>
      <c r="L48" s="10" t="n">
        <f aca="false">IF(G48=0,0,(J48-G48)/G48)</f>
        <v>-0.260683255900351</v>
      </c>
    </row>
    <row r="49" customFormat="false" ht="15" hidden="false" customHeight="false" outlineLevel="0" collapsed="false">
      <c r="B49" s="13" t="s">
        <v>73</v>
      </c>
      <c r="C49" s="8" t="n">
        <f aca="false">SUM(Calculation!M98:Q98)</f>
        <v>17350</v>
      </c>
      <c r="D49" s="8" t="n">
        <f aca="false">SUM(Calculation!M92:Q92)</f>
        <v>3411906.39066667</v>
      </c>
      <c r="E49" s="8" t="n">
        <f aca="false">SUM(Calculation!M93:Q93)</f>
        <v>246559.425</v>
      </c>
      <c r="F49" s="8" t="n">
        <f aca="false">SUM(Calculation!M94:Q94)</f>
        <v>78836.1</v>
      </c>
      <c r="G49" s="7" t="n">
        <f aca="false">SUM(D49:F49)</f>
        <v>3737301.91566667</v>
      </c>
      <c r="H49" s="8" t="n">
        <f aca="false">$G$46-G49</f>
        <v>2524437.23933333</v>
      </c>
      <c r="I49" s="9" t="n">
        <f aca="false">IF($G$46=0,0,H49/$G$46)</f>
        <v>0.403152730710216</v>
      </c>
      <c r="J49" s="8" t="n">
        <f aca="false">('Synertec Benchmark'!$D$5+'Synertec Benchmark'!$D$6+'Synertec Benchmark'!$D$7+'Synertec Benchmark'!$D$8+'Synertec Benchmark'!$D$9)</f>
        <v>3634000</v>
      </c>
      <c r="K49" s="8" t="n">
        <f aca="false">G49-J49</f>
        <v>103301.915666667</v>
      </c>
      <c r="L49" s="10" t="n">
        <f aca="false">IF(G49=0,0,(J49-G49)/G49)</f>
        <v>-0.0276407734771515</v>
      </c>
    </row>
    <row r="50" customFormat="false" ht="15" hidden="false" customHeight="false" outlineLevel="0" collapsed="false">
      <c r="B50" s="13" t="s">
        <v>74</v>
      </c>
      <c r="C50" s="8" t="n">
        <f aca="false">SUM(Calculation!M115:Q115)</f>
        <v>21772</v>
      </c>
      <c r="D50" s="8" t="n">
        <f aca="false">SUM(Calculation!M109:Q109)</f>
        <v>3411906.39066667</v>
      </c>
      <c r="E50" s="8" t="n">
        <f aca="false">SUM(Calculation!M110:Q110)</f>
        <v>755748.315</v>
      </c>
      <c r="F50" s="8" t="n">
        <f aca="false">SUM(Calculation!M111:Q111)</f>
        <v>78836.1</v>
      </c>
      <c r="G50" s="7" t="n">
        <f aca="false">SUM(D50:F50)</f>
        <v>4246490.80566667</v>
      </c>
      <c r="H50" s="8" t="n">
        <f aca="false">$G$46-G50</f>
        <v>2015248.34933333</v>
      </c>
      <c r="I50" s="9" t="n">
        <f aca="false">IF($G$46=0,0,H50/$G$46)</f>
        <v>0.321835244082973</v>
      </c>
      <c r="J50" s="8" t="n">
        <f aca="false">('Synertec Benchmark'!$D$5+'Synertec Benchmark'!$D$6+'Synertec Benchmark'!$D$7+'Synertec Benchmark'!$D$8+'Synertec Benchmark'!$D$9)</f>
        <v>3634000</v>
      </c>
      <c r="K50" s="8" t="n">
        <f aca="false">G50-J50</f>
        <v>612490.805666667</v>
      </c>
      <c r="L50" s="10" t="n">
        <f aca="false">IF(G50=0,0,(J50-G50)/G50)</f>
        <v>-0.144234577135864</v>
      </c>
    </row>
    <row r="51" customFormat="false" ht="15" hidden="false" customHeight="false" outlineLevel="0" collapsed="false">
      <c r="B51" s="13" t="s">
        <v>75</v>
      </c>
      <c r="C51" s="8" t="n">
        <f aca="false">SUM(Calculation!M132:Q132)</f>
        <v>21772</v>
      </c>
      <c r="D51" s="8" t="n">
        <f aca="false">SUM(Calculation!M126:Q126)</f>
        <v>3411906.39066667</v>
      </c>
      <c r="E51" s="8" t="n">
        <f aca="false">SUM(Calculation!M127:Q127)</f>
        <v>1264937.205</v>
      </c>
      <c r="F51" s="8" t="n">
        <f aca="false">SUM(Calculation!M128:Q128)</f>
        <v>78836.1</v>
      </c>
      <c r="G51" s="7" t="n">
        <f aca="false">SUM(D51:F51)</f>
        <v>4755679.69566667</v>
      </c>
      <c r="H51" s="8" t="n">
        <f aca="false">$G$46-G51</f>
        <v>1506059.45933333</v>
      </c>
      <c r="I51" s="9" t="n">
        <f aca="false">IF($G$46=0,0,H51/$G$46)</f>
        <v>0.240517757455729</v>
      </c>
      <c r="J51" s="8" t="n">
        <f aca="false">('Synertec Benchmark'!$D$5+'Synertec Benchmark'!$D$6+'Synertec Benchmark'!$D$7+'Synertec Benchmark'!$D$8+'Synertec Benchmark'!$D$9)</f>
        <v>3634000</v>
      </c>
      <c r="K51" s="8" t="n">
        <f aca="false">G51-J51</f>
        <v>1121679.69566667</v>
      </c>
      <c r="L51" s="10" t="n">
        <f aca="false">IF(G51=0,0,(J51-G51)/G51)</f>
        <v>-0.235861068752955</v>
      </c>
    </row>
    <row r="54" customFormat="false" ht="15" hidden="false" customHeight="false" outlineLevel="0" collapsed="false">
      <c r="B54" s="18"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B1:M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38"/>
    <col collapsed="false" customWidth="true" hidden="false" outlineLevel="0" max="4" min="4" style="0" width="20"/>
    <col collapsed="false" customWidth="true" hidden="false" outlineLevel="0" max="5" min="5" style="0" width="18"/>
    <col collapsed="false" customWidth="true" hidden="false" outlineLevel="0" max="13" min="6" style="0" width="14"/>
  </cols>
  <sheetData>
    <row r="1" customFormat="false" ht="17.35" hidden="false" customHeight="false" outlineLevel="0" collapsed="false">
      <c r="B1" s="17" t="s">
        <v>81</v>
      </c>
    </row>
    <row r="2" customFormat="false" ht="15" hidden="false" customHeight="false" outlineLevel="0" collapsed="false">
      <c r="B2" s="18" t="s">
        <v>82</v>
      </c>
    </row>
    <row r="4" customFormat="false" ht="31.5" hidden="false" customHeight="true" outlineLevel="0" collapsed="false">
      <c r="B4" s="5" t="s">
        <v>83</v>
      </c>
      <c r="C4" s="5" t="s">
        <v>84</v>
      </c>
      <c r="D4" s="5" t="s">
        <v>85</v>
      </c>
      <c r="E4" s="5" t="s">
        <v>86</v>
      </c>
      <c r="F4" s="5" t="s">
        <v>68</v>
      </c>
      <c r="G4" s="5" t="s">
        <v>69</v>
      </c>
    </row>
    <row r="5" customFormat="false" ht="15" hidden="false" customHeight="false" outlineLevel="0" collapsed="false">
      <c r="B5" s="32" t="s">
        <v>87</v>
      </c>
      <c r="C5" s="13" t="s">
        <v>88</v>
      </c>
      <c r="D5" s="33" t="n">
        <v>106000</v>
      </c>
      <c r="E5" s="8" t="n">
        <f aca="false">Calculation!M44</f>
        <v>335082.825</v>
      </c>
      <c r="F5" s="7" t="n">
        <f aca="false">E5-D5</f>
        <v>229082.825</v>
      </c>
      <c r="G5" s="34" t="n">
        <f aca="false">IF(E5=0,0,(D5-E5)/E5)</f>
        <v>-0.6836603010017</v>
      </c>
    </row>
    <row r="6" customFormat="false" ht="15" hidden="false" customHeight="false" outlineLevel="0" collapsed="false">
      <c r="B6" s="32" t="s">
        <v>89</v>
      </c>
      <c r="C6" s="13" t="s">
        <v>90</v>
      </c>
      <c r="D6" s="33" t="n">
        <v>453000</v>
      </c>
      <c r="E6" s="8" t="n">
        <f aca="false">Calculation!N44</f>
        <v>732839.1</v>
      </c>
      <c r="F6" s="7" t="n">
        <f aca="false">E6-D6</f>
        <v>279839.1</v>
      </c>
      <c r="G6" s="34" t="n">
        <f aca="false">IF(E6=0,0,(D6-E6)/E6)</f>
        <v>-0.381856126399369</v>
      </c>
    </row>
    <row r="7" customFormat="false" ht="15" hidden="false" customHeight="false" outlineLevel="0" collapsed="false">
      <c r="B7" s="32" t="s">
        <v>91</v>
      </c>
      <c r="C7" s="13" t="s">
        <v>92</v>
      </c>
      <c r="D7" s="33" t="n">
        <v>1250000</v>
      </c>
      <c r="E7" s="8" t="n">
        <f aca="false">Calculation!O44</f>
        <v>1469323.8</v>
      </c>
      <c r="F7" s="7" t="n">
        <f aca="false">E7-D7</f>
        <v>219323.8</v>
      </c>
      <c r="G7" s="34" t="n">
        <f aca="false">IF(E7=0,0,(D7-E7)/E7)</f>
        <v>-0.149268527468214</v>
      </c>
    </row>
    <row r="8" customFormat="false" ht="15" hidden="false" customHeight="false" outlineLevel="0" collapsed="false">
      <c r="B8" s="32" t="s">
        <v>93</v>
      </c>
      <c r="C8" s="13" t="s">
        <v>94</v>
      </c>
      <c r="D8" s="33" t="n">
        <v>1455000</v>
      </c>
      <c r="E8" s="8" t="n">
        <f aca="false">Calculation!P44</f>
        <v>3183882.555</v>
      </c>
      <c r="F8" s="7" t="n">
        <f aca="false">E8-D8</f>
        <v>1728882.555</v>
      </c>
      <c r="G8" s="34" t="n">
        <f aca="false">IF(E8=0,0,(D8-E8)/E8)</f>
        <v>-0.543010781690093</v>
      </c>
    </row>
    <row r="9" customFormat="false" ht="15" hidden="false" customHeight="false" outlineLevel="0" collapsed="false">
      <c r="B9" s="32" t="s">
        <v>95</v>
      </c>
      <c r="C9" s="13" t="s">
        <v>96</v>
      </c>
      <c r="D9" s="33" t="n">
        <v>370000</v>
      </c>
      <c r="E9" s="8" t="n">
        <f aca="false">Calculation!Q44</f>
        <v>540610.875</v>
      </c>
      <c r="F9" s="7" t="n">
        <f aca="false">E9-D9</f>
        <v>170610.875</v>
      </c>
      <c r="G9" s="34" t="n">
        <f aca="false">IF(E9=0,0,(D9-E9)/E9)</f>
        <v>-0.315589054696689</v>
      </c>
    </row>
    <row r="10" customFormat="false" ht="15" hidden="false" customHeight="false" outlineLevel="0" collapsed="false">
      <c r="B10" s="32" t="s">
        <v>97</v>
      </c>
      <c r="C10" s="13" t="s">
        <v>98</v>
      </c>
      <c r="D10" s="33" t="n">
        <v>102000</v>
      </c>
      <c r="E10" s="8" t="n">
        <f aca="false">Calculation!R44</f>
        <v>775079.55</v>
      </c>
      <c r="F10" s="7" t="n">
        <f aca="false">E10-D10</f>
        <v>673079.55</v>
      </c>
      <c r="G10" s="34" t="n">
        <f aca="false">IF(E10=0,0,(D10-E10)/E10)</f>
        <v>-0.868400604815338</v>
      </c>
    </row>
    <row r="11" customFormat="false" ht="15" hidden="false" customHeight="false" outlineLevel="0" collapsed="false">
      <c r="B11" s="32" t="s">
        <v>99</v>
      </c>
      <c r="C11" s="13" t="s">
        <v>100</v>
      </c>
      <c r="D11" s="33" t="n">
        <v>73000</v>
      </c>
      <c r="E11" s="8" t="n">
        <f aca="false">Calculation!S44</f>
        <v>493905.3</v>
      </c>
      <c r="F11" s="7" t="n">
        <f aca="false">E11-D11</f>
        <v>420905.3</v>
      </c>
      <c r="G11" s="34" t="n">
        <f aca="false">IF(E11=0,0,(D11-E11)/E11)</f>
        <v>-0.852198387018726</v>
      </c>
    </row>
    <row r="12" customFormat="false" ht="15" hidden="false" customHeight="false" outlineLevel="0" collapsed="false">
      <c r="B12" s="32" t="s">
        <v>101</v>
      </c>
      <c r="C12" s="25"/>
      <c r="D12" s="7" t="n">
        <f aca="false">SUM(D5:D11)</f>
        <v>3809000</v>
      </c>
      <c r="E12" s="7" t="n">
        <f aca="false">SUM(E5:E11)</f>
        <v>7530724.005</v>
      </c>
      <c r="F12" s="7" t="n">
        <f aca="false">SUM(F5:F11)</f>
        <v>3721724.005</v>
      </c>
      <c r="G12" s="35" t="n">
        <f aca="false">IF(E12=0,0,(D12-E12)/E12)</f>
        <v>-0.494205338361753</v>
      </c>
    </row>
    <row r="15" customFormat="false" ht="15" hidden="false" customHeight="false" outlineLevel="0" collapsed="false">
      <c r="B15" s="19" t="s">
        <v>102</v>
      </c>
    </row>
    <row r="16" customFormat="false" ht="42" hidden="false" customHeight="true" outlineLevel="0" collapsed="false">
      <c r="B16" s="36"/>
      <c r="C16" s="36"/>
      <c r="D16" s="29" t="s">
        <v>71</v>
      </c>
      <c r="E16" s="29"/>
      <c r="F16" s="37" t="s">
        <v>72</v>
      </c>
      <c r="G16" s="37"/>
      <c r="H16" s="38" t="s">
        <v>73</v>
      </c>
      <c r="I16" s="38"/>
      <c r="J16" s="39" t="s">
        <v>74</v>
      </c>
      <c r="K16" s="39"/>
      <c r="L16" s="40" t="s">
        <v>75</v>
      </c>
      <c r="M16" s="40"/>
    </row>
    <row r="17" customFormat="false" ht="15" hidden="false" customHeight="false" outlineLevel="0" collapsed="false">
      <c r="B17" s="41" t="s">
        <v>83</v>
      </c>
      <c r="C17" s="41" t="s">
        <v>103</v>
      </c>
      <c r="D17" s="42" t="s">
        <v>104</v>
      </c>
      <c r="E17" s="42" t="s">
        <v>69</v>
      </c>
      <c r="F17" s="42" t="s">
        <v>104</v>
      </c>
      <c r="G17" s="42" t="s">
        <v>69</v>
      </c>
      <c r="H17" s="42" t="s">
        <v>104</v>
      </c>
      <c r="I17" s="42" t="s">
        <v>69</v>
      </c>
      <c r="J17" s="42" t="s">
        <v>104</v>
      </c>
      <c r="K17" s="42" t="s">
        <v>69</v>
      </c>
      <c r="L17" s="42" t="s">
        <v>104</v>
      </c>
      <c r="M17" s="42" t="s">
        <v>69</v>
      </c>
    </row>
    <row r="18" customFormat="false" ht="15" hidden="false" customHeight="false" outlineLevel="0" collapsed="false">
      <c r="B18" s="32" t="s">
        <v>87</v>
      </c>
      <c r="C18" s="8" t="n">
        <f aca="false">'Synertec Benchmark'!$D$5</f>
        <v>106000</v>
      </c>
      <c r="D18" s="8" t="n">
        <f aca="false">Calculation!M61</f>
        <v>329748.3567</v>
      </c>
      <c r="E18" s="34" t="n">
        <f aca="false">IF(D18=0,0,($C18-D18)/D18)</f>
        <v>-0.678542749808342</v>
      </c>
      <c r="F18" s="8" t="n">
        <f aca="false">Calculation!M78</f>
        <v>221681.3067</v>
      </c>
      <c r="G18" s="34" t="n">
        <f aca="false">IF(F18=0,0,($C18-F18)/F18)</f>
        <v>-0.521836091739349</v>
      </c>
      <c r="H18" s="8" t="n">
        <f aca="false">Calculation!M95</f>
        <v>221681.3067</v>
      </c>
      <c r="I18" s="34" t="n">
        <f aca="false">IF(H18=0,0,($C18-H18)/H18)</f>
        <v>-0.521836091739349</v>
      </c>
      <c r="J18" s="8" t="n">
        <f aca="false">Calculation!M112</f>
        <v>275714.8317</v>
      </c>
      <c r="K18" s="34" t="n">
        <f aca="false">IF(J18=0,0,($C18-J18)/J18)</f>
        <v>-0.615544802771668</v>
      </c>
      <c r="L18" s="8" t="n">
        <f aca="false">Calculation!M129</f>
        <v>329748.3567</v>
      </c>
      <c r="M18" s="34" t="n">
        <f aca="false">IF(L18=0,0,($C18-L18)/L18)</f>
        <v>-0.678542749808342</v>
      </c>
    </row>
    <row r="19" customFormat="false" ht="15" hidden="false" customHeight="false" outlineLevel="0" collapsed="false">
      <c r="B19" s="32" t="s">
        <v>89</v>
      </c>
      <c r="C19" s="8" t="n">
        <f aca="false">'Synertec Benchmark'!$D$6</f>
        <v>453000</v>
      </c>
      <c r="D19" s="8" t="n">
        <f aca="false">Calculation!N61</f>
        <v>577845.8525</v>
      </c>
      <c r="E19" s="34" t="n">
        <f aca="false">IF(D19=0,0,($C19-D19)/D19)</f>
        <v>-0.216053904271987</v>
      </c>
      <c r="F19" s="8" t="n">
        <f aca="false">Calculation!N78</f>
        <v>418979.2775</v>
      </c>
      <c r="G19" s="34" t="n">
        <f aca="false">IF(F19=0,0,($C19-F19)/F19)</f>
        <v>0.0811990576311978</v>
      </c>
      <c r="H19" s="8" t="n">
        <f aca="false">Calculation!N95</f>
        <v>348056.024166667</v>
      </c>
      <c r="I19" s="34" t="n">
        <f aca="false">IF(H19=0,0,($C19-H19)/H19)</f>
        <v>0.301514608415687</v>
      </c>
      <c r="J19" s="8" t="n">
        <f aca="false">Calculation!N112</f>
        <v>427489.311666667</v>
      </c>
      <c r="K19" s="34" t="n">
        <f aca="false">IF(J19=0,0,($C19-J19)/J19)</f>
        <v>0.0596756167630812</v>
      </c>
      <c r="L19" s="8" t="n">
        <f aca="false">Calculation!N129</f>
        <v>506922.599166667</v>
      </c>
      <c r="M19" s="34" t="n">
        <f aca="false">IF(L19=0,0,($C19-L19)/L19)</f>
        <v>-0.106372450656787</v>
      </c>
    </row>
    <row r="20" customFormat="false" ht="15" hidden="false" customHeight="false" outlineLevel="0" collapsed="false">
      <c r="B20" s="32" t="s">
        <v>91</v>
      </c>
      <c r="C20" s="8" t="n">
        <f aca="false">'Synertec Benchmark'!$D$7</f>
        <v>1250000</v>
      </c>
      <c r="D20" s="8" t="n">
        <f aca="false">Calculation!O61</f>
        <v>1420807.2291</v>
      </c>
      <c r="E20" s="34" t="n">
        <f aca="false">IF(D20=0,0,($C20-D20)/D20)</f>
        <v>-0.120218440335637</v>
      </c>
      <c r="F20" s="8" t="n">
        <f aca="false">Calculation!O78</f>
        <v>1231000.8291</v>
      </c>
      <c r="G20" s="34" t="n">
        <f aca="false">IF(F20=0,0,($C20-F20)/F20)</f>
        <v>0.0154339220988913</v>
      </c>
      <c r="H20" s="8" t="n">
        <f aca="false">Calculation!O95</f>
        <v>963330.7341</v>
      </c>
      <c r="I20" s="34" t="n">
        <f aca="false">IF(H20=0,0,($C20-H20)/H20)</f>
        <v>0.297581355761293</v>
      </c>
      <c r="J20" s="8" t="n">
        <f aca="false">Calculation!O112</f>
        <v>1058233.9341</v>
      </c>
      <c r="K20" s="34" t="n">
        <f aca="false">IF(J20=0,0,($C20-J20)/J20)</f>
        <v>0.181213302390546</v>
      </c>
      <c r="L20" s="8" t="n">
        <f aca="false">Calculation!O129</f>
        <v>1153137.1341</v>
      </c>
      <c r="M20" s="34" t="n">
        <f aca="false">IF(L20=0,0,($C20-L20)/L20)</f>
        <v>0.0839994334026886</v>
      </c>
    </row>
    <row r="21" customFormat="false" ht="15" hidden="false" customHeight="false" outlineLevel="0" collapsed="false">
      <c r="B21" s="32" t="s">
        <v>93</v>
      </c>
      <c r="C21" s="8" t="n">
        <f aca="false">'Synertec Benchmark'!$D$8</f>
        <v>1455000</v>
      </c>
      <c r="D21" s="8" t="n">
        <f aca="false">Calculation!P61</f>
        <v>3079920.0978</v>
      </c>
      <c r="E21" s="34" t="n">
        <f aca="false">IF(D21=0,0,($C21-D21)/D21)</f>
        <v>-0.527585147082448</v>
      </c>
      <c r="F21" s="8" t="n">
        <f aca="false">Calculation!P78</f>
        <v>2646815.4678</v>
      </c>
      <c r="G21" s="34" t="n">
        <f aca="false">IF(F21=0,0,($C21-F21)/F21)</f>
        <v>-0.45028279541929</v>
      </c>
      <c r="H21" s="8" t="n">
        <f aca="false">Calculation!P95</f>
        <v>2045662.5987</v>
      </c>
      <c r="I21" s="34" t="n">
        <f aca="false">IF(H21=0,0,($C21-H21)/H21)</f>
        <v>-0.288739012521107</v>
      </c>
      <c r="J21" s="8" t="n">
        <f aca="false">Calculation!P112</f>
        <v>2262214.9137</v>
      </c>
      <c r="K21" s="34" t="n">
        <f aca="false">IF(J21=0,0,($C21-J21)/J21)</f>
        <v>-0.35682503409004</v>
      </c>
      <c r="L21" s="8" t="n">
        <f aca="false">Calculation!P129</f>
        <v>2478767.2287</v>
      </c>
      <c r="M21" s="34" t="n">
        <f aca="false">IF(L21=0,0,($C21-L21)/L21)</f>
        <v>-0.413014669891743</v>
      </c>
    </row>
    <row r="22" customFormat="false" ht="15" hidden="false" customHeight="false" outlineLevel="0" collapsed="false">
      <c r="B22" s="32" t="s">
        <v>95</v>
      </c>
      <c r="C22" s="8" t="n">
        <f aca="false">'Synertec Benchmark'!$D$9</f>
        <v>370000</v>
      </c>
      <c r="D22" s="8" t="n">
        <f aca="false">Calculation!Q61</f>
        <v>525405.489</v>
      </c>
      <c r="E22" s="34" t="n">
        <f aca="false">IF(D22=0,0,($C22-D22)/D22)</f>
        <v>-0.295782005048676</v>
      </c>
      <c r="F22" s="8" t="n">
        <f aca="false">Calculation!Q78</f>
        <v>396872.364</v>
      </c>
      <c r="G22" s="34" t="n">
        <f aca="false">IF(F22=0,0,($C22-F22)/F22)</f>
        <v>-0.0677103432679429</v>
      </c>
      <c r="H22" s="8" t="n">
        <f aca="false">Calculation!Q95</f>
        <v>158571.252</v>
      </c>
      <c r="I22" s="34" t="n">
        <f aca="false">IF(H22=0,0,($C22-H22)/H22)</f>
        <v>1.33333593153442</v>
      </c>
      <c r="J22" s="8" t="n">
        <f aca="false">Calculation!Q112</f>
        <v>222837.8145</v>
      </c>
      <c r="K22" s="34" t="n">
        <f aca="false">IF(J22=0,0,($C22-J22)/J22)</f>
        <v>0.660400416465222</v>
      </c>
      <c r="L22" s="8" t="n">
        <f aca="false">Calculation!Q129</f>
        <v>287104.377</v>
      </c>
      <c r="M22" s="34" t="n">
        <f aca="false">IF(L22=0,0,($C22-L22)/L22)</f>
        <v>0.288729917203596</v>
      </c>
    </row>
    <row r="23" customFormat="false" ht="15" hidden="false" customHeight="false" outlineLevel="0" collapsed="false">
      <c r="B23" s="32" t="s">
        <v>97</v>
      </c>
      <c r="C23" s="8" t="n">
        <f aca="false">'Synertec Benchmark'!$D$10</f>
        <v>102000</v>
      </c>
      <c r="D23" s="8" t="n">
        <f aca="false">Calculation!R61</f>
        <v>751719.0597</v>
      </c>
      <c r="E23" s="34" t="n">
        <f aca="false">IF(D23=0,0,($C23-D23)/D23)</f>
        <v>-0.864311009966002</v>
      </c>
      <c r="F23" s="8" t="n">
        <f aca="false">Calculation!R78</f>
        <v>604829.3097</v>
      </c>
      <c r="G23" s="34" t="n">
        <f aca="false">IF(F23=0,0,($C23-F23)/F23)</f>
        <v>-0.83135737907511</v>
      </c>
      <c r="H23" s="8" t="n">
        <f aca="false">Calculation!R95</f>
        <v>349428.2463</v>
      </c>
      <c r="I23" s="34" t="n">
        <f aca="false">IF(H23=0,0,($C23-H23)/H23)</f>
        <v>-0.708094577126921</v>
      </c>
      <c r="J23" s="8" t="n">
        <f aca="false">Calculation!R112</f>
        <v>422873.1213</v>
      </c>
      <c r="K23" s="34" t="n">
        <f aca="false">IF(J23=0,0,($C23-J23)/J23)</f>
        <v>-0.758792898242313</v>
      </c>
      <c r="L23" s="8" t="n">
        <f aca="false">Calculation!R129</f>
        <v>496317.9963</v>
      </c>
      <c r="M23" s="34" t="n">
        <f aca="false">IF(L23=0,0,($C23-L23)/L23)</f>
        <v>-0.794486597785292</v>
      </c>
    </row>
    <row r="24" customFormat="false" ht="15" hidden="false" customHeight="false" outlineLevel="0" collapsed="false">
      <c r="B24" s="32" t="s">
        <v>99</v>
      </c>
      <c r="C24" s="8" t="n">
        <f aca="false">'Synertec Benchmark'!$D$11</f>
        <v>73000</v>
      </c>
      <c r="D24" s="8" t="n">
        <f aca="false">Calculation!S61</f>
        <v>477416.5599</v>
      </c>
      <c r="E24" s="34" t="n">
        <f aca="false">IF(D24=0,0,($C24-D24)/D24)</f>
        <v>-0.847093699440818</v>
      </c>
      <c r="F24" s="8" t="n">
        <f aca="false">Calculation!S78</f>
        <v>420968.5599</v>
      </c>
      <c r="G24" s="34" t="n">
        <f aca="false">IF(F24=0,0,($C24-F24)/F24)</f>
        <v>-0.826590375259043</v>
      </c>
      <c r="H24" s="8" t="n">
        <f aca="false">Calculation!S95</f>
        <v>289888.7628</v>
      </c>
      <c r="I24" s="34" t="n">
        <f aca="false">IF(H24=0,0,($C24-H24)/H24)</f>
        <v>-0.748179269541524</v>
      </c>
      <c r="J24" s="8" t="n">
        <f aca="false">Calculation!S112</f>
        <v>318112.7628</v>
      </c>
      <c r="K24" s="34" t="n">
        <f aca="false">IF(J24=0,0,($C24-J24)/J24)</f>
        <v>-0.770521624604242</v>
      </c>
      <c r="L24" s="8" t="n">
        <f aca="false">Calculation!S129</f>
        <v>346336.7628</v>
      </c>
      <c r="M24" s="34" t="n">
        <f aca="false">IF(L24=0,0,($C24-L24)/L24)</f>
        <v>-0.789222491398768</v>
      </c>
    </row>
    <row r="25" customFormat="false" ht="15" hidden="false" customHeight="false" outlineLevel="0" collapsed="false">
      <c r="B25" s="43" t="s">
        <v>105</v>
      </c>
      <c r="C25" s="44" t="n">
        <f aca="false">('Synertec Benchmark'!$D$5+'Synertec Benchmark'!$D$6+'Synertec Benchmark'!$D$7)</f>
        <v>1809000</v>
      </c>
      <c r="D25" s="44" t="n">
        <f aca="false">SUM(Calculation!M61:O61)</f>
        <v>2328401.4383</v>
      </c>
      <c r="E25" s="10" t="n">
        <f aca="false">IF(D25=0,0,($C25-D25)/D25)</f>
        <v>-0.223072117099886</v>
      </c>
      <c r="F25" s="44" t="n">
        <f aca="false">SUM(Calculation!M78:O78)</f>
        <v>1871661.4133</v>
      </c>
      <c r="G25" s="10" t="n">
        <f aca="false">IF(F25=0,0,($C25-F25)/F25)</f>
        <v>-0.0334790325080855</v>
      </c>
      <c r="H25" s="44" t="n">
        <f aca="false">SUM(Calculation!M95:O95)</f>
        <v>1533068.06496667</v>
      </c>
      <c r="I25" s="10" t="n">
        <f aca="false">IF(H25=0,0,($C25-H25)/H25)</f>
        <v>0.179986747711253</v>
      </c>
      <c r="J25" s="44" t="n">
        <f aca="false">SUM(Calculation!M112:O112)</f>
        <v>1761438.07746667</v>
      </c>
      <c r="K25" s="10" t="n">
        <f aca="false">IF(J25=0,0,($C25-J25)/J25)</f>
        <v>0.0270017567700919</v>
      </c>
      <c r="L25" s="44" t="n">
        <f aca="false">SUM(Calculation!M129:O129)</f>
        <v>1989808.08996667</v>
      </c>
      <c r="M25" s="10" t="n">
        <f aca="false">IF(L25=0,0,($C25-L25)/L25)</f>
        <v>-0.0908670996355711</v>
      </c>
    </row>
    <row r="26" customFormat="false" ht="15" hidden="false" customHeight="false" outlineLevel="0" collapsed="false">
      <c r="B26" s="43" t="s">
        <v>106</v>
      </c>
      <c r="C26" s="44" t="n">
        <f aca="false">('Synertec Benchmark'!$D$8+'Synertec Benchmark'!$D$9)</f>
        <v>1825000</v>
      </c>
      <c r="D26" s="44" t="n">
        <f aca="false">SUM(Calculation!P61:Q61)</f>
        <v>3605325.5868</v>
      </c>
      <c r="E26" s="10" t="n">
        <f aca="false">IF(D26=0,0,($C26-D26)/D26)</f>
        <v>-0.49380438574486</v>
      </c>
      <c r="F26" s="44" t="n">
        <f aca="false">SUM(Calculation!P78:Q78)</f>
        <v>3043687.8318</v>
      </c>
      <c r="G26" s="10" t="n">
        <f aca="false">IF(F26=0,0,($C26-F26)/F26)</f>
        <v>-0.400398430833586</v>
      </c>
      <c r="H26" s="44" t="n">
        <f aca="false">SUM(Calculation!P95:Q95)</f>
        <v>2204233.8507</v>
      </c>
      <c r="I26" s="10" t="n">
        <f aca="false">IF(H26=0,0,($C26-H26)/H26)</f>
        <v>-0.172047920677548</v>
      </c>
      <c r="J26" s="44" t="n">
        <f aca="false">SUM(Calculation!P112:Q112)</f>
        <v>2485052.7282</v>
      </c>
      <c r="K26" s="10" t="n">
        <f aca="false">IF(J26=0,0,($C26-J26)/J26)</f>
        <v>-0.265609144107818</v>
      </c>
      <c r="L26" s="44" t="n">
        <f aca="false">SUM(Calculation!P129:Q129)</f>
        <v>2765871.6057</v>
      </c>
      <c r="M26" s="10" t="n">
        <f aca="false">IF(L26=0,0,($C26-L26)/L26)</f>
        <v>-0.340171830015905</v>
      </c>
    </row>
    <row r="27" customFormat="false" ht="15" hidden="false" customHeight="false" outlineLevel="0" collapsed="false">
      <c r="B27" s="43" t="s">
        <v>107</v>
      </c>
      <c r="C27" s="44" t="n">
        <f aca="false">('Synertec Benchmark'!$D$10+'Synertec Benchmark'!$D$11)</f>
        <v>175000</v>
      </c>
      <c r="D27" s="44" t="n">
        <f aca="false">SUM(Calculation!R61:S61)</f>
        <v>1229135.6196</v>
      </c>
      <c r="E27" s="10" t="n">
        <f aca="false">IF(D27=0,0,($C27-D27)/D27)</f>
        <v>-0.857623522409227</v>
      </c>
      <c r="F27" s="44" t="n">
        <f aca="false">SUM(Calculation!R78:S78)</f>
        <v>1025797.8696</v>
      </c>
      <c r="G27" s="10" t="n">
        <f aca="false">IF(F27=0,0,($C27-F27)/F27)</f>
        <v>-0.829401088473464</v>
      </c>
      <c r="H27" s="44" t="n">
        <f aca="false">SUM(Calculation!R95:S95)</f>
        <v>639317.0091</v>
      </c>
      <c r="I27" s="10" t="n">
        <f aca="false">IF(H27=0,0,($C27-H27)/H27)</f>
        <v>-0.726270383066522</v>
      </c>
      <c r="J27" s="44" t="n">
        <f aca="false">SUM(Calculation!R112:S112)</f>
        <v>740985.8841</v>
      </c>
      <c r="K27" s="10" t="n">
        <f aca="false">IF(J27=0,0,($C27-J27)/J27)</f>
        <v>-0.763828159543748</v>
      </c>
      <c r="L27" s="44" t="n">
        <f aca="false">SUM(Calculation!R129:S129)</f>
        <v>842654.7591</v>
      </c>
      <c r="M27" s="10" t="n">
        <f aca="false">IF(L27=0,0,($C27-L27)/L27)</f>
        <v>-0.792323014722056</v>
      </c>
    </row>
    <row r="28" customFormat="false" ht="15" hidden="false" customHeight="false" outlineLevel="0" collapsed="false">
      <c r="B28" s="43" t="s">
        <v>108</v>
      </c>
      <c r="C28" s="44" t="n">
        <f aca="false">('Synertec Benchmark'!$D$5+'Synertec Benchmark'!$D$6+'Synertec Benchmark'!$D$7+'Synertec Benchmark'!$D$8+'Synertec Benchmark'!$D$9)</f>
        <v>3634000</v>
      </c>
      <c r="D28" s="44" t="n">
        <f aca="false">SUM(Calculation!M61:Q61)</f>
        <v>5933727.0251</v>
      </c>
      <c r="E28" s="10" t="n">
        <f aca="false">IF(D28=0,0,($C28-D28)/D28)</f>
        <v>-0.387568726261256</v>
      </c>
      <c r="F28" s="44" t="n">
        <f aca="false">SUM(Calculation!M78:Q78)</f>
        <v>4915349.2451</v>
      </c>
      <c r="G28" s="10" t="n">
        <f aca="false">IF(F28=0,0,($C28-F28)/F28)</f>
        <v>-0.260683255900351</v>
      </c>
      <c r="H28" s="44" t="n">
        <f aca="false">SUM(Calculation!M95:Q95)</f>
        <v>3737301.91566667</v>
      </c>
      <c r="I28" s="10" t="n">
        <f aca="false">IF(H28=0,0,($C28-H28)/H28)</f>
        <v>-0.0276407734771514</v>
      </c>
      <c r="J28" s="44" t="n">
        <f aca="false">SUM(Calculation!M112:Q112)</f>
        <v>4246490.80566667</v>
      </c>
      <c r="K28" s="10" t="n">
        <f aca="false">IF(J28=0,0,($C28-J28)/J28)</f>
        <v>-0.144234577135864</v>
      </c>
      <c r="L28" s="44" t="n">
        <f aca="false">SUM(Calculation!M129:Q129)</f>
        <v>4755679.69566667</v>
      </c>
      <c r="M28" s="10" t="n">
        <f aca="false">IF(L28=0,0,($C28-L28)/L28)</f>
        <v>-0.235861068752955</v>
      </c>
    </row>
    <row r="29" customFormat="false" ht="15" hidden="false" customHeight="false" outlineLevel="0" collapsed="false">
      <c r="B29" s="43" t="s">
        <v>101</v>
      </c>
      <c r="C29" s="44" t="n">
        <f aca="false">('Synertec Benchmark'!$D$5+'Synertec Benchmark'!$D$6+'Synertec Benchmark'!$D$7+'Synertec Benchmark'!$D$8+'Synertec Benchmark'!$D$9+'Synertec Benchmark'!$D$10+'Synertec Benchmark'!$D$11)</f>
        <v>3809000</v>
      </c>
      <c r="D29" s="44" t="n">
        <f aca="false">SUM(Calculation!M61:S61)</f>
        <v>7162862.6447</v>
      </c>
      <c r="E29" s="10" t="n">
        <f aca="false">IF(D29=0,0,($C29-D29)/D29)</f>
        <v>-0.468229367371943</v>
      </c>
      <c r="F29" s="44" t="n">
        <f aca="false">SUM(Calculation!M78:S78)</f>
        <v>5941147.1147</v>
      </c>
      <c r="G29" s="10" t="n">
        <f aca="false">IF(F29=0,0,($C29-F29)/F29)</f>
        <v>-0.358878020277346</v>
      </c>
      <c r="H29" s="44" t="n">
        <f aca="false">SUM(Calculation!M95:S95)</f>
        <v>4376618.92476667</v>
      </c>
      <c r="I29" s="10" t="n">
        <f aca="false">IF(H29=0,0,($C29-H29)/H29)</f>
        <v>-0.129693476750875</v>
      </c>
      <c r="J29" s="44" t="n">
        <f aca="false">SUM(Calculation!M112:S112)</f>
        <v>4987476.68976667</v>
      </c>
      <c r="K29" s="10" t="n">
        <f aca="false">IF(J29=0,0,($C29-J29)/J29)</f>
        <v>-0.23628715742866</v>
      </c>
      <c r="L29" s="44" t="n">
        <f aca="false">SUM(Calculation!M129:S129)</f>
        <v>5598334.45476667</v>
      </c>
      <c r="M29" s="10" t="n">
        <f aca="false">IF(L29=0,0,($C29-L29)/L29)</f>
        <v>-0.319619070497503</v>
      </c>
    </row>
    <row r="31" customFormat="false" ht="15" hidden="false" customHeight="false" outlineLevel="0" collapsed="false">
      <c r="B31" s="18" t="s">
        <v>109</v>
      </c>
    </row>
  </sheetData>
  <mergeCells count="5">
    <mergeCell ref="D16:E16"/>
    <mergeCell ref="F16:G16"/>
    <mergeCell ref="H16:I16"/>
    <mergeCell ref="J16:K16"/>
    <mergeCell ref="L16:M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1:D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3" min="3" style="0" width="44"/>
    <col collapsed="false" customWidth="true" hidden="false" outlineLevel="0" max="4" min="4" style="0" width="110"/>
  </cols>
  <sheetData>
    <row r="1" customFormat="false" ht="17.35" hidden="false" customHeight="false" outlineLevel="0" collapsed="false">
      <c r="B1" s="17" t="s">
        <v>110</v>
      </c>
    </row>
    <row r="2" customFormat="false" ht="15" hidden="false" customHeight="false" outlineLevel="0" collapsed="false">
      <c r="B2" s="18" t="s">
        <v>111</v>
      </c>
    </row>
    <row r="4" customFormat="false" ht="15" hidden="false" customHeight="false" outlineLevel="0" collapsed="false">
      <c r="B4" s="45" t="s">
        <v>112</v>
      </c>
      <c r="C4" s="45"/>
      <c r="D4" s="45"/>
    </row>
    <row r="5" customFormat="false" ht="15" hidden="false" customHeight="false" outlineLevel="0" collapsed="false">
      <c r="B5" s="46" t="s">
        <v>113</v>
      </c>
      <c r="C5" s="47" t="n">
        <v>0.35</v>
      </c>
      <c r="D5" s="18" t="s">
        <v>114</v>
      </c>
    </row>
    <row r="6" customFormat="false" ht="15" hidden="false" customHeight="false" outlineLevel="0" collapsed="false">
      <c r="B6" s="46" t="s">
        <v>115</v>
      </c>
      <c r="C6" s="48" t="n">
        <v>0</v>
      </c>
      <c r="D6" s="18" t="s">
        <v>116</v>
      </c>
    </row>
    <row r="7" customFormat="false" ht="15" hidden="false" customHeight="false" outlineLevel="0" collapsed="false">
      <c r="B7" s="46" t="s">
        <v>41</v>
      </c>
      <c r="C7" s="49" t="n">
        <v>0.04</v>
      </c>
      <c r="D7" s="18" t="s">
        <v>117</v>
      </c>
    </row>
    <row r="8" customFormat="false" ht="15" hidden="false" customHeight="false" outlineLevel="0" collapsed="false">
      <c r="B8" s="45" t="s">
        <v>118</v>
      </c>
      <c r="C8" s="45"/>
      <c r="D8" s="45"/>
    </row>
    <row r="9" customFormat="false" ht="15" hidden="false" customHeight="false" outlineLevel="0" collapsed="false">
      <c r="B9" s="46" t="s">
        <v>119</v>
      </c>
      <c r="C9" s="50" t="s">
        <v>120</v>
      </c>
      <c r="D9" s="18" t="s">
        <v>121</v>
      </c>
    </row>
    <row r="10" customFormat="false" ht="15" hidden="false" customHeight="false" outlineLevel="0" collapsed="false">
      <c r="B10" s="46" t="s">
        <v>122</v>
      </c>
      <c r="C10" s="50" t="s">
        <v>123</v>
      </c>
      <c r="D10" s="18" t="s">
        <v>124</v>
      </c>
    </row>
    <row r="11" customFormat="false" ht="15" hidden="false" customHeight="false" outlineLevel="0" collapsed="false">
      <c r="B11" s="46" t="s">
        <v>125</v>
      </c>
      <c r="C11" s="51" t="n">
        <v>165</v>
      </c>
      <c r="D11" s="18" t="s">
        <v>126</v>
      </c>
    </row>
    <row r="12" customFormat="false" ht="15" hidden="false" customHeight="false" outlineLevel="0" collapsed="false">
      <c r="B12" s="46" t="s">
        <v>127</v>
      </c>
      <c r="C12" s="52" t="n">
        <v>38675</v>
      </c>
      <c r="D12" s="18" t="s">
        <v>128</v>
      </c>
    </row>
    <row r="13" customFormat="false" ht="15" hidden="false" customHeight="false" outlineLevel="0" collapsed="false">
      <c r="B13" s="45" t="s">
        <v>129</v>
      </c>
      <c r="C13" s="45"/>
      <c r="D13" s="45"/>
    </row>
    <row r="14" customFormat="false" ht="15" hidden="false" customHeight="false" outlineLevel="0" collapsed="false">
      <c r="B14" s="46" t="s">
        <v>130</v>
      </c>
      <c r="C14" s="48" t="n">
        <v>0.1</v>
      </c>
      <c r="D14" s="18" t="s">
        <v>131</v>
      </c>
    </row>
    <row r="15" customFormat="false" ht="15" hidden="false" customHeight="false" outlineLevel="0" collapsed="false">
      <c r="B15" s="46" t="s">
        <v>132</v>
      </c>
      <c r="C15" s="48" t="n">
        <v>0.5</v>
      </c>
      <c r="D15" s="18" t="s">
        <v>133</v>
      </c>
    </row>
    <row r="17" customFormat="false" ht="15" hidden="false" customHeight="false" outlineLevel="0" collapsed="false">
      <c r="B17" s="19" t="s">
        <v>134</v>
      </c>
    </row>
    <row r="18" customFormat="false" ht="19.5" hidden="false" customHeight="true" outlineLevel="0" collapsed="false">
      <c r="B18" s="28" t="s">
        <v>3</v>
      </c>
      <c r="C18" s="28" t="s">
        <v>135</v>
      </c>
      <c r="D18" s="28" t="s">
        <v>136</v>
      </c>
    </row>
    <row r="19" customFormat="false" ht="15" hidden="false" customHeight="false" outlineLevel="0" collapsed="false">
      <c r="B19" s="11" t="s">
        <v>137</v>
      </c>
      <c r="C19" s="13" t="s">
        <v>138</v>
      </c>
      <c r="D19" s="13" t="s">
        <v>139</v>
      </c>
    </row>
    <row r="20" customFormat="false" ht="15" hidden="false" customHeight="false" outlineLevel="0" collapsed="false">
      <c r="B20" s="11" t="s">
        <v>140</v>
      </c>
      <c r="C20" s="13" t="s">
        <v>141</v>
      </c>
      <c r="D20" s="13" t="s">
        <v>142</v>
      </c>
    </row>
    <row r="21" customFormat="false" ht="15" hidden="false" customHeight="false" outlineLevel="0" collapsed="false">
      <c r="B21" s="11" t="s">
        <v>143</v>
      </c>
      <c r="C21" s="13" t="s">
        <v>144</v>
      </c>
      <c r="D21" s="13" t="s">
        <v>145</v>
      </c>
    </row>
    <row r="22" customFormat="false" ht="15" hidden="false" customHeight="false" outlineLevel="0" collapsed="false">
      <c r="B22" s="11" t="s">
        <v>146</v>
      </c>
      <c r="C22" s="13" t="s">
        <v>147</v>
      </c>
      <c r="D22" s="13" t="s">
        <v>148</v>
      </c>
    </row>
    <row r="23" customFormat="false" ht="15" hidden="false" customHeight="false" outlineLevel="0" collapsed="false">
      <c r="B23" s="11" t="s">
        <v>149</v>
      </c>
      <c r="C23" s="13" t="s">
        <v>150</v>
      </c>
      <c r="D23" s="13" t="s">
        <v>151</v>
      </c>
    </row>
    <row r="25" customFormat="false" ht="15" hidden="false" customHeight="false" outlineLevel="0" collapsed="false">
      <c r="B25" s="18" t="s">
        <v>152</v>
      </c>
    </row>
  </sheetData>
  <dataValidations count="2">
    <dataValidation allowBlank="false" errorStyle="stop" operator="between" showDropDown="false" showErrorMessage="false" showInputMessage="false" sqref="C9" type="list">
      <formula1>"Yes,No"</formula1>
      <formula2>0</formula2>
    </dataValidation>
    <dataValidation allowBlank="false" errorStyle="stop" operator="between" showDropDown="false" showErrorMessage="false" showInputMessage="false" sqref="C1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E1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1" min="3" style="0" width="11"/>
  </cols>
  <sheetData>
    <row r="1" customFormat="false" ht="15" hidden="false" customHeight="false" outlineLevel="0" collapsed="false">
      <c r="A1" s="4" t="s">
        <v>153</v>
      </c>
    </row>
    <row r="3" customFormat="false" ht="15" hidden="false" customHeight="false" outlineLevel="0" collapsed="false">
      <c r="M3" s="53" t="s">
        <v>87</v>
      </c>
      <c r="N3" s="53" t="s">
        <v>89</v>
      </c>
      <c r="O3" s="53" t="s">
        <v>91</v>
      </c>
      <c r="P3" s="53" t="s">
        <v>93</v>
      </c>
      <c r="Q3" s="53" t="s">
        <v>95</v>
      </c>
      <c r="R3" s="53" t="s">
        <v>97</v>
      </c>
      <c r="S3" s="53" t="s">
        <v>99</v>
      </c>
      <c r="T3" s="53" t="s">
        <v>87</v>
      </c>
      <c r="U3" s="53" t="s">
        <v>89</v>
      </c>
      <c r="V3" s="53" t="s">
        <v>91</v>
      </c>
      <c r="W3" s="53" t="s">
        <v>93</v>
      </c>
      <c r="X3" s="53" t="s">
        <v>95</v>
      </c>
      <c r="Y3" s="53" t="s">
        <v>97</v>
      </c>
      <c r="Z3" s="53" t="s">
        <v>99</v>
      </c>
    </row>
    <row r="4" customFormat="false" ht="31.5" hidden="false" customHeight="true" outlineLevel="0" collapsed="false">
      <c r="A4" s="28" t="s">
        <v>154</v>
      </c>
      <c r="B4" s="28" t="s">
        <v>155</v>
      </c>
      <c r="C4" s="28" t="s">
        <v>33</v>
      </c>
      <c r="D4" s="28" t="s">
        <v>156</v>
      </c>
      <c r="E4" s="28" t="s">
        <v>157</v>
      </c>
      <c r="F4" s="28" t="s">
        <v>158</v>
      </c>
      <c r="G4" s="28" t="s">
        <v>159</v>
      </c>
      <c r="H4" s="28" t="s">
        <v>160</v>
      </c>
      <c r="I4" s="28" t="s">
        <v>161</v>
      </c>
      <c r="J4" s="28" t="s">
        <v>162</v>
      </c>
      <c r="K4" s="28" t="s">
        <v>163</v>
      </c>
      <c r="L4" s="28" t="s">
        <v>164</v>
      </c>
      <c r="M4" s="28" t="s">
        <v>165</v>
      </c>
      <c r="N4" s="28" t="s">
        <v>166</v>
      </c>
      <c r="O4" s="28" t="s">
        <v>167</v>
      </c>
      <c r="P4" s="28" t="s">
        <v>168</v>
      </c>
      <c r="Q4" s="28" t="s">
        <v>169</v>
      </c>
      <c r="R4" s="28" t="s">
        <v>170</v>
      </c>
      <c r="S4" s="28" t="s">
        <v>171</v>
      </c>
      <c r="T4" s="28" t="s">
        <v>172</v>
      </c>
      <c r="U4" s="28" t="s">
        <v>173</v>
      </c>
      <c r="V4" s="28" t="s">
        <v>174</v>
      </c>
      <c r="W4" s="28" t="s">
        <v>175</v>
      </c>
      <c r="X4" s="28" t="s">
        <v>176</v>
      </c>
      <c r="Y4" s="28" t="s">
        <v>177</v>
      </c>
      <c r="Z4" s="28" t="s">
        <v>178</v>
      </c>
      <c r="AA4" s="28" t="s">
        <v>179</v>
      </c>
      <c r="AB4" s="28" t="s">
        <v>180</v>
      </c>
      <c r="AC4" s="28" t="s">
        <v>181</v>
      </c>
      <c r="AD4" s="28" t="s">
        <v>182</v>
      </c>
      <c r="AE4" s="28" t="s">
        <v>183</v>
      </c>
    </row>
    <row r="5" customFormat="false" ht="15" hidden="false" customHeight="false" outlineLevel="0" collapsed="false">
      <c r="A5" s="54" t="s">
        <v>184</v>
      </c>
      <c r="B5" s="46" t="s">
        <v>185</v>
      </c>
      <c r="C5" s="46" t="s">
        <v>20</v>
      </c>
      <c r="D5" s="46" t="s">
        <v>186</v>
      </c>
      <c r="E5" s="55" t="n">
        <f aca="false">IF(C5="IDOM",1,IF(C5="Shared",1-Assumptions!$C$14,0))</f>
        <v>1</v>
      </c>
      <c r="F5" s="55" t="n">
        <f aca="false">IF(C5="Plan Safe",1,IF(C5="Shared",Assumptions!$C$14,0))</f>
        <v>0</v>
      </c>
      <c r="G5" s="55" t="n">
        <f aca="false">IF(C5="INVAP",1,0)</f>
        <v>0</v>
      </c>
      <c r="H5" s="56" t="n">
        <v>1</v>
      </c>
      <c r="I5" s="56" t="n">
        <v>1</v>
      </c>
      <c r="J5" s="56" t="n">
        <v>1</v>
      </c>
      <c r="K5" s="56" t="n">
        <v>1</v>
      </c>
      <c r="L5" s="56" t="n">
        <v>1</v>
      </c>
      <c r="M5" s="57" t="n">
        <f aca="false">SUMIFS(Data!$J$5:$J$291,Data!$E$5:$E$291,$A5,Data!$F$5:$F$291,"S1")</f>
        <v>0</v>
      </c>
      <c r="N5" s="57" t="n">
        <f aca="false">SUMIFS(Data!$J$5:$J$291,Data!$E$5:$E$291,$A5,Data!$F$5:$F$291,"S2")</f>
        <v>35206.5</v>
      </c>
      <c r="O5" s="57" t="n">
        <f aca="false">SUMIFS(Data!$J$5:$J$291,Data!$E$5:$E$291,$A5,Data!$F$5:$F$291,"S3")</f>
        <v>58869.825</v>
      </c>
      <c r="P5" s="57" t="n">
        <f aca="false">SUMIFS(Data!$J$5:$J$291,Data!$E$5:$E$291,$A5,Data!$F$5:$F$291,"S4")</f>
        <v>85451.1</v>
      </c>
      <c r="Q5" s="57" t="n">
        <f aca="false">SUMIFS(Data!$J$5:$J$291,Data!$E$5:$E$291,$A5,Data!$F$5:$F$291,"S5")</f>
        <v>0</v>
      </c>
      <c r="R5" s="57" t="n">
        <f aca="false">SUMIFS(Data!$J$5:$J$291,Data!$E$5:$E$291,$A5,Data!$F$5:$F$291,"S6")</f>
        <v>0</v>
      </c>
      <c r="S5" s="57" t="n">
        <f aca="false">SUMIFS(Data!$J$5:$J$291,Data!$E$5:$E$291,$A5,Data!$F$5:$F$291,"S7")</f>
        <v>0</v>
      </c>
      <c r="T5" s="57" t="n">
        <f aca="false">SUMIFS(Data!$H$5:$H$291,Data!$E$5:$E$291,$A5,Data!$F$5:$F$291,"S1")</f>
        <v>0</v>
      </c>
      <c r="U5" s="57" t="n">
        <f aca="false">SUMIFS(Data!$H$5:$H$291,Data!$E$5:$E$291,$A5,Data!$F$5:$F$291,"S2")</f>
        <v>185</v>
      </c>
      <c r="V5" s="57" t="n">
        <f aca="false">SUMIFS(Data!$H$5:$H$291,Data!$E$5:$E$291,$A5,Data!$F$5:$F$291,"S3")</f>
        <v>315</v>
      </c>
      <c r="W5" s="57" t="n">
        <f aca="false">SUMIFS(Data!$H$5:$H$291,Data!$E$5:$E$291,$A5,Data!$F$5:$F$291,"S4")</f>
        <v>430</v>
      </c>
      <c r="X5" s="57" t="n">
        <f aca="false">SUMIFS(Data!$H$5:$H$291,Data!$E$5:$E$291,$A5,Data!$F$5:$F$291,"S5")</f>
        <v>0</v>
      </c>
      <c r="Y5" s="57" t="n">
        <f aca="false">SUMIFS(Data!$H$5:$H$291,Data!$E$5:$E$291,$A5,Data!$F$5:$F$291,"S6")</f>
        <v>0</v>
      </c>
      <c r="Z5" s="57" t="n">
        <f aca="false">SUMIFS(Data!$H$5:$H$291,Data!$E$5:$E$291,$A5,Data!$F$5:$F$291,"S7")</f>
        <v>0</v>
      </c>
      <c r="AA5" s="57" t="n">
        <f aca="false">M5+N5+O5</f>
        <v>94076.325</v>
      </c>
      <c r="AB5" s="57" t="n">
        <f aca="false">P5+Q5</f>
        <v>85451.1</v>
      </c>
      <c r="AC5" s="57" t="n">
        <f aca="false">R5+S5</f>
        <v>0</v>
      </c>
      <c r="AD5" s="57" t="n">
        <f aca="false">M5+N5+O5+P5+Q5</f>
        <v>179527.425</v>
      </c>
      <c r="AE5" s="57" t="n">
        <f aca="false">M5+N5+O5+P5+Q5+R5+S5</f>
        <v>179527.425</v>
      </c>
    </row>
    <row r="6" customFormat="false" ht="15" hidden="false" customHeight="false" outlineLevel="0" collapsed="false">
      <c r="A6" s="54" t="s">
        <v>87</v>
      </c>
      <c r="B6" s="46" t="s">
        <v>187</v>
      </c>
      <c r="C6" s="46" t="s">
        <v>188</v>
      </c>
      <c r="D6" s="46" t="s">
        <v>186</v>
      </c>
      <c r="E6" s="55" t="n">
        <f aca="false">IF(C6="IDOM",1,IF(C6="Shared",1-Assumptions!$C$14,0))</f>
        <v>0.9</v>
      </c>
      <c r="F6" s="55" t="n">
        <f aca="false">IF(C6="Plan Safe",1,IF(C6="Shared",Assumptions!$C$14,0))</f>
        <v>0.1</v>
      </c>
      <c r="G6" s="55" t="n">
        <f aca="false">IF(C6="INVAP",1,0)</f>
        <v>0</v>
      </c>
      <c r="H6" s="56" t="n">
        <v>1</v>
      </c>
      <c r="I6" s="56" t="n">
        <v>1</v>
      </c>
      <c r="J6" s="56" t="n">
        <v>1</v>
      </c>
      <c r="K6" s="56" t="n">
        <v>1</v>
      </c>
      <c r="L6" s="56" t="n">
        <v>1</v>
      </c>
      <c r="M6" s="57" t="n">
        <f aca="false">SUMIFS(Data!$J$5:$J$291,Data!$E$5:$E$291,$A6,Data!$F$5:$F$291,"S1")</f>
        <v>148179.675</v>
      </c>
      <c r="N6" s="57" t="n">
        <f aca="false">SUMIFS(Data!$J$5:$J$291,Data!$E$5:$E$291,$A6,Data!$F$5:$F$291,"S2")</f>
        <v>284239.2</v>
      </c>
      <c r="O6" s="57" t="n">
        <f aca="false">SUMIFS(Data!$J$5:$J$291,Data!$E$5:$E$291,$A6,Data!$F$5:$F$291,"S3")</f>
        <v>0</v>
      </c>
      <c r="P6" s="57" t="n">
        <f aca="false">SUMIFS(Data!$J$5:$J$291,Data!$E$5:$E$291,$A6,Data!$F$5:$F$291,"S4")</f>
        <v>0</v>
      </c>
      <c r="Q6" s="57" t="n">
        <f aca="false">SUMIFS(Data!$J$5:$J$291,Data!$E$5:$E$291,$A6,Data!$F$5:$F$291,"S5")</f>
        <v>0</v>
      </c>
      <c r="R6" s="57" t="n">
        <f aca="false">SUMIFS(Data!$J$5:$J$291,Data!$E$5:$E$291,$A6,Data!$F$5:$F$291,"S6")</f>
        <v>0</v>
      </c>
      <c r="S6" s="57" t="n">
        <f aca="false">SUMIFS(Data!$J$5:$J$291,Data!$E$5:$E$291,$A6,Data!$F$5:$F$291,"S7")</f>
        <v>0</v>
      </c>
      <c r="T6" s="57" t="n">
        <f aca="false">SUMIFS(Data!$H$5:$H$291,Data!$E$5:$E$291,$A6,Data!$F$5:$F$291,"S1")</f>
        <v>625</v>
      </c>
      <c r="U6" s="57" t="n">
        <f aca="false">SUMIFS(Data!$H$5:$H$291,Data!$E$5:$E$291,$A6,Data!$F$5:$F$291,"S2")</f>
        <v>1200</v>
      </c>
      <c r="V6" s="57" t="n">
        <f aca="false">SUMIFS(Data!$H$5:$H$291,Data!$E$5:$E$291,$A6,Data!$F$5:$F$291,"S3")</f>
        <v>0</v>
      </c>
      <c r="W6" s="57" t="n">
        <f aca="false">SUMIFS(Data!$H$5:$H$291,Data!$E$5:$E$291,$A6,Data!$F$5:$F$291,"S4")</f>
        <v>0</v>
      </c>
      <c r="X6" s="57" t="n">
        <f aca="false">SUMIFS(Data!$H$5:$H$291,Data!$E$5:$E$291,$A6,Data!$F$5:$F$291,"S5")</f>
        <v>0</v>
      </c>
      <c r="Y6" s="57" t="n">
        <f aca="false">SUMIFS(Data!$H$5:$H$291,Data!$E$5:$E$291,$A6,Data!$F$5:$F$291,"S6")</f>
        <v>0</v>
      </c>
      <c r="Z6" s="57" t="n">
        <f aca="false">SUMIFS(Data!$H$5:$H$291,Data!$E$5:$E$291,$A6,Data!$F$5:$F$291,"S7")</f>
        <v>0</v>
      </c>
      <c r="AA6" s="57" t="n">
        <f aca="false">M6+N6+O6</f>
        <v>432418.875</v>
      </c>
      <c r="AB6" s="57" t="n">
        <f aca="false">P6+Q6</f>
        <v>0</v>
      </c>
      <c r="AC6" s="57" t="n">
        <f aca="false">R6+S6</f>
        <v>0</v>
      </c>
      <c r="AD6" s="57" t="n">
        <f aca="false">M6+N6+O6+P6+Q6</f>
        <v>432418.875</v>
      </c>
      <c r="AE6" s="57" t="n">
        <f aca="false">M6+N6+O6+P6+Q6+R6+S6</f>
        <v>432418.875</v>
      </c>
    </row>
    <row r="7" customFormat="false" ht="15" hidden="false" customHeight="false" outlineLevel="0" collapsed="false">
      <c r="A7" s="54" t="s">
        <v>189</v>
      </c>
      <c r="B7" s="46" t="s">
        <v>190</v>
      </c>
      <c r="C7" s="46" t="s">
        <v>188</v>
      </c>
      <c r="D7" s="46" t="s">
        <v>186</v>
      </c>
      <c r="E7" s="55" t="n">
        <f aca="false">IF(C7="IDOM",1,IF(C7="Shared",1-Assumptions!$C$14,0))</f>
        <v>0.9</v>
      </c>
      <c r="F7" s="55" t="n">
        <f aca="false">IF(C7="Plan Safe",1,IF(C7="Shared",Assumptions!$C$14,0))</f>
        <v>0.1</v>
      </c>
      <c r="G7" s="55" t="n">
        <f aca="false">IF(C7="INVAP",1,0)</f>
        <v>0</v>
      </c>
      <c r="H7" s="56" t="n">
        <v>1</v>
      </c>
      <c r="I7" s="56" t="n">
        <v>1</v>
      </c>
      <c r="J7" s="56" t="n">
        <v>1</v>
      </c>
      <c r="K7" s="56" t="n">
        <v>1</v>
      </c>
      <c r="L7" s="56" t="n">
        <v>1</v>
      </c>
      <c r="M7" s="57" t="n">
        <f aca="false">SUMIFS(Data!$J$5:$J$291,Data!$E$5:$E$291,$A7,Data!$F$5:$F$291,"S1")</f>
        <v>0</v>
      </c>
      <c r="N7" s="57" t="n">
        <f aca="false">SUMIFS(Data!$J$5:$J$291,Data!$E$5:$E$291,$A7,Data!$F$5:$F$291,"S2")</f>
        <v>0</v>
      </c>
      <c r="O7" s="57" t="n">
        <f aca="false">SUMIFS(Data!$J$5:$J$291,Data!$E$5:$E$291,$A7,Data!$F$5:$F$291,"S3")</f>
        <v>323392.65</v>
      </c>
      <c r="P7" s="57" t="n">
        <f aca="false">SUMIFS(Data!$J$5:$J$291,Data!$E$5:$E$291,$A7,Data!$F$5:$F$291,"S4")</f>
        <v>237629.175</v>
      </c>
      <c r="Q7" s="57" t="n">
        <f aca="false">SUMIFS(Data!$J$5:$J$291,Data!$E$5:$E$291,$A7,Data!$F$5:$F$291,"S5")</f>
        <v>0</v>
      </c>
      <c r="R7" s="57" t="n">
        <f aca="false">SUMIFS(Data!$J$5:$J$291,Data!$E$5:$E$291,$A7,Data!$F$5:$F$291,"S6")</f>
        <v>92514.45</v>
      </c>
      <c r="S7" s="57" t="n">
        <f aca="false">SUMIFS(Data!$J$5:$J$291,Data!$E$5:$E$291,$A7,Data!$F$5:$F$291,"S7")</f>
        <v>57256.5</v>
      </c>
      <c r="T7" s="57" t="n">
        <f aca="false">SUMIFS(Data!$H$5:$H$291,Data!$E$5:$E$291,$A7,Data!$F$5:$F$291,"S1")</f>
        <v>0</v>
      </c>
      <c r="U7" s="57" t="n">
        <f aca="false">SUMIFS(Data!$H$5:$H$291,Data!$E$5:$E$291,$A7,Data!$F$5:$F$291,"S2")</f>
        <v>0</v>
      </c>
      <c r="V7" s="57" t="n">
        <f aca="false">SUMIFS(Data!$H$5:$H$291,Data!$E$5:$E$291,$A7,Data!$F$5:$F$291,"S3")</f>
        <v>1385</v>
      </c>
      <c r="W7" s="57" t="n">
        <f aca="false">SUMIFS(Data!$H$5:$H$291,Data!$E$5:$E$291,$A7,Data!$F$5:$F$291,"S4")</f>
        <v>1015</v>
      </c>
      <c r="X7" s="57" t="n">
        <f aca="false">SUMIFS(Data!$H$5:$H$291,Data!$E$5:$E$291,$A7,Data!$F$5:$F$291,"S5")</f>
        <v>0</v>
      </c>
      <c r="Y7" s="57" t="n">
        <f aca="false">SUMIFS(Data!$H$5:$H$291,Data!$E$5:$E$291,$A7,Data!$F$5:$F$291,"S6")</f>
        <v>390</v>
      </c>
      <c r="Z7" s="57" t="n">
        <f aca="false">SUMIFS(Data!$H$5:$H$291,Data!$E$5:$E$291,$A7,Data!$F$5:$F$291,"S7")</f>
        <v>245</v>
      </c>
      <c r="AA7" s="57" t="n">
        <f aca="false">M7+N7+O7</f>
        <v>323392.65</v>
      </c>
      <c r="AB7" s="57" t="n">
        <f aca="false">P7+Q7</f>
        <v>237629.175</v>
      </c>
      <c r="AC7" s="57" t="n">
        <f aca="false">R7+S7</f>
        <v>149770.95</v>
      </c>
      <c r="AD7" s="57" t="n">
        <f aca="false">M7+N7+O7+P7+Q7</f>
        <v>561021.825</v>
      </c>
      <c r="AE7" s="57" t="n">
        <f aca="false">M7+N7+O7+P7+Q7+R7+S7</f>
        <v>710792.775</v>
      </c>
    </row>
    <row r="8" customFormat="false" ht="15" hidden="false" customHeight="false" outlineLevel="0" collapsed="false">
      <c r="A8" s="54" t="s">
        <v>191</v>
      </c>
      <c r="B8" s="46" t="s">
        <v>192</v>
      </c>
      <c r="C8" s="46" t="s">
        <v>188</v>
      </c>
      <c r="D8" s="46" t="s">
        <v>186</v>
      </c>
      <c r="E8" s="55" t="n">
        <f aca="false">IF(C8="IDOM",1,IF(C8="Shared",1-Assumptions!$C$14,0))</f>
        <v>0.9</v>
      </c>
      <c r="F8" s="55" t="n">
        <f aca="false">IF(C8="Plan Safe",1,IF(C8="Shared",Assumptions!$C$14,0))</f>
        <v>0.1</v>
      </c>
      <c r="G8" s="55" t="n">
        <f aca="false">IF(C8="INVAP",1,0)</f>
        <v>0</v>
      </c>
      <c r="H8" s="56" t="n">
        <v>1</v>
      </c>
      <c r="I8" s="56" t="n">
        <v>1</v>
      </c>
      <c r="J8" s="56" t="n">
        <v>1</v>
      </c>
      <c r="K8" s="56" t="n">
        <v>1</v>
      </c>
      <c r="L8" s="56" t="n">
        <v>1</v>
      </c>
      <c r="M8" s="57" t="n">
        <f aca="false">SUMIFS(Data!$J$5:$J$291,Data!$E$5:$E$291,$A8,Data!$F$5:$F$291,"S1")</f>
        <v>0</v>
      </c>
      <c r="N8" s="57" t="n">
        <f aca="false">SUMIFS(Data!$J$5:$J$291,Data!$E$5:$E$291,$A8,Data!$F$5:$F$291,"S2")</f>
        <v>0</v>
      </c>
      <c r="O8" s="57" t="n">
        <f aca="false">SUMIFS(Data!$J$5:$J$291,Data!$E$5:$E$291,$A8,Data!$F$5:$F$291,"S3")</f>
        <v>0</v>
      </c>
      <c r="P8" s="57" t="n">
        <f aca="false">SUMIFS(Data!$J$5:$J$291,Data!$E$5:$E$291,$A8,Data!$F$5:$F$291,"S4")</f>
        <v>222212.55</v>
      </c>
      <c r="Q8" s="57" t="n">
        <f aca="false">SUMIFS(Data!$J$5:$J$291,Data!$E$5:$E$291,$A8,Data!$F$5:$F$291,"S5")</f>
        <v>0</v>
      </c>
      <c r="R8" s="57" t="n">
        <f aca="false">SUMIFS(Data!$J$5:$J$291,Data!$E$5:$E$291,$A8,Data!$F$5:$F$291,"S6")</f>
        <v>42192.675</v>
      </c>
      <c r="S8" s="57" t="n">
        <f aca="false">SUMIFS(Data!$J$5:$J$291,Data!$E$5:$E$291,$A8,Data!$F$5:$F$291,"S7")</f>
        <v>26985.525</v>
      </c>
      <c r="T8" s="57" t="n">
        <f aca="false">SUMIFS(Data!$H$5:$H$291,Data!$E$5:$E$291,$A8,Data!$F$5:$F$291,"S1")</f>
        <v>0</v>
      </c>
      <c r="U8" s="57" t="n">
        <f aca="false">SUMIFS(Data!$H$5:$H$291,Data!$E$5:$E$291,$A8,Data!$F$5:$F$291,"S2")</f>
        <v>0</v>
      </c>
      <c r="V8" s="57" t="n">
        <f aca="false">SUMIFS(Data!$H$5:$H$291,Data!$E$5:$E$291,$A8,Data!$F$5:$F$291,"S3")</f>
        <v>0</v>
      </c>
      <c r="W8" s="57" t="n">
        <f aca="false">SUMIFS(Data!$H$5:$H$291,Data!$E$5:$E$291,$A8,Data!$F$5:$F$291,"S4")</f>
        <v>950</v>
      </c>
      <c r="X8" s="57" t="n">
        <f aca="false">SUMIFS(Data!$H$5:$H$291,Data!$E$5:$E$291,$A8,Data!$F$5:$F$291,"S5")</f>
        <v>0</v>
      </c>
      <c r="Y8" s="57" t="n">
        <f aca="false">SUMIFS(Data!$H$5:$H$291,Data!$E$5:$E$291,$A8,Data!$F$5:$F$291,"S6")</f>
        <v>180</v>
      </c>
      <c r="Z8" s="57" t="n">
        <f aca="false">SUMIFS(Data!$H$5:$H$291,Data!$E$5:$E$291,$A8,Data!$F$5:$F$291,"S7")</f>
        <v>115</v>
      </c>
      <c r="AA8" s="57" t="n">
        <f aca="false">M8+N8+O8</f>
        <v>0</v>
      </c>
      <c r="AB8" s="57" t="n">
        <f aca="false">P8+Q8</f>
        <v>222212.55</v>
      </c>
      <c r="AC8" s="57" t="n">
        <f aca="false">R8+S8</f>
        <v>69178.2</v>
      </c>
      <c r="AD8" s="57" t="n">
        <f aca="false">M8+N8+O8+P8+Q8</f>
        <v>222212.55</v>
      </c>
      <c r="AE8" s="57" t="n">
        <f aca="false">M8+N8+O8+P8+Q8+R8+S8</f>
        <v>291390.75</v>
      </c>
    </row>
    <row r="9" customFormat="false" ht="15" hidden="false" customHeight="false" outlineLevel="0" collapsed="false">
      <c r="A9" s="54" t="s">
        <v>193</v>
      </c>
      <c r="B9" s="46" t="s">
        <v>194</v>
      </c>
      <c r="C9" s="46" t="s">
        <v>188</v>
      </c>
      <c r="D9" s="46" t="s">
        <v>186</v>
      </c>
      <c r="E9" s="55" t="n">
        <f aca="false">IF(C9="IDOM",1,IF(C9="Shared",1-Assumptions!$C$14,0))</f>
        <v>0.9</v>
      </c>
      <c r="F9" s="55" t="n">
        <f aca="false">IF(C9="Plan Safe",1,IF(C9="Shared",Assumptions!$C$14,0))</f>
        <v>0.1</v>
      </c>
      <c r="G9" s="55" t="n">
        <f aca="false">IF(C9="INVAP",1,0)</f>
        <v>0</v>
      </c>
      <c r="H9" s="56" t="n">
        <v>1</v>
      </c>
      <c r="I9" s="56" t="n">
        <v>1</v>
      </c>
      <c r="J9" s="56" t="n">
        <v>1</v>
      </c>
      <c r="K9" s="56" t="n">
        <v>1</v>
      </c>
      <c r="L9" s="56" t="n">
        <v>1</v>
      </c>
      <c r="M9" s="57" t="n">
        <f aca="false">SUMIFS(Data!$J$5:$J$291,Data!$E$5:$E$291,$A9,Data!$F$5:$F$291,"S1")</f>
        <v>0</v>
      </c>
      <c r="N9" s="57" t="n">
        <f aca="false">SUMIFS(Data!$J$5:$J$291,Data!$E$5:$E$291,$A9,Data!$F$5:$F$291,"S2")</f>
        <v>90335.175</v>
      </c>
      <c r="O9" s="57" t="n">
        <f aca="false">SUMIFS(Data!$J$5:$J$291,Data!$E$5:$E$291,$A9,Data!$F$5:$F$291,"S3")</f>
        <v>151656.225</v>
      </c>
      <c r="P9" s="57" t="n">
        <f aca="false">SUMIFS(Data!$J$5:$J$291,Data!$E$5:$E$291,$A9,Data!$F$5:$F$291,"S4")</f>
        <v>211896.825</v>
      </c>
      <c r="Q9" s="57" t="n">
        <f aca="false">SUMIFS(Data!$J$5:$J$291,Data!$E$5:$E$291,$A9,Data!$F$5:$F$291,"S5")</f>
        <v>0</v>
      </c>
      <c r="R9" s="57" t="n">
        <f aca="false">SUMIFS(Data!$J$5:$J$291,Data!$E$5:$E$291,$A9,Data!$F$5:$F$291,"S6")</f>
        <v>0</v>
      </c>
      <c r="S9" s="57" t="n">
        <f aca="false">SUMIFS(Data!$J$5:$J$291,Data!$E$5:$E$291,$A9,Data!$F$5:$F$291,"S7")</f>
        <v>0</v>
      </c>
      <c r="T9" s="57" t="n">
        <f aca="false">SUMIFS(Data!$H$5:$H$291,Data!$E$5:$E$291,$A9,Data!$F$5:$F$291,"S1")</f>
        <v>0</v>
      </c>
      <c r="U9" s="57" t="n">
        <f aca="false">SUMIFS(Data!$H$5:$H$291,Data!$E$5:$E$291,$A9,Data!$F$5:$F$291,"S2")</f>
        <v>385</v>
      </c>
      <c r="V9" s="57" t="n">
        <f aca="false">SUMIFS(Data!$H$5:$H$291,Data!$E$5:$E$291,$A9,Data!$F$5:$F$291,"S3")</f>
        <v>650</v>
      </c>
      <c r="W9" s="57" t="n">
        <f aca="false">SUMIFS(Data!$H$5:$H$291,Data!$E$5:$E$291,$A9,Data!$F$5:$F$291,"S4")</f>
        <v>905</v>
      </c>
      <c r="X9" s="57" t="n">
        <f aca="false">SUMIFS(Data!$H$5:$H$291,Data!$E$5:$E$291,$A9,Data!$F$5:$F$291,"S5")</f>
        <v>0</v>
      </c>
      <c r="Y9" s="57" t="n">
        <f aca="false">SUMIFS(Data!$H$5:$H$291,Data!$E$5:$E$291,$A9,Data!$F$5:$F$291,"S6")</f>
        <v>0</v>
      </c>
      <c r="Z9" s="57" t="n">
        <f aca="false">SUMIFS(Data!$H$5:$H$291,Data!$E$5:$E$291,$A9,Data!$F$5:$F$291,"S7")</f>
        <v>0</v>
      </c>
      <c r="AA9" s="57" t="n">
        <f aca="false">M9+N9+O9</f>
        <v>241991.4</v>
      </c>
      <c r="AB9" s="57" t="n">
        <f aca="false">P9+Q9</f>
        <v>211896.825</v>
      </c>
      <c r="AC9" s="57" t="n">
        <f aca="false">R9+S9</f>
        <v>0</v>
      </c>
      <c r="AD9" s="57" t="n">
        <f aca="false">M9+N9+O9+P9+Q9</f>
        <v>453888.225</v>
      </c>
      <c r="AE9" s="57" t="n">
        <f aca="false">M9+N9+O9+P9+Q9+R9+S9</f>
        <v>453888.225</v>
      </c>
    </row>
    <row r="10" customFormat="false" ht="15" hidden="false" customHeight="false" outlineLevel="0" collapsed="false">
      <c r="A10" s="54" t="s">
        <v>195</v>
      </c>
      <c r="B10" s="46" t="s">
        <v>196</v>
      </c>
      <c r="C10" s="46" t="s">
        <v>188</v>
      </c>
      <c r="D10" s="46" t="s">
        <v>186</v>
      </c>
      <c r="E10" s="55" t="n">
        <f aca="false">IF(C10="IDOM",1,IF(C10="Shared",1-Assumptions!$C$14,0))</f>
        <v>0.9</v>
      </c>
      <c r="F10" s="55" t="n">
        <f aca="false">IF(C10="Plan Safe",1,IF(C10="Shared",Assumptions!$C$14,0))</f>
        <v>0.1</v>
      </c>
      <c r="G10" s="55" t="n">
        <f aca="false">IF(C10="INVAP",1,0)</f>
        <v>0</v>
      </c>
      <c r="H10" s="56" t="n">
        <v>1</v>
      </c>
      <c r="I10" s="56" t="n">
        <v>1</v>
      </c>
      <c r="J10" s="56" t="n">
        <v>1</v>
      </c>
      <c r="K10" s="56" t="n">
        <v>1</v>
      </c>
      <c r="L10" s="56" t="n">
        <v>1</v>
      </c>
      <c r="M10" s="57" t="n">
        <f aca="false">SUMIFS(Data!$J$5:$J$291,Data!$E$5:$E$291,$A10,Data!$F$5:$F$291,"S1")</f>
        <v>0</v>
      </c>
      <c r="N10" s="57" t="n">
        <f aca="false">SUMIFS(Data!$J$5:$J$291,Data!$E$5:$E$291,$A10,Data!$F$5:$F$291,"S2")</f>
        <v>0</v>
      </c>
      <c r="O10" s="57" t="n">
        <f aca="false">SUMIFS(Data!$J$5:$J$291,Data!$E$5:$E$291,$A10,Data!$F$5:$F$291,"S3")</f>
        <v>0</v>
      </c>
      <c r="P10" s="57" t="n">
        <f aca="false">SUMIFS(Data!$J$5:$J$291,Data!$E$5:$E$291,$A10,Data!$F$5:$F$291,"S4")</f>
        <v>142939.125</v>
      </c>
      <c r="Q10" s="57" t="n">
        <f aca="false">SUMIFS(Data!$J$5:$J$291,Data!$E$5:$E$291,$A10,Data!$F$5:$F$291,"S5")</f>
        <v>0</v>
      </c>
      <c r="R10" s="57" t="n">
        <f aca="false">SUMIFS(Data!$J$5:$J$291,Data!$E$5:$E$291,$A10,Data!$F$5:$F$291,"S6")</f>
        <v>0</v>
      </c>
      <c r="S10" s="57" t="n">
        <f aca="false">SUMIFS(Data!$J$5:$J$291,Data!$E$5:$E$291,$A10,Data!$F$5:$F$291,"S7")</f>
        <v>0</v>
      </c>
      <c r="T10" s="57" t="n">
        <f aca="false">SUMIFS(Data!$H$5:$H$291,Data!$E$5:$E$291,$A10,Data!$F$5:$F$291,"S1")</f>
        <v>0</v>
      </c>
      <c r="U10" s="57" t="n">
        <f aca="false">SUMIFS(Data!$H$5:$H$291,Data!$E$5:$E$291,$A10,Data!$F$5:$F$291,"S2")</f>
        <v>0</v>
      </c>
      <c r="V10" s="57" t="n">
        <f aca="false">SUMIFS(Data!$H$5:$H$291,Data!$E$5:$E$291,$A10,Data!$F$5:$F$291,"S3")</f>
        <v>0</v>
      </c>
      <c r="W10" s="57" t="n">
        <f aca="false">SUMIFS(Data!$H$5:$H$291,Data!$E$5:$E$291,$A10,Data!$F$5:$F$291,"S4")</f>
        <v>610</v>
      </c>
      <c r="X10" s="57" t="n">
        <f aca="false">SUMIFS(Data!$H$5:$H$291,Data!$E$5:$E$291,$A10,Data!$F$5:$F$291,"S5")</f>
        <v>0</v>
      </c>
      <c r="Y10" s="57" t="n">
        <f aca="false">SUMIFS(Data!$H$5:$H$291,Data!$E$5:$E$291,$A10,Data!$F$5:$F$291,"S6")</f>
        <v>0</v>
      </c>
      <c r="Z10" s="57" t="n">
        <f aca="false">SUMIFS(Data!$H$5:$H$291,Data!$E$5:$E$291,$A10,Data!$F$5:$F$291,"S7")</f>
        <v>0</v>
      </c>
      <c r="AA10" s="57" t="n">
        <f aca="false">M10+N10+O10</f>
        <v>0</v>
      </c>
      <c r="AB10" s="57" t="n">
        <f aca="false">P10+Q10</f>
        <v>142939.125</v>
      </c>
      <c r="AC10" s="57" t="n">
        <f aca="false">R10+S10</f>
        <v>0</v>
      </c>
      <c r="AD10" s="57" t="n">
        <f aca="false">M10+N10+O10+P10+Q10</f>
        <v>142939.125</v>
      </c>
      <c r="AE10" s="57" t="n">
        <f aca="false">M10+N10+O10+P10+Q10+R10+S10</f>
        <v>142939.125</v>
      </c>
    </row>
    <row r="11" customFormat="false" ht="15" hidden="false" customHeight="false" outlineLevel="0" collapsed="false">
      <c r="A11" s="54" t="s">
        <v>197</v>
      </c>
      <c r="B11" s="46" t="s">
        <v>198</v>
      </c>
      <c r="C11" s="46" t="s">
        <v>20</v>
      </c>
      <c r="D11" s="46" t="s">
        <v>186</v>
      </c>
      <c r="E11" s="55" t="n">
        <f aca="false">IF(C11="IDOM",1,IF(C11="Shared",1-Assumptions!$C$14,0))</f>
        <v>1</v>
      </c>
      <c r="F11" s="55" t="n">
        <f aca="false">IF(C11="Plan Safe",1,IF(C11="Shared",Assumptions!$C$14,0))</f>
        <v>0</v>
      </c>
      <c r="G11" s="55" t="n">
        <f aca="false">IF(C11="INVAP",1,0)</f>
        <v>0</v>
      </c>
      <c r="H11" s="56" t="n">
        <v>1</v>
      </c>
      <c r="I11" s="56" t="n">
        <v>1</v>
      </c>
      <c r="J11" s="56" t="n">
        <v>1</v>
      </c>
      <c r="K11" s="56" t="n">
        <v>1</v>
      </c>
      <c r="L11" s="56" t="n">
        <v>1</v>
      </c>
      <c r="M11" s="57" t="n">
        <f aca="false">SUMIFS(Data!$J$5:$J$291,Data!$E$5:$E$291,$A11,Data!$F$5:$F$291,"S1")</f>
        <v>0</v>
      </c>
      <c r="N11" s="57" t="n">
        <f aca="false">SUMIFS(Data!$J$5:$J$291,Data!$E$5:$E$291,$A11,Data!$F$5:$F$291,"S2")</f>
        <v>0</v>
      </c>
      <c r="O11" s="57" t="n">
        <f aca="false">SUMIFS(Data!$J$5:$J$291,Data!$E$5:$E$291,$A11,Data!$F$5:$F$291,"S3")</f>
        <v>0</v>
      </c>
      <c r="P11" s="57" t="n">
        <f aca="false">SUMIFS(Data!$J$5:$J$291,Data!$E$5:$E$291,$A11,Data!$F$5:$F$291,"S4")</f>
        <v>129334.275</v>
      </c>
      <c r="Q11" s="57" t="n">
        <f aca="false">SUMIFS(Data!$J$5:$J$291,Data!$E$5:$E$291,$A11,Data!$F$5:$F$291,"S5")</f>
        <v>0</v>
      </c>
      <c r="R11" s="57" t="n">
        <f aca="false">SUMIFS(Data!$J$5:$J$291,Data!$E$5:$E$291,$A11,Data!$F$5:$F$291,"S6")</f>
        <v>0</v>
      </c>
      <c r="S11" s="57" t="n">
        <f aca="false">SUMIFS(Data!$J$5:$J$291,Data!$E$5:$E$291,$A11,Data!$F$5:$F$291,"S7")</f>
        <v>0</v>
      </c>
      <c r="T11" s="57" t="n">
        <f aca="false">SUMIFS(Data!$H$5:$H$291,Data!$E$5:$E$291,$A11,Data!$F$5:$F$291,"S1")</f>
        <v>0</v>
      </c>
      <c r="U11" s="57" t="n">
        <f aca="false">SUMIFS(Data!$H$5:$H$291,Data!$E$5:$E$291,$A11,Data!$F$5:$F$291,"S2")</f>
        <v>0</v>
      </c>
      <c r="V11" s="57" t="n">
        <f aca="false">SUMIFS(Data!$H$5:$H$291,Data!$E$5:$E$291,$A11,Data!$F$5:$F$291,"S3")</f>
        <v>0</v>
      </c>
      <c r="W11" s="57" t="n">
        <f aca="false">SUMIFS(Data!$H$5:$H$291,Data!$E$5:$E$291,$A11,Data!$F$5:$F$291,"S4")</f>
        <v>565</v>
      </c>
      <c r="X11" s="57" t="n">
        <f aca="false">SUMIFS(Data!$H$5:$H$291,Data!$E$5:$E$291,$A11,Data!$F$5:$F$291,"S5")</f>
        <v>0</v>
      </c>
      <c r="Y11" s="57" t="n">
        <f aca="false">SUMIFS(Data!$H$5:$H$291,Data!$E$5:$E$291,$A11,Data!$F$5:$F$291,"S6")</f>
        <v>0</v>
      </c>
      <c r="Z11" s="57" t="n">
        <f aca="false">SUMIFS(Data!$H$5:$H$291,Data!$E$5:$E$291,$A11,Data!$F$5:$F$291,"S7")</f>
        <v>0</v>
      </c>
      <c r="AA11" s="57" t="n">
        <f aca="false">M11+N11+O11</f>
        <v>0</v>
      </c>
      <c r="AB11" s="57" t="n">
        <f aca="false">P11+Q11</f>
        <v>129334.275</v>
      </c>
      <c r="AC11" s="57" t="n">
        <f aca="false">R11+S11</f>
        <v>0</v>
      </c>
      <c r="AD11" s="57" t="n">
        <f aca="false">M11+N11+O11+P11+Q11</f>
        <v>129334.275</v>
      </c>
      <c r="AE11" s="57" t="n">
        <f aca="false">M11+N11+O11+P11+Q11+R11+S11</f>
        <v>129334.275</v>
      </c>
    </row>
    <row r="12" customFormat="false" ht="15" hidden="false" customHeight="false" outlineLevel="0" collapsed="false">
      <c r="A12" s="54" t="s">
        <v>199</v>
      </c>
      <c r="B12" s="46" t="s">
        <v>200</v>
      </c>
      <c r="C12" s="46" t="s">
        <v>20</v>
      </c>
      <c r="D12" s="46" t="s">
        <v>186</v>
      </c>
      <c r="E12" s="55" t="n">
        <f aca="false">IF(C12="IDOM",1,IF(C12="Shared",1-Assumptions!$C$14,0))</f>
        <v>1</v>
      </c>
      <c r="F12" s="55" t="n">
        <f aca="false">IF(C12="Plan Safe",1,IF(C12="Shared",Assumptions!$C$14,0))</f>
        <v>0</v>
      </c>
      <c r="G12" s="55" t="n">
        <f aca="false">IF(C12="INVAP",1,0)</f>
        <v>0</v>
      </c>
      <c r="H12" s="56" t="n">
        <v>1</v>
      </c>
      <c r="I12" s="56" t="n">
        <v>1</v>
      </c>
      <c r="J12" s="56" t="n">
        <v>1</v>
      </c>
      <c r="K12" s="56" t="n">
        <v>1</v>
      </c>
      <c r="L12" s="56" t="n">
        <v>1</v>
      </c>
      <c r="M12" s="57" t="n">
        <f aca="false">SUMIFS(Data!$J$5:$J$291,Data!$E$5:$E$291,$A12,Data!$F$5:$F$291,"S1")</f>
        <v>0</v>
      </c>
      <c r="N12" s="57" t="n">
        <f aca="false">SUMIFS(Data!$J$5:$J$291,Data!$E$5:$E$291,$A12,Data!$F$5:$F$291,"S2")</f>
        <v>0</v>
      </c>
      <c r="O12" s="57" t="n">
        <f aca="false">SUMIFS(Data!$J$5:$J$291,Data!$E$5:$E$291,$A12,Data!$F$5:$F$291,"S3")</f>
        <v>89229</v>
      </c>
      <c r="P12" s="57" t="n">
        <f aca="false">SUMIFS(Data!$J$5:$J$291,Data!$E$5:$E$291,$A12,Data!$F$5:$F$291,"S4")</f>
        <v>107835.525</v>
      </c>
      <c r="Q12" s="57" t="n">
        <f aca="false">SUMIFS(Data!$J$5:$J$291,Data!$E$5:$E$291,$A12,Data!$F$5:$F$291,"S5")</f>
        <v>0</v>
      </c>
      <c r="R12" s="57" t="n">
        <f aca="false">SUMIFS(Data!$J$5:$J$291,Data!$E$5:$E$291,$A12,Data!$F$5:$F$291,"S6")</f>
        <v>0</v>
      </c>
      <c r="S12" s="57" t="n">
        <f aca="false">SUMIFS(Data!$J$5:$J$291,Data!$E$5:$E$291,$A12,Data!$F$5:$F$291,"S7")</f>
        <v>0</v>
      </c>
      <c r="T12" s="57" t="n">
        <f aca="false">SUMIFS(Data!$H$5:$H$291,Data!$E$5:$E$291,$A12,Data!$F$5:$F$291,"S1")</f>
        <v>0</v>
      </c>
      <c r="U12" s="57" t="n">
        <f aca="false">SUMIFS(Data!$H$5:$H$291,Data!$E$5:$E$291,$A12,Data!$F$5:$F$291,"S2")</f>
        <v>0</v>
      </c>
      <c r="V12" s="57" t="n">
        <f aca="false">SUMIFS(Data!$H$5:$H$291,Data!$E$5:$E$291,$A12,Data!$F$5:$F$291,"S3")</f>
        <v>385</v>
      </c>
      <c r="W12" s="57" t="n">
        <f aca="false">SUMIFS(Data!$H$5:$H$291,Data!$E$5:$E$291,$A12,Data!$F$5:$F$291,"S4")</f>
        <v>465</v>
      </c>
      <c r="X12" s="57" t="n">
        <f aca="false">SUMIFS(Data!$H$5:$H$291,Data!$E$5:$E$291,$A12,Data!$F$5:$F$291,"S5")</f>
        <v>0</v>
      </c>
      <c r="Y12" s="57" t="n">
        <f aca="false">SUMIFS(Data!$H$5:$H$291,Data!$E$5:$E$291,$A12,Data!$F$5:$F$291,"S6")</f>
        <v>0</v>
      </c>
      <c r="Z12" s="57" t="n">
        <f aca="false">SUMIFS(Data!$H$5:$H$291,Data!$E$5:$E$291,$A12,Data!$F$5:$F$291,"S7")</f>
        <v>0</v>
      </c>
      <c r="AA12" s="57" t="n">
        <f aca="false">M12+N12+O12</f>
        <v>89229</v>
      </c>
      <c r="AB12" s="57" t="n">
        <f aca="false">P12+Q12</f>
        <v>107835.525</v>
      </c>
      <c r="AC12" s="57" t="n">
        <f aca="false">R12+S12</f>
        <v>0</v>
      </c>
      <c r="AD12" s="57" t="n">
        <f aca="false">M12+N12+O12+P12+Q12</f>
        <v>197064.525</v>
      </c>
      <c r="AE12" s="57" t="n">
        <f aca="false">M12+N12+O12+P12+Q12+R12+S12</f>
        <v>197064.525</v>
      </c>
    </row>
    <row r="13" customFormat="false" ht="15" hidden="false" customHeight="false" outlineLevel="0" collapsed="false">
      <c r="A13" s="54" t="s">
        <v>201</v>
      </c>
      <c r="B13" s="46" t="s">
        <v>202</v>
      </c>
      <c r="C13" s="46" t="s">
        <v>20</v>
      </c>
      <c r="D13" s="46" t="s">
        <v>186</v>
      </c>
      <c r="E13" s="55" t="n">
        <f aca="false">IF(C13="IDOM",1,IF(C13="Shared",1-Assumptions!$C$14,0))</f>
        <v>1</v>
      </c>
      <c r="F13" s="55" t="n">
        <f aca="false">IF(C13="Plan Safe",1,IF(C13="Shared",Assumptions!$C$14,0))</f>
        <v>0</v>
      </c>
      <c r="G13" s="55" t="n">
        <f aca="false">IF(C13="INVAP",1,0)</f>
        <v>0</v>
      </c>
      <c r="H13" s="56" t="n">
        <v>1</v>
      </c>
      <c r="I13" s="56" t="n">
        <v>1</v>
      </c>
      <c r="J13" s="56" t="n">
        <v>1</v>
      </c>
      <c r="K13" s="56" t="n">
        <v>1</v>
      </c>
      <c r="L13" s="56" t="n">
        <v>1</v>
      </c>
      <c r="M13" s="57" t="n">
        <f aca="false">SUMIFS(Data!$J$5:$J$291,Data!$E$5:$E$291,$A13,Data!$F$5:$F$291,"S1")</f>
        <v>0</v>
      </c>
      <c r="N13" s="57" t="n">
        <f aca="false">SUMIFS(Data!$J$5:$J$291,Data!$E$5:$E$291,$A13,Data!$F$5:$F$291,"S2")</f>
        <v>0</v>
      </c>
      <c r="O13" s="57" t="n">
        <f aca="false">SUMIFS(Data!$J$5:$J$291,Data!$E$5:$E$291,$A13,Data!$F$5:$F$291,"S3")</f>
        <v>155044.575</v>
      </c>
      <c r="P13" s="57" t="n">
        <f aca="false">SUMIFS(Data!$J$5:$J$291,Data!$E$5:$E$291,$A13,Data!$F$5:$F$291,"S4")</f>
        <v>298608.45</v>
      </c>
      <c r="Q13" s="57" t="n">
        <f aca="false">SUMIFS(Data!$J$5:$J$291,Data!$E$5:$E$291,$A13,Data!$F$5:$F$291,"S5")</f>
        <v>0</v>
      </c>
      <c r="R13" s="57" t="n">
        <f aca="false">SUMIFS(Data!$J$5:$J$291,Data!$E$5:$E$291,$A13,Data!$F$5:$F$291,"S6")</f>
        <v>0</v>
      </c>
      <c r="S13" s="57" t="n">
        <f aca="false">SUMIFS(Data!$J$5:$J$291,Data!$E$5:$E$291,$A13,Data!$F$5:$F$291,"S7")</f>
        <v>0</v>
      </c>
      <c r="T13" s="57" t="n">
        <f aca="false">SUMIFS(Data!$H$5:$H$291,Data!$E$5:$E$291,$A13,Data!$F$5:$F$291,"S1")</f>
        <v>0</v>
      </c>
      <c r="U13" s="57" t="n">
        <f aca="false">SUMIFS(Data!$H$5:$H$291,Data!$E$5:$E$291,$A13,Data!$F$5:$F$291,"S2")</f>
        <v>0</v>
      </c>
      <c r="V13" s="57" t="n">
        <f aca="false">SUMIFS(Data!$H$5:$H$291,Data!$E$5:$E$291,$A13,Data!$F$5:$F$291,"S3")</f>
        <v>675</v>
      </c>
      <c r="W13" s="57" t="n">
        <f aca="false">SUMIFS(Data!$H$5:$H$291,Data!$E$5:$E$291,$A13,Data!$F$5:$F$291,"S4")</f>
        <v>1300</v>
      </c>
      <c r="X13" s="57" t="n">
        <f aca="false">SUMIFS(Data!$H$5:$H$291,Data!$E$5:$E$291,$A13,Data!$F$5:$F$291,"S5")</f>
        <v>0</v>
      </c>
      <c r="Y13" s="57" t="n">
        <f aca="false">SUMIFS(Data!$H$5:$H$291,Data!$E$5:$E$291,$A13,Data!$F$5:$F$291,"S6")</f>
        <v>0</v>
      </c>
      <c r="Z13" s="57" t="n">
        <f aca="false">SUMIFS(Data!$H$5:$H$291,Data!$E$5:$E$291,$A13,Data!$F$5:$F$291,"S7")</f>
        <v>0</v>
      </c>
      <c r="AA13" s="57" t="n">
        <f aca="false">M13+N13+O13</f>
        <v>155044.575</v>
      </c>
      <c r="AB13" s="57" t="n">
        <f aca="false">P13+Q13</f>
        <v>298608.45</v>
      </c>
      <c r="AC13" s="57" t="n">
        <f aca="false">R13+S13</f>
        <v>0</v>
      </c>
      <c r="AD13" s="57" t="n">
        <f aca="false">M13+N13+O13+P13+Q13</f>
        <v>453653.025</v>
      </c>
      <c r="AE13" s="57" t="n">
        <f aca="false">M13+N13+O13+P13+Q13+R13+S13</f>
        <v>453653.025</v>
      </c>
    </row>
    <row r="14" customFormat="false" ht="15" hidden="false" customHeight="false" outlineLevel="0" collapsed="false">
      <c r="A14" s="54" t="s">
        <v>203</v>
      </c>
      <c r="B14" s="46" t="s">
        <v>204</v>
      </c>
      <c r="C14" s="46" t="s">
        <v>188</v>
      </c>
      <c r="D14" s="46" t="s">
        <v>186</v>
      </c>
      <c r="E14" s="55" t="n">
        <f aca="false">IF(C14="IDOM",1,IF(C14="Shared",1-Assumptions!$C$14,0))</f>
        <v>0.9</v>
      </c>
      <c r="F14" s="55" t="n">
        <f aca="false">IF(C14="Plan Safe",1,IF(C14="Shared",Assumptions!$C$14,0))</f>
        <v>0.1</v>
      </c>
      <c r="G14" s="55" t="n">
        <f aca="false">IF(C14="INVAP",1,0)</f>
        <v>0</v>
      </c>
      <c r="H14" s="56" t="n">
        <v>1</v>
      </c>
      <c r="I14" s="56" t="n">
        <v>1</v>
      </c>
      <c r="J14" s="56" t="n">
        <v>1</v>
      </c>
      <c r="K14" s="56" t="n">
        <v>1</v>
      </c>
      <c r="L14" s="56" t="n">
        <v>1</v>
      </c>
      <c r="M14" s="57" t="n">
        <f aca="false">SUMIFS(Data!$J$5:$J$291,Data!$E$5:$E$291,$A14,Data!$F$5:$F$291,"S1")</f>
        <v>0</v>
      </c>
      <c r="N14" s="57" t="n">
        <f aca="false">SUMIFS(Data!$J$5:$J$291,Data!$E$5:$E$291,$A14,Data!$F$5:$F$291,"S2")</f>
        <v>0</v>
      </c>
      <c r="O14" s="57" t="n">
        <f aca="false">SUMIFS(Data!$J$5:$J$291,Data!$E$5:$E$291,$A14,Data!$F$5:$F$291,"S3")</f>
        <v>110536.65</v>
      </c>
      <c r="P14" s="57" t="n">
        <f aca="false">SUMIFS(Data!$J$5:$J$291,Data!$E$5:$E$291,$A14,Data!$F$5:$F$291,"S4")</f>
        <v>154383.075</v>
      </c>
      <c r="Q14" s="57" t="n">
        <f aca="false">SUMIFS(Data!$J$5:$J$291,Data!$E$5:$E$291,$A14,Data!$F$5:$F$291,"S5")</f>
        <v>0</v>
      </c>
      <c r="R14" s="57" t="n">
        <f aca="false">SUMIFS(Data!$J$5:$J$291,Data!$E$5:$E$291,$A14,Data!$F$5:$F$291,"S6")</f>
        <v>0</v>
      </c>
      <c r="S14" s="57" t="n">
        <f aca="false">SUMIFS(Data!$J$5:$J$291,Data!$E$5:$E$291,$A14,Data!$F$5:$F$291,"S7")</f>
        <v>0</v>
      </c>
      <c r="T14" s="57" t="n">
        <f aca="false">SUMIFS(Data!$H$5:$H$291,Data!$E$5:$E$291,$A14,Data!$F$5:$F$291,"S1")</f>
        <v>0</v>
      </c>
      <c r="U14" s="57" t="n">
        <f aca="false">SUMIFS(Data!$H$5:$H$291,Data!$E$5:$E$291,$A14,Data!$F$5:$F$291,"S2")</f>
        <v>0</v>
      </c>
      <c r="V14" s="57" t="n">
        <f aca="false">SUMIFS(Data!$H$5:$H$291,Data!$E$5:$E$291,$A14,Data!$F$5:$F$291,"S3")</f>
        <v>480</v>
      </c>
      <c r="W14" s="57" t="n">
        <f aca="false">SUMIFS(Data!$H$5:$H$291,Data!$E$5:$E$291,$A14,Data!$F$5:$F$291,"S4")</f>
        <v>670</v>
      </c>
      <c r="X14" s="57" t="n">
        <f aca="false">SUMIFS(Data!$H$5:$H$291,Data!$E$5:$E$291,$A14,Data!$F$5:$F$291,"S5")</f>
        <v>0</v>
      </c>
      <c r="Y14" s="57" t="n">
        <f aca="false">SUMIFS(Data!$H$5:$H$291,Data!$E$5:$E$291,$A14,Data!$F$5:$F$291,"S6")</f>
        <v>0</v>
      </c>
      <c r="Z14" s="57" t="n">
        <f aca="false">SUMIFS(Data!$H$5:$H$291,Data!$E$5:$E$291,$A14,Data!$F$5:$F$291,"S7")</f>
        <v>0</v>
      </c>
      <c r="AA14" s="57" t="n">
        <f aca="false">M14+N14+O14</f>
        <v>110536.65</v>
      </c>
      <c r="AB14" s="57" t="n">
        <f aca="false">P14+Q14</f>
        <v>154383.075</v>
      </c>
      <c r="AC14" s="57" t="n">
        <f aca="false">R14+S14</f>
        <v>0</v>
      </c>
      <c r="AD14" s="57" t="n">
        <f aca="false">M14+N14+O14+P14+Q14</f>
        <v>264919.725</v>
      </c>
      <c r="AE14" s="57" t="n">
        <f aca="false">M14+N14+O14+P14+Q14+R14+S14</f>
        <v>264919.725</v>
      </c>
    </row>
    <row r="15" customFormat="false" ht="15" hidden="false" customHeight="false" outlineLevel="0" collapsed="false">
      <c r="A15" s="54" t="s">
        <v>205</v>
      </c>
      <c r="B15" s="46" t="s">
        <v>206</v>
      </c>
      <c r="C15" s="46" t="s">
        <v>20</v>
      </c>
      <c r="D15" s="46" t="s">
        <v>186</v>
      </c>
      <c r="E15" s="55" t="n">
        <f aca="false">IF(C15="IDOM",1,IF(C15="Shared",1-Assumptions!$C$14,0))</f>
        <v>1</v>
      </c>
      <c r="F15" s="55" t="n">
        <f aca="false">IF(C15="Plan Safe",1,IF(C15="Shared",Assumptions!$C$14,0))</f>
        <v>0</v>
      </c>
      <c r="G15" s="55" t="n">
        <f aca="false">IF(C15="INVAP",1,0)</f>
        <v>0</v>
      </c>
      <c r="H15" s="56" t="n">
        <v>1</v>
      </c>
      <c r="I15" s="56" t="n">
        <v>1</v>
      </c>
      <c r="J15" s="56" t="n">
        <v>1</v>
      </c>
      <c r="K15" s="56" t="n">
        <v>1</v>
      </c>
      <c r="L15" s="56" t="n">
        <v>1</v>
      </c>
      <c r="M15" s="57" t="n">
        <f aca="false">SUMIFS(Data!$J$5:$J$291,Data!$E$5:$E$291,$A15,Data!$F$5:$F$291,"S1")</f>
        <v>0</v>
      </c>
      <c r="N15" s="57" t="n">
        <f aca="false">SUMIFS(Data!$J$5:$J$291,Data!$E$5:$E$291,$A15,Data!$F$5:$F$291,"S2")</f>
        <v>64455.825</v>
      </c>
      <c r="O15" s="57" t="n">
        <f aca="false">SUMIFS(Data!$J$5:$J$291,Data!$E$5:$E$291,$A15,Data!$F$5:$F$291,"S3")</f>
        <v>112300.65</v>
      </c>
      <c r="P15" s="57" t="n">
        <f aca="false">SUMIFS(Data!$J$5:$J$291,Data!$E$5:$E$291,$A15,Data!$F$5:$F$291,"S4")</f>
        <v>159322.275</v>
      </c>
      <c r="Q15" s="57" t="n">
        <f aca="false">SUMIFS(Data!$J$5:$J$291,Data!$E$5:$E$291,$A15,Data!$F$5:$F$291,"S5")</f>
        <v>0</v>
      </c>
      <c r="R15" s="57" t="n">
        <f aca="false">SUMIFS(Data!$J$5:$J$291,Data!$E$5:$E$291,$A15,Data!$F$5:$F$291,"S6")</f>
        <v>0</v>
      </c>
      <c r="S15" s="57" t="n">
        <f aca="false">SUMIFS(Data!$J$5:$J$291,Data!$E$5:$E$291,$A15,Data!$F$5:$F$291,"S7")</f>
        <v>0</v>
      </c>
      <c r="T15" s="57" t="n">
        <f aca="false">SUMIFS(Data!$H$5:$H$291,Data!$E$5:$E$291,$A15,Data!$F$5:$F$291,"S1")</f>
        <v>0</v>
      </c>
      <c r="U15" s="57" t="n">
        <f aca="false">SUMIFS(Data!$H$5:$H$291,Data!$E$5:$E$291,$A15,Data!$F$5:$F$291,"S2")</f>
        <v>280</v>
      </c>
      <c r="V15" s="57" t="n">
        <f aca="false">SUMIFS(Data!$H$5:$H$291,Data!$E$5:$E$291,$A15,Data!$F$5:$F$291,"S3")</f>
        <v>490</v>
      </c>
      <c r="W15" s="57" t="n">
        <f aca="false">SUMIFS(Data!$H$5:$H$291,Data!$E$5:$E$291,$A15,Data!$F$5:$F$291,"S4")</f>
        <v>695</v>
      </c>
      <c r="X15" s="57" t="n">
        <f aca="false">SUMIFS(Data!$H$5:$H$291,Data!$E$5:$E$291,$A15,Data!$F$5:$F$291,"S5")</f>
        <v>0</v>
      </c>
      <c r="Y15" s="57" t="n">
        <f aca="false">SUMIFS(Data!$H$5:$H$291,Data!$E$5:$E$291,$A15,Data!$F$5:$F$291,"S6")</f>
        <v>0</v>
      </c>
      <c r="Z15" s="57" t="n">
        <f aca="false">SUMIFS(Data!$H$5:$H$291,Data!$E$5:$E$291,$A15,Data!$F$5:$F$291,"S7")</f>
        <v>0</v>
      </c>
      <c r="AA15" s="57" t="n">
        <f aca="false">M15+N15+O15</f>
        <v>176756.475</v>
      </c>
      <c r="AB15" s="57" t="n">
        <f aca="false">P15+Q15</f>
        <v>159322.275</v>
      </c>
      <c r="AC15" s="57" t="n">
        <f aca="false">R15+S15</f>
        <v>0</v>
      </c>
      <c r="AD15" s="57" t="n">
        <f aca="false">M15+N15+O15+P15+Q15</f>
        <v>336078.75</v>
      </c>
      <c r="AE15" s="57" t="n">
        <f aca="false">M15+N15+O15+P15+Q15+R15+S15</f>
        <v>336078.75</v>
      </c>
    </row>
    <row r="16" customFormat="false" ht="15" hidden="false" customHeight="false" outlineLevel="0" collapsed="false">
      <c r="A16" s="54" t="s">
        <v>207</v>
      </c>
      <c r="B16" s="46" t="s">
        <v>208</v>
      </c>
      <c r="C16" s="46" t="s">
        <v>20</v>
      </c>
      <c r="D16" s="46" t="s">
        <v>186</v>
      </c>
      <c r="E16" s="55" t="n">
        <f aca="false">IF(C16="IDOM",1,IF(C16="Shared",1-Assumptions!$C$14,0))</f>
        <v>1</v>
      </c>
      <c r="F16" s="55" t="n">
        <f aca="false">IF(C16="Plan Safe",1,IF(C16="Shared",Assumptions!$C$14,0))</f>
        <v>0</v>
      </c>
      <c r="G16" s="55" t="n">
        <f aca="false">IF(C16="INVAP",1,0)</f>
        <v>0</v>
      </c>
      <c r="H16" s="56" t="n">
        <v>1</v>
      </c>
      <c r="I16" s="56" t="n">
        <v>1</v>
      </c>
      <c r="J16" s="56" t="n">
        <v>1</v>
      </c>
      <c r="K16" s="56" t="n">
        <v>1</v>
      </c>
      <c r="L16" s="56" t="n">
        <v>1</v>
      </c>
      <c r="M16" s="57" t="n">
        <f aca="false">SUMIFS(Data!$J$5:$J$291,Data!$E$5:$E$291,$A16,Data!$F$5:$F$291,"S1")</f>
        <v>0</v>
      </c>
      <c r="N16" s="57" t="n">
        <f aca="false">SUMIFS(Data!$J$5:$J$291,Data!$E$5:$E$291,$A16,Data!$F$5:$F$291,"S2")</f>
        <v>0</v>
      </c>
      <c r="O16" s="57" t="n">
        <f aca="false">SUMIFS(Data!$J$5:$J$291,Data!$E$5:$E$291,$A16,Data!$F$5:$F$291,"S3")</f>
        <v>0</v>
      </c>
      <c r="P16" s="57" t="n">
        <f aca="false">SUMIFS(Data!$J$5:$J$291,Data!$E$5:$E$291,$A16,Data!$F$5:$F$291,"S4")</f>
        <v>152615.4</v>
      </c>
      <c r="Q16" s="57" t="n">
        <f aca="false">SUMIFS(Data!$J$5:$J$291,Data!$E$5:$E$291,$A16,Data!$F$5:$F$291,"S5")</f>
        <v>0</v>
      </c>
      <c r="R16" s="57" t="n">
        <f aca="false">SUMIFS(Data!$J$5:$J$291,Data!$E$5:$E$291,$A16,Data!$F$5:$F$291,"S6")</f>
        <v>0</v>
      </c>
      <c r="S16" s="57" t="n">
        <f aca="false">SUMIFS(Data!$J$5:$J$291,Data!$E$5:$E$291,$A16,Data!$F$5:$F$291,"S7")</f>
        <v>0</v>
      </c>
      <c r="T16" s="57" t="n">
        <f aca="false">SUMIFS(Data!$H$5:$H$291,Data!$E$5:$E$291,$A16,Data!$F$5:$F$291,"S1")</f>
        <v>0</v>
      </c>
      <c r="U16" s="57" t="n">
        <f aca="false">SUMIFS(Data!$H$5:$H$291,Data!$E$5:$E$291,$A16,Data!$F$5:$F$291,"S2")</f>
        <v>0</v>
      </c>
      <c r="V16" s="57" t="n">
        <f aca="false">SUMIFS(Data!$H$5:$H$291,Data!$E$5:$E$291,$A16,Data!$F$5:$F$291,"S3")</f>
        <v>0</v>
      </c>
      <c r="W16" s="57" t="n">
        <f aca="false">SUMIFS(Data!$H$5:$H$291,Data!$E$5:$E$291,$A16,Data!$F$5:$F$291,"S4")</f>
        <v>665</v>
      </c>
      <c r="X16" s="57" t="n">
        <f aca="false">SUMIFS(Data!$H$5:$H$291,Data!$E$5:$E$291,$A16,Data!$F$5:$F$291,"S5")</f>
        <v>0</v>
      </c>
      <c r="Y16" s="57" t="n">
        <f aca="false">SUMIFS(Data!$H$5:$H$291,Data!$E$5:$E$291,$A16,Data!$F$5:$F$291,"S6")</f>
        <v>0</v>
      </c>
      <c r="Z16" s="57" t="n">
        <f aca="false">SUMIFS(Data!$H$5:$H$291,Data!$E$5:$E$291,$A16,Data!$F$5:$F$291,"S7")</f>
        <v>0</v>
      </c>
      <c r="AA16" s="57" t="n">
        <f aca="false">M16+N16+O16</f>
        <v>0</v>
      </c>
      <c r="AB16" s="57" t="n">
        <f aca="false">P16+Q16</f>
        <v>152615.4</v>
      </c>
      <c r="AC16" s="57" t="n">
        <f aca="false">R16+S16</f>
        <v>0</v>
      </c>
      <c r="AD16" s="57" t="n">
        <f aca="false">M16+N16+O16+P16+Q16</f>
        <v>152615.4</v>
      </c>
      <c r="AE16" s="57" t="n">
        <f aca="false">M16+N16+O16+P16+Q16+R16+S16</f>
        <v>152615.4</v>
      </c>
    </row>
    <row r="17" customFormat="false" ht="15" hidden="false" customHeight="false" outlineLevel="0" collapsed="false">
      <c r="A17" s="54" t="s">
        <v>209</v>
      </c>
      <c r="B17" s="46" t="s">
        <v>210</v>
      </c>
      <c r="C17" s="46" t="s">
        <v>20</v>
      </c>
      <c r="D17" s="46" t="s">
        <v>211</v>
      </c>
      <c r="E17" s="55" t="n">
        <f aca="false">IF(C17="IDOM",1,IF(C17="Shared",1-Assumptions!$C$14,0))</f>
        <v>1</v>
      </c>
      <c r="F17" s="55" t="n">
        <f aca="false">IF(C17="Plan Safe",1,IF(C17="Shared",Assumptions!$C$14,0))</f>
        <v>0</v>
      </c>
      <c r="G17" s="55" t="n">
        <f aca="false">IF(C17="INVAP",1,0)</f>
        <v>0</v>
      </c>
      <c r="H17" s="56" t="n">
        <v>1</v>
      </c>
      <c r="I17" s="56" t="n">
        <v>1</v>
      </c>
      <c r="J17" s="56" t="n">
        <v>0</v>
      </c>
      <c r="K17" s="56" t="n">
        <v>0</v>
      </c>
      <c r="L17" s="56" t="n">
        <v>0</v>
      </c>
      <c r="M17" s="57" t="n">
        <f aca="false">SUMIFS(Data!$J$5:$J$291,Data!$E$5:$E$291,$A17,Data!$F$5:$F$291,"S1")</f>
        <v>0</v>
      </c>
      <c r="N17" s="57" t="n">
        <f aca="false">SUMIFS(Data!$J$5:$J$291,Data!$E$5:$E$291,$A17,Data!$F$5:$F$291,"S2")</f>
        <v>62552.175</v>
      </c>
      <c r="O17" s="57" t="n">
        <f aca="false">SUMIFS(Data!$J$5:$J$291,Data!$E$5:$E$291,$A17,Data!$F$5:$F$291,"S3")</f>
        <v>108941.7</v>
      </c>
      <c r="P17" s="57" t="n">
        <f aca="false">SUMIFS(Data!$J$5:$J$291,Data!$E$5:$E$291,$A17,Data!$F$5:$F$291,"S4")</f>
        <v>170461.2</v>
      </c>
      <c r="Q17" s="57" t="n">
        <f aca="false">SUMIFS(Data!$J$5:$J$291,Data!$E$5:$E$291,$A17,Data!$F$5:$F$291,"S5")</f>
        <v>55701.975</v>
      </c>
      <c r="R17" s="57" t="n">
        <f aca="false">SUMIFS(Data!$J$5:$J$291,Data!$E$5:$E$291,$A17,Data!$F$5:$F$291,"S6")</f>
        <v>49810.95</v>
      </c>
      <c r="S17" s="57" t="n">
        <f aca="false">SUMIFS(Data!$J$5:$J$291,Data!$E$5:$E$291,$A17,Data!$F$5:$F$291,"S7")</f>
        <v>32325.3</v>
      </c>
      <c r="T17" s="57" t="n">
        <f aca="false">SUMIFS(Data!$H$5:$H$291,Data!$E$5:$E$291,$A17,Data!$F$5:$F$291,"S1")</f>
        <v>0</v>
      </c>
      <c r="U17" s="57" t="n">
        <f aca="false">SUMIFS(Data!$H$5:$H$291,Data!$E$5:$E$291,$A17,Data!$F$5:$F$291,"S2")</f>
        <v>270</v>
      </c>
      <c r="V17" s="57" t="n">
        <f aca="false">SUMIFS(Data!$H$5:$H$291,Data!$E$5:$E$291,$A17,Data!$F$5:$F$291,"S3")</f>
        <v>470</v>
      </c>
      <c r="W17" s="57" t="n">
        <f aca="false">SUMIFS(Data!$H$5:$H$291,Data!$E$5:$E$291,$A17,Data!$F$5:$F$291,"S4")</f>
        <v>735</v>
      </c>
      <c r="X17" s="57" t="n">
        <f aca="false">SUMIFS(Data!$H$5:$H$291,Data!$E$5:$E$291,$A17,Data!$F$5:$F$291,"S5")</f>
        <v>240</v>
      </c>
      <c r="Y17" s="57" t="n">
        <f aca="false">SUMIFS(Data!$H$5:$H$291,Data!$E$5:$E$291,$A17,Data!$F$5:$F$291,"S6")</f>
        <v>215</v>
      </c>
      <c r="Z17" s="57" t="n">
        <f aca="false">SUMIFS(Data!$H$5:$H$291,Data!$E$5:$E$291,$A17,Data!$F$5:$F$291,"S7")</f>
        <v>140</v>
      </c>
      <c r="AA17" s="57" t="n">
        <f aca="false">M17+N17+O17</f>
        <v>171493.875</v>
      </c>
      <c r="AB17" s="57" t="n">
        <f aca="false">P17+Q17</f>
        <v>226163.175</v>
      </c>
      <c r="AC17" s="57" t="n">
        <f aca="false">R17+S17</f>
        <v>82136.25</v>
      </c>
      <c r="AD17" s="57" t="n">
        <f aca="false">M17+N17+O17+P17+Q17</f>
        <v>397657.05</v>
      </c>
      <c r="AE17" s="57" t="n">
        <f aca="false">M17+N17+O17+P17+Q17+R17+S17</f>
        <v>479793.3</v>
      </c>
    </row>
    <row r="18" customFormat="false" ht="15" hidden="false" customHeight="false" outlineLevel="0" collapsed="false">
      <c r="A18" s="54" t="s">
        <v>212</v>
      </c>
      <c r="B18" s="46" t="s">
        <v>213</v>
      </c>
      <c r="C18" s="46" t="s">
        <v>20</v>
      </c>
      <c r="D18" s="46" t="s">
        <v>211</v>
      </c>
      <c r="E18" s="55" t="n">
        <f aca="false">IF(C18="IDOM",1,IF(C18="Shared",1-Assumptions!$C$14,0))</f>
        <v>1</v>
      </c>
      <c r="F18" s="55" t="n">
        <f aca="false">IF(C18="Plan Safe",1,IF(C18="Shared",Assumptions!$C$14,0))</f>
        <v>0</v>
      </c>
      <c r="G18" s="55" t="n">
        <f aca="false">IF(C18="INVAP",1,0)</f>
        <v>0</v>
      </c>
      <c r="H18" s="56" t="n">
        <v>1</v>
      </c>
      <c r="I18" s="56" t="n">
        <v>1</v>
      </c>
      <c r="J18" s="56" t="n">
        <v>0</v>
      </c>
      <c r="K18" s="56" t="n">
        <v>0</v>
      </c>
      <c r="L18" s="56" t="n">
        <v>0</v>
      </c>
      <c r="M18" s="57" t="n">
        <f aca="false">SUMIFS(Data!$J$5:$J$291,Data!$E$5:$E$291,$A18,Data!$F$5:$F$291,"S1")</f>
        <v>0</v>
      </c>
      <c r="N18" s="57" t="n">
        <f aca="false">SUMIFS(Data!$J$5:$J$291,Data!$E$5:$E$291,$A18,Data!$F$5:$F$291,"S2")</f>
        <v>37183.65</v>
      </c>
      <c r="O18" s="57" t="n">
        <f aca="false">SUMIFS(Data!$J$5:$J$291,Data!$E$5:$E$291,$A18,Data!$F$5:$F$291,"S3")</f>
        <v>89100.375</v>
      </c>
      <c r="P18" s="57" t="n">
        <f aca="false">SUMIFS(Data!$J$5:$J$291,Data!$E$5:$E$291,$A18,Data!$F$5:$F$291,"S4")</f>
        <v>129984.75</v>
      </c>
      <c r="Q18" s="57" t="n">
        <f aca="false">SUMIFS(Data!$J$5:$J$291,Data!$E$5:$E$291,$A18,Data!$F$5:$F$291,"S5")</f>
        <v>36944.775</v>
      </c>
      <c r="R18" s="57" t="n">
        <f aca="false">SUMIFS(Data!$J$5:$J$291,Data!$E$5:$E$291,$A18,Data!$F$5:$F$291,"S6")</f>
        <v>55400.625</v>
      </c>
      <c r="S18" s="57" t="n">
        <f aca="false">SUMIFS(Data!$J$5:$J$291,Data!$E$5:$E$291,$A18,Data!$F$5:$F$291,"S7")</f>
        <v>43868.475</v>
      </c>
      <c r="T18" s="57" t="n">
        <f aca="false">SUMIFS(Data!$H$5:$H$291,Data!$E$5:$E$291,$A18,Data!$F$5:$F$291,"S1")</f>
        <v>0</v>
      </c>
      <c r="U18" s="57" t="n">
        <f aca="false">SUMIFS(Data!$H$5:$H$291,Data!$E$5:$E$291,$A18,Data!$F$5:$F$291,"S2")</f>
        <v>165</v>
      </c>
      <c r="V18" s="57" t="n">
        <f aca="false">SUMIFS(Data!$H$5:$H$291,Data!$E$5:$E$291,$A18,Data!$F$5:$F$291,"S3")</f>
        <v>395</v>
      </c>
      <c r="W18" s="57" t="n">
        <f aca="false">SUMIFS(Data!$H$5:$H$291,Data!$E$5:$E$291,$A18,Data!$F$5:$F$291,"S4")</f>
        <v>575</v>
      </c>
      <c r="X18" s="57" t="n">
        <f aca="false">SUMIFS(Data!$H$5:$H$291,Data!$E$5:$E$291,$A18,Data!$F$5:$F$291,"S5")</f>
        <v>165</v>
      </c>
      <c r="Y18" s="57" t="n">
        <f aca="false">SUMIFS(Data!$H$5:$H$291,Data!$E$5:$E$291,$A18,Data!$F$5:$F$291,"S6")</f>
        <v>240</v>
      </c>
      <c r="Z18" s="57" t="n">
        <f aca="false">SUMIFS(Data!$H$5:$H$291,Data!$E$5:$E$291,$A18,Data!$F$5:$F$291,"S7")</f>
        <v>190</v>
      </c>
      <c r="AA18" s="57" t="n">
        <f aca="false">M18+N18+O18</f>
        <v>126284.025</v>
      </c>
      <c r="AB18" s="57" t="n">
        <f aca="false">P18+Q18</f>
        <v>166929.525</v>
      </c>
      <c r="AC18" s="57" t="n">
        <f aca="false">R18+S18</f>
        <v>99269.1</v>
      </c>
      <c r="AD18" s="57" t="n">
        <f aca="false">M18+N18+O18+P18+Q18</f>
        <v>293213.55</v>
      </c>
      <c r="AE18" s="57" t="n">
        <f aca="false">M18+N18+O18+P18+Q18+R18+S18</f>
        <v>392482.65</v>
      </c>
    </row>
    <row r="19" customFormat="false" ht="15" hidden="false" customHeight="false" outlineLevel="0" collapsed="false">
      <c r="A19" s="54" t="s">
        <v>214</v>
      </c>
      <c r="B19" s="46" t="s">
        <v>215</v>
      </c>
      <c r="C19" s="46" t="s">
        <v>188</v>
      </c>
      <c r="D19" s="46" t="s">
        <v>211</v>
      </c>
      <c r="E19" s="55" t="n">
        <f aca="false">IF(C19="IDOM",1,IF(C19="Shared",1-Assumptions!$C$14,0))</f>
        <v>0.9</v>
      </c>
      <c r="F19" s="55" t="n">
        <f aca="false">IF(C19="Plan Safe",1,IF(C19="Shared",Assumptions!$C$14,0))</f>
        <v>0.1</v>
      </c>
      <c r="G19" s="55" t="n">
        <f aca="false">IF(C19="INVAP",1,0)</f>
        <v>0</v>
      </c>
      <c r="H19" s="56" t="n">
        <v>1</v>
      </c>
      <c r="I19" s="56" t="n">
        <v>1</v>
      </c>
      <c r="J19" s="56" t="n">
        <v>0</v>
      </c>
      <c r="K19" s="56" t="n">
        <v>0</v>
      </c>
      <c r="L19" s="56" t="n">
        <v>0</v>
      </c>
      <c r="M19" s="57" t="n">
        <f aca="false">SUMIFS(Data!$J$5:$J$291,Data!$E$5:$E$291,$A19,Data!$F$5:$F$291,"S1")</f>
        <v>0</v>
      </c>
      <c r="N19" s="57" t="n">
        <f aca="false">SUMIFS(Data!$J$5:$J$291,Data!$E$5:$E$291,$A19,Data!$F$5:$F$291,"S2")</f>
        <v>0</v>
      </c>
      <c r="O19" s="57" t="n">
        <f aca="false">SUMIFS(Data!$J$5:$J$291,Data!$E$5:$E$291,$A19,Data!$F$5:$F$291,"S3")</f>
        <v>0</v>
      </c>
      <c r="P19" s="57" t="n">
        <f aca="false">SUMIFS(Data!$J$5:$J$291,Data!$E$5:$E$291,$A19,Data!$F$5:$F$291,"S4")</f>
        <v>137110.575</v>
      </c>
      <c r="Q19" s="57" t="n">
        <f aca="false">SUMIFS(Data!$J$5:$J$291,Data!$E$5:$E$291,$A19,Data!$F$5:$F$291,"S5")</f>
        <v>70122.675</v>
      </c>
      <c r="R19" s="57" t="n">
        <f aca="false">SUMIFS(Data!$J$5:$J$291,Data!$E$5:$E$291,$A19,Data!$F$5:$F$291,"S6")</f>
        <v>78961.05</v>
      </c>
      <c r="S19" s="57" t="n">
        <f aca="false">SUMIFS(Data!$J$5:$J$291,Data!$E$5:$E$291,$A19,Data!$F$5:$F$291,"S7")</f>
        <v>0</v>
      </c>
      <c r="T19" s="57" t="n">
        <f aca="false">SUMIFS(Data!$H$5:$H$291,Data!$E$5:$E$291,$A19,Data!$F$5:$F$291,"S1")</f>
        <v>0</v>
      </c>
      <c r="U19" s="57" t="n">
        <f aca="false">SUMIFS(Data!$H$5:$H$291,Data!$E$5:$E$291,$A19,Data!$F$5:$F$291,"S2")</f>
        <v>0</v>
      </c>
      <c r="V19" s="57" t="n">
        <f aca="false">SUMIFS(Data!$H$5:$H$291,Data!$E$5:$E$291,$A19,Data!$F$5:$F$291,"S3")</f>
        <v>0</v>
      </c>
      <c r="W19" s="57" t="n">
        <f aca="false">SUMIFS(Data!$H$5:$H$291,Data!$E$5:$E$291,$A19,Data!$F$5:$F$291,"S4")</f>
        <v>595</v>
      </c>
      <c r="X19" s="57" t="n">
        <f aca="false">SUMIFS(Data!$H$5:$H$291,Data!$E$5:$E$291,$A19,Data!$F$5:$F$291,"S5")</f>
        <v>305</v>
      </c>
      <c r="Y19" s="57" t="n">
        <f aca="false">SUMIFS(Data!$H$5:$H$291,Data!$E$5:$E$291,$A19,Data!$F$5:$F$291,"S6")</f>
        <v>345</v>
      </c>
      <c r="Z19" s="57" t="n">
        <f aca="false">SUMIFS(Data!$H$5:$H$291,Data!$E$5:$E$291,$A19,Data!$F$5:$F$291,"S7")</f>
        <v>0</v>
      </c>
      <c r="AA19" s="57" t="n">
        <f aca="false">M19+N19+O19</f>
        <v>0</v>
      </c>
      <c r="AB19" s="57" t="n">
        <f aca="false">P19+Q19</f>
        <v>207233.25</v>
      </c>
      <c r="AC19" s="57" t="n">
        <f aca="false">R19+S19</f>
        <v>78961.05</v>
      </c>
      <c r="AD19" s="57" t="n">
        <f aca="false">M19+N19+O19+P19+Q19</f>
        <v>207233.25</v>
      </c>
      <c r="AE19" s="57" t="n">
        <f aca="false">M19+N19+O19+P19+Q19+R19+S19</f>
        <v>286194.3</v>
      </c>
    </row>
    <row r="20" customFormat="false" ht="15" hidden="false" customHeight="false" outlineLevel="0" collapsed="false">
      <c r="A20" s="54" t="s">
        <v>216</v>
      </c>
      <c r="B20" s="46" t="s">
        <v>217</v>
      </c>
      <c r="C20" s="46" t="s">
        <v>188</v>
      </c>
      <c r="D20" s="46" t="s">
        <v>211</v>
      </c>
      <c r="E20" s="55" t="n">
        <f aca="false">IF(C20="IDOM",1,IF(C20="Shared",1-Assumptions!$C$14,0))</f>
        <v>0.9</v>
      </c>
      <c r="F20" s="55" t="n">
        <f aca="false">IF(C20="Plan Safe",1,IF(C20="Shared",Assumptions!$C$14,0))</f>
        <v>0.1</v>
      </c>
      <c r="G20" s="55" t="n">
        <f aca="false">IF(C20="INVAP",1,0)</f>
        <v>0</v>
      </c>
      <c r="H20" s="56" t="n">
        <v>1</v>
      </c>
      <c r="I20" s="56" t="n">
        <v>1</v>
      </c>
      <c r="J20" s="56" t="n">
        <v>0</v>
      </c>
      <c r="K20" s="56" t="n">
        <v>0</v>
      </c>
      <c r="L20" s="56" t="n">
        <v>0</v>
      </c>
      <c r="M20" s="57" t="n">
        <f aca="false">SUMIFS(Data!$J$5:$J$291,Data!$E$5:$E$291,$A20,Data!$F$5:$F$291,"S1")</f>
        <v>0</v>
      </c>
      <c r="N20" s="57" t="n">
        <f aca="false">SUMIFS(Data!$J$5:$J$291,Data!$E$5:$E$291,$A20,Data!$F$5:$F$291,"S2")</f>
        <v>0</v>
      </c>
      <c r="O20" s="57" t="n">
        <f aca="false">SUMIFS(Data!$J$5:$J$291,Data!$E$5:$E$291,$A20,Data!$F$5:$F$291,"S3")</f>
        <v>80445.75</v>
      </c>
      <c r="P20" s="57" t="n">
        <f aca="false">SUMIFS(Data!$J$5:$J$291,Data!$E$5:$E$291,$A20,Data!$F$5:$F$291,"S4")</f>
        <v>187292.7</v>
      </c>
      <c r="Q20" s="57" t="n">
        <f aca="false">SUMIFS(Data!$J$5:$J$291,Data!$E$5:$E$291,$A20,Data!$F$5:$F$291,"S5")</f>
        <v>84815.325</v>
      </c>
      <c r="R20" s="57" t="n">
        <f aca="false">SUMIFS(Data!$J$5:$J$291,Data!$E$5:$E$291,$A20,Data!$F$5:$F$291,"S6")</f>
        <v>81202.8</v>
      </c>
      <c r="S20" s="57" t="n">
        <f aca="false">SUMIFS(Data!$J$5:$J$291,Data!$E$5:$E$291,$A20,Data!$F$5:$F$291,"S7")</f>
        <v>60097.275</v>
      </c>
      <c r="T20" s="57" t="n">
        <f aca="false">SUMIFS(Data!$H$5:$H$291,Data!$E$5:$E$291,$A20,Data!$F$5:$F$291,"S1")</f>
        <v>0</v>
      </c>
      <c r="U20" s="57" t="n">
        <f aca="false">SUMIFS(Data!$H$5:$H$291,Data!$E$5:$E$291,$A20,Data!$F$5:$F$291,"S2")</f>
        <v>0</v>
      </c>
      <c r="V20" s="57" t="n">
        <f aca="false">SUMIFS(Data!$H$5:$H$291,Data!$E$5:$E$291,$A20,Data!$F$5:$F$291,"S3")</f>
        <v>350</v>
      </c>
      <c r="W20" s="57" t="n">
        <f aca="false">SUMIFS(Data!$H$5:$H$291,Data!$E$5:$E$291,$A20,Data!$F$5:$F$291,"S4")</f>
        <v>815</v>
      </c>
      <c r="X20" s="57" t="n">
        <f aca="false">SUMIFS(Data!$H$5:$H$291,Data!$E$5:$E$291,$A20,Data!$F$5:$F$291,"S5")</f>
        <v>370</v>
      </c>
      <c r="Y20" s="57" t="n">
        <f aca="false">SUMIFS(Data!$H$5:$H$291,Data!$E$5:$E$291,$A20,Data!$F$5:$F$291,"S6")</f>
        <v>355</v>
      </c>
      <c r="Z20" s="57" t="n">
        <f aca="false">SUMIFS(Data!$H$5:$H$291,Data!$E$5:$E$291,$A20,Data!$F$5:$F$291,"S7")</f>
        <v>260</v>
      </c>
      <c r="AA20" s="57" t="n">
        <f aca="false">M20+N20+O20</f>
        <v>80445.75</v>
      </c>
      <c r="AB20" s="57" t="n">
        <f aca="false">P20+Q20</f>
        <v>272108.025</v>
      </c>
      <c r="AC20" s="57" t="n">
        <f aca="false">R20+S20</f>
        <v>141300.075</v>
      </c>
      <c r="AD20" s="57" t="n">
        <f aca="false">M20+N20+O20+P20+Q20</f>
        <v>352553.775</v>
      </c>
      <c r="AE20" s="57" t="n">
        <f aca="false">M20+N20+O20+P20+Q20+R20+S20</f>
        <v>493853.85</v>
      </c>
    </row>
    <row r="21" customFormat="false" ht="15" hidden="false" customHeight="false" outlineLevel="0" collapsed="false">
      <c r="A21" s="54" t="s">
        <v>218</v>
      </c>
      <c r="B21" s="46" t="s">
        <v>219</v>
      </c>
      <c r="C21" s="46" t="s">
        <v>188</v>
      </c>
      <c r="D21" s="46" t="s">
        <v>186</v>
      </c>
      <c r="E21" s="55" t="n">
        <f aca="false">IF(C21="IDOM",1,IF(C21="Shared",1-Assumptions!$C$14,0))</f>
        <v>0.9</v>
      </c>
      <c r="F21" s="55" t="n">
        <f aca="false">IF(C21="Plan Safe",1,IF(C21="Shared",Assumptions!$C$14,0))</f>
        <v>0.1</v>
      </c>
      <c r="G21" s="55" t="n">
        <f aca="false">IF(C21="INVAP",1,0)</f>
        <v>0</v>
      </c>
      <c r="H21" s="56" t="n">
        <v>1</v>
      </c>
      <c r="I21" s="56" t="n">
        <v>1</v>
      </c>
      <c r="J21" s="56" t="n">
        <v>1</v>
      </c>
      <c r="K21" s="56" t="n">
        <v>1</v>
      </c>
      <c r="L21" s="56" t="n">
        <v>1</v>
      </c>
      <c r="M21" s="57" t="n">
        <f aca="false">SUMIFS(Data!$J$5:$J$291,Data!$E$5:$E$291,$A21,Data!$F$5:$F$291,"S1")</f>
        <v>0</v>
      </c>
      <c r="N21" s="57" t="n">
        <f aca="false">SUMIFS(Data!$J$5:$J$291,Data!$E$5:$E$291,$A21,Data!$F$5:$F$291,"S2")</f>
        <v>0</v>
      </c>
      <c r="O21" s="57" t="n">
        <f aca="false">SUMIFS(Data!$J$5:$J$291,Data!$E$5:$E$291,$A21,Data!$F$5:$F$291,"S3")</f>
        <v>0</v>
      </c>
      <c r="P21" s="57" t="n">
        <f aca="false">SUMIFS(Data!$J$5:$J$291,Data!$E$5:$E$291,$A21,Data!$F$5:$F$291,"S4")</f>
        <v>92727.6</v>
      </c>
      <c r="Q21" s="57" t="n">
        <f aca="false">SUMIFS(Data!$J$5:$J$291,Data!$E$5:$E$291,$A21,Data!$F$5:$F$291,"S5")</f>
        <v>60968.25</v>
      </c>
      <c r="R21" s="57" t="n">
        <f aca="false">SUMIFS(Data!$J$5:$J$291,Data!$E$5:$E$291,$A21,Data!$F$5:$F$291,"S6")</f>
        <v>69225.975</v>
      </c>
      <c r="S21" s="57" t="n">
        <f aca="false">SUMIFS(Data!$J$5:$J$291,Data!$E$5:$E$291,$A21,Data!$F$5:$F$291,"S7")</f>
        <v>56734.65</v>
      </c>
      <c r="T21" s="57" t="n">
        <f aca="false">SUMIFS(Data!$H$5:$H$291,Data!$E$5:$E$291,$A21,Data!$F$5:$F$291,"S1")</f>
        <v>0</v>
      </c>
      <c r="U21" s="57" t="n">
        <f aca="false">SUMIFS(Data!$H$5:$H$291,Data!$E$5:$E$291,$A21,Data!$F$5:$F$291,"S2")</f>
        <v>0</v>
      </c>
      <c r="V21" s="57" t="n">
        <f aca="false">SUMIFS(Data!$H$5:$H$291,Data!$E$5:$E$291,$A21,Data!$F$5:$F$291,"S3")</f>
        <v>0</v>
      </c>
      <c r="W21" s="57" t="n">
        <f aca="false">SUMIFS(Data!$H$5:$H$291,Data!$E$5:$E$291,$A21,Data!$F$5:$F$291,"S4")</f>
        <v>400</v>
      </c>
      <c r="X21" s="57" t="n">
        <f aca="false">SUMIFS(Data!$H$5:$H$291,Data!$E$5:$E$291,$A21,Data!$F$5:$F$291,"S5")</f>
        <v>265</v>
      </c>
      <c r="Y21" s="57" t="n">
        <f aca="false">SUMIFS(Data!$H$5:$H$291,Data!$E$5:$E$291,$A21,Data!$F$5:$F$291,"S6")</f>
        <v>300</v>
      </c>
      <c r="Z21" s="57" t="n">
        <f aca="false">SUMIFS(Data!$H$5:$H$291,Data!$E$5:$E$291,$A21,Data!$F$5:$F$291,"S7")</f>
        <v>245</v>
      </c>
      <c r="AA21" s="57" t="n">
        <f aca="false">M21+N21+O21</f>
        <v>0</v>
      </c>
      <c r="AB21" s="57" t="n">
        <f aca="false">P21+Q21</f>
        <v>153695.85</v>
      </c>
      <c r="AC21" s="57" t="n">
        <f aca="false">R21+S21</f>
        <v>125960.625</v>
      </c>
      <c r="AD21" s="57" t="n">
        <f aca="false">M21+N21+O21+P21+Q21</f>
        <v>153695.85</v>
      </c>
      <c r="AE21" s="57" t="n">
        <f aca="false">M21+N21+O21+P21+Q21+R21+S21</f>
        <v>279656.475</v>
      </c>
    </row>
    <row r="22" customFormat="false" ht="15" hidden="false" customHeight="false" outlineLevel="0" collapsed="false">
      <c r="A22" s="54" t="s">
        <v>220</v>
      </c>
      <c r="B22" s="46" t="s">
        <v>221</v>
      </c>
      <c r="C22" s="46" t="s">
        <v>20</v>
      </c>
      <c r="D22" s="46" t="s">
        <v>186</v>
      </c>
      <c r="E22" s="55" t="n">
        <f aca="false">IF(C22="IDOM",1,IF(C22="Shared",1-Assumptions!$C$14,0))</f>
        <v>1</v>
      </c>
      <c r="F22" s="55" t="n">
        <f aca="false">IF(C22="Plan Safe",1,IF(C22="Shared",Assumptions!$C$14,0))</f>
        <v>0</v>
      </c>
      <c r="G22" s="55" t="n">
        <f aca="false">IF(C22="INVAP",1,0)</f>
        <v>0</v>
      </c>
      <c r="H22" s="56" t="n">
        <v>1</v>
      </c>
      <c r="I22" s="56" t="n">
        <v>1</v>
      </c>
      <c r="J22" s="56" t="n">
        <v>1</v>
      </c>
      <c r="K22" s="56" t="n">
        <v>1</v>
      </c>
      <c r="L22" s="56" t="n">
        <v>1</v>
      </c>
      <c r="M22" s="57" t="n">
        <f aca="false">SUMIFS(Data!$J$5:$J$291,Data!$E$5:$E$291,$A22,Data!$F$5:$F$291,"S1")</f>
        <v>0</v>
      </c>
      <c r="N22" s="57" t="n">
        <f aca="false">SUMIFS(Data!$J$5:$J$291,Data!$E$5:$E$291,$A22,Data!$F$5:$F$291,"S2")</f>
        <v>0</v>
      </c>
      <c r="O22" s="57" t="n">
        <f aca="false">SUMIFS(Data!$J$5:$J$291,Data!$E$5:$E$291,$A22,Data!$F$5:$F$291,"S3")</f>
        <v>0</v>
      </c>
      <c r="P22" s="57" t="n">
        <f aca="false">SUMIFS(Data!$J$5:$J$291,Data!$E$5:$E$291,$A22,Data!$F$5:$F$291,"S4")</f>
        <v>0</v>
      </c>
      <c r="Q22" s="57" t="n">
        <f aca="false">SUMIFS(Data!$J$5:$J$291,Data!$E$5:$E$291,$A22,Data!$F$5:$F$291,"S5")</f>
        <v>0</v>
      </c>
      <c r="R22" s="57" t="n">
        <f aca="false">SUMIFS(Data!$J$5:$J$291,Data!$E$5:$E$291,$A22,Data!$F$5:$F$291,"S6")</f>
        <v>81202.8</v>
      </c>
      <c r="S22" s="57" t="n">
        <f aca="false">SUMIFS(Data!$J$5:$J$291,Data!$E$5:$E$291,$A22,Data!$F$5:$F$291,"S7")</f>
        <v>108875.55</v>
      </c>
      <c r="T22" s="57" t="n">
        <f aca="false">SUMIFS(Data!$H$5:$H$291,Data!$E$5:$E$291,$A22,Data!$F$5:$F$291,"S1")</f>
        <v>0</v>
      </c>
      <c r="U22" s="57" t="n">
        <f aca="false">SUMIFS(Data!$H$5:$H$291,Data!$E$5:$E$291,$A22,Data!$F$5:$F$291,"S2")</f>
        <v>0</v>
      </c>
      <c r="V22" s="57" t="n">
        <f aca="false">SUMIFS(Data!$H$5:$H$291,Data!$E$5:$E$291,$A22,Data!$F$5:$F$291,"S3")</f>
        <v>0</v>
      </c>
      <c r="W22" s="57" t="n">
        <f aca="false">SUMIFS(Data!$H$5:$H$291,Data!$E$5:$E$291,$A22,Data!$F$5:$F$291,"S4")</f>
        <v>0</v>
      </c>
      <c r="X22" s="57" t="n">
        <f aca="false">SUMIFS(Data!$H$5:$H$291,Data!$E$5:$E$291,$A22,Data!$F$5:$F$291,"S5")</f>
        <v>0</v>
      </c>
      <c r="Y22" s="57" t="n">
        <f aca="false">SUMIFS(Data!$H$5:$H$291,Data!$E$5:$E$291,$A22,Data!$F$5:$F$291,"S6")</f>
        <v>355</v>
      </c>
      <c r="Z22" s="57" t="n">
        <f aca="false">SUMIFS(Data!$H$5:$H$291,Data!$E$5:$E$291,$A22,Data!$F$5:$F$291,"S7")</f>
        <v>475</v>
      </c>
      <c r="AA22" s="57" t="n">
        <f aca="false">M22+N22+O22</f>
        <v>0</v>
      </c>
      <c r="AB22" s="57" t="n">
        <f aca="false">P22+Q22</f>
        <v>0</v>
      </c>
      <c r="AC22" s="57" t="n">
        <f aca="false">R22+S22</f>
        <v>190078.35</v>
      </c>
      <c r="AD22" s="57" t="n">
        <f aca="false">M22+N22+O22+P22+Q22</f>
        <v>0</v>
      </c>
      <c r="AE22" s="57" t="n">
        <f aca="false">M22+N22+O22+P22+Q22+R22+S22</f>
        <v>190078.35</v>
      </c>
    </row>
    <row r="23" customFormat="false" ht="15" hidden="false" customHeight="false" outlineLevel="0" collapsed="false">
      <c r="A23" s="54" t="s">
        <v>222</v>
      </c>
      <c r="B23" s="46" t="s">
        <v>223</v>
      </c>
      <c r="C23" s="46" t="s">
        <v>188</v>
      </c>
      <c r="D23" s="46" t="s">
        <v>186</v>
      </c>
      <c r="E23" s="55" t="n">
        <f aca="false">IF(C23="IDOM",1,IF(C23="Shared",1-Assumptions!$C$14,0))</f>
        <v>0.9</v>
      </c>
      <c r="F23" s="55" t="n">
        <f aca="false">IF(C23="Plan Safe",1,IF(C23="Shared",Assumptions!$C$14,0))</f>
        <v>0.1</v>
      </c>
      <c r="G23" s="55" t="n">
        <f aca="false">IF(C23="INVAP",1,0)</f>
        <v>0</v>
      </c>
      <c r="H23" s="56" t="n">
        <v>1</v>
      </c>
      <c r="I23" s="56" t="n">
        <v>1</v>
      </c>
      <c r="J23" s="56" t="n">
        <v>1</v>
      </c>
      <c r="K23" s="56" t="n">
        <v>1</v>
      </c>
      <c r="L23" s="56" t="n">
        <v>1</v>
      </c>
      <c r="M23" s="57" t="n">
        <f aca="false">SUMIFS(Data!$J$5:$J$291,Data!$E$5:$E$291,$A23,Data!$F$5:$F$291,"S1")</f>
        <v>0</v>
      </c>
      <c r="N23" s="57" t="n">
        <f aca="false">SUMIFS(Data!$J$5:$J$291,Data!$E$5:$E$291,$A23,Data!$F$5:$F$291,"S2")</f>
        <v>0</v>
      </c>
      <c r="O23" s="57" t="n">
        <f aca="false">SUMIFS(Data!$J$5:$J$291,Data!$E$5:$E$291,$A23,Data!$F$5:$F$291,"S3")</f>
        <v>0</v>
      </c>
      <c r="P23" s="57" t="n">
        <f aca="false">SUMIFS(Data!$J$5:$J$291,Data!$E$5:$E$291,$A23,Data!$F$5:$F$291,"S4")</f>
        <v>130973.325</v>
      </c>
      <c r="Q23" s="57" t="n">
        <f aca="false">SUMIFS(Data!$J$5:$J$291,Data!$E$5:$E$291,$A23,Data!$F$5:$F$291,"S5")</f>
        <v>0</v>
      </c>
      <c r="R23" s="57" t="n">
        <f aca="false">SUMIFS(Data!$J$5:$J$291,Data!$E$5:$E$291,$A23,Data!$F$5:$F$291,"S6")</f>
        <v>0</v>
      </c>
      <c r="S23" s="57" t="n">
        <f aca="false">SUMIFS(Data!$J$5:$J$291,Data!$E$5:$E$291,$A23,Data!$F$5:$F$291,"S7")</f>
        <v>0</v>
      </c>
      <c r="T23" s="57" t="n">
        <f aca="false">SUMIFS(Data!$H$5:$H$291,Data!$E$5:$E$291,$A23,Data!$F$5:$F$291,"S1")</f>
        <v>0</v>
      </c>
      <c r="U23" s="57" t="n">
        <f aca="false">SUMIFS(Data!$H$5:$H$291,Data!$E$5:$E$291,$A23,Data!$F$5:$F$291,"S2")</f>
        <v>0</v>
      </c>
      <c r="V23" s="57" t="n">
        <f aca="false">SUMIFS(Data!$H$5:$H$291,Data!$E$5:$E$291,$A23,Data!$F$5:$F$291,"S3")</f>
        <v>0</v>
      </c>
      <c r="W23" s="57" t="n">
        <f aca="false">SUMIFS(Data!$H$5:$H$291,Data!$E$5:$E$291,$A23,Data!$F$5:$F$291,"S4")</f>
        <v>565</v>
      </c>
      <c r="X23" s="57" t="n">
        <f aca="false">SUMIFS(Data!$H$5:$H$291,Data!$E$5:$E$291,$A23,Data!$F$5:$F$291,"S5")</f>
        <v>0</v>
      </c>
      <c r="Y23" s="57" t="n">
        <f aca="false">SUMIFS(Data!$H$5:$H$291,Data!$E$5:$E$291,$A23,Data!$F$5:$F$291,"S6")</f>
        <v>0</v>
      </c>
      <c r="Z23" s="57" t="n">
        <f aca="false">SUMIFS(Data!$H$5:$H$291,Data!$E$5:$E$291,$A23,Data!$F$5:$F$291,"S7")</f>
        <v>0</v>
      </c>
      <c r="AA23" s="57" t="n">
        <f aca="false">M23+N23+O23</f>
        <v>0</v>
      </c>
      <c r="AB23" s="57" t="n">
        <f aca="false">P23+Q23</f>
        <v>130973.325</v>
      </c>
      <c r="AC23" s="57" t="n">
        <f aca="false">R23+S23</f>
        <v>0</v>
      </c>
      <c r="AD23" s="57" t="n">
        <f aca="false">M23+N23+O23+P23+Q23</f>
        <v>130973.325</v>
      </c>
      <c r="AE23" s="57" t="n">
        <f aca="false">M23+N23+O23+P23+Q23+R23+S23</f>
        <v>130973.325</v>
      </c>
    </row>
    <row r="24" customFormat="false" ht="15" hidden="false" customHeight="false" outlineLevel="0" collapsed="false">
      <c r="A24" s="54" t="s">
        <v>224</v>
      </c>
      <c r="B24" s="46" t="s">
        <v>225</v>
      </c>
      <c r="C24" s="46" t="s">
        <v>188</v>
      </c>
      <c r="D24" s="46" t="s">
        <v>186</v>
      </c>
      <c r="E24" s="55" t="n">
        <f aca="false">IF(C24="IDOM",1,IF(C24="Shared",1-Assumptions!$C$14,0))</f>
        <v>0.9</v>
      </c>
      <c r="F24" s="55" t="n">
        <f aca="false">IF(C24="Plan Safe",1,IF(C24="Shared",Assumptions!$C$14,0))</f>
        <v>0.1</v>
      </c>
      <c r="G24" s="55" t="n">
        <f aca="false">IF(C24="INVAP",1,0)</f>
        <v>0</v>
      </c>
      <c r="H24" s="56" t="n">
        <v>1</v>
      </c>
      <c r="I24" s="56" t="n">
        <v>1</v>
      </c>
      <c r="J24" s="56" t="n">
        <v>1</v>
      </c>
      <c r="K24" s="56" t="n">
        <v>1</v>
      </c>
      <c r="L24" s="56" t="n">
        <v>1</v>
      </c>
      <c r="M24" s="57" t="n">
        <f aca="false">SUMIFS(Data!$J$5:$J$291,Data!$E$5:$E$291,$A24,Data!$F$5:$F$291,"S1")</f>
        <v>0</v>
      </c>
      <c r="N24" s="57" t="n">
        <f aca="false">SUMIFS(Data!$J$5:$J$291,Data!$E$5:$E$291,$A24,Data!$F$5:$F$291,"S2")</f>
        <v>0</v>
      </c>
      <c r="O24" s="57" t="n">
        <f aca="false">SUMIFS(Data!$J$5:$J$291,Data!$E$5:$E$291,$A24,Data!$F$5:$F$291,"S3")</f>
        <v>0</v>
      </c>
      <c r="P24" s="57" t="n">
        <f aca="false">SUMIFS(Data!$J$5:$J$291,Data!$E$5:$E$291,$A24,Data!$F$5:$F$291,"S4")</f>
        <v>0</v>
      </c>
      <c r="Q24" s="57" t="n">
        <f aca="false">SUMIFS(Data!$J$5:$J$291,Data!$E$5:$E$291,$A24,Data!$F$5:$F$291,"S5")</f>
        <v>103524.75</v>
      </c>
      <c r="R24" s="57" t="n">
        <f aca="false">SUMIFS(Data!$J$5:$J$291,Data!$E$5:$E$291,$A24,Data!$F$5:$F$291,"S6")</f>
        <v>77678.475</v>
      </c>
      <c r="S24" s="57" t="n">
        <f aca="false">SUMIFS(Data!$J$5:$J$291,Data!$E$5:$E$291,$A24,Data!$F$5:$F$291,"S7")</f>
        <v>51314.025</v>
      </c>
      <c r="T24" s="57" t="n">
        <f aca="false">SUMIFS(Data!$H$5:$H$291,Data!$E$5:$E$291,$A24,Data!$F$5:$F$291,"S1")</f>
        <v>0</v>
      </c>
      <c r="U24" s="57" t="n">
        <f aca="false">SUMIFS(Data!$H$5:$H$291,Data!$E$5:$E$291,$A24,Data!$F$5:$F$291,"S2")</f>
        <v>0</v>
      </c>
      <c r="V24" s="57" t="n">
        <f aca="false">SUMIFS(Data!$H$5:$H$291,Data!$E$5:$E$291,$A24,Data!$F$5:$F$291,"S3")</f>
        <v>0</v>
      </c>
      <c r="W24" s="57" t="n">
        <f aca="false">SUMIFS(Data!$H$5:$H$291,Data!$E$5:$E$291,$A24,Data!$F$5:$F$291,"S4")</f>
        <v>0</v>
      </c>
      <c r="X24" s="57" t="n">
        <f aca="false">SUMIFS(Data!$H$5:$H$291,Data!$E$5:$E$291,$A24,Data!$F$5:$F$291,"S5")</f>
        <v>450</v>
      </c>
      <c r="Y24" s="57" t="n">
        <f aca="false">SUMIFS(Data!$H$5:$H$291,Data!$E$5:$E$291,$A24,Data!$F$5:$F$291,"S6")</f>
        <v>340</v>
      </c>
      <c r="Z24" s="57" t="n">
        <f aca="false">SUMIFS(Data!$H$5:$H$291,Data!$E$5:$E$291,$A24,Data!$F$5:$F$291,"S7")</f>
        <v>225</v>
      </c>
      <c r="AA24" s="57" t="n">
        <f aca="false">M24+N24+O24</f>
        <v>0</v>
      </c>
      <c r="AB24" s="57" t="n">
        <f aca="false">P24+Q24</f>
        <v>103524.75</v>
      </c>
      <c r="AC24" s="57" t="n">
        <f aca="false">R24+S24</f>
        <v>128992.5</v>
      </c>
      <c r="AD24" s="57" t="n">
        <f aca="false">M24+N24+O24+P24+Q24</f>
        <v>103524.75</v>
      </c>
      <c r="AE24" s="57" t="n">
        <f aca="false">M24+N24+O24+P24+Q24+R24+S24</f>
        <v>232517.25</v>
      </c>
    </row>
    <row r="25" customFormat="false" ht="15" hidden="false" customHeight="false" outlineLevel="0" collapsed="false">
      <c r="A25" s="54" t="s">
        <v>226</v>
      </c>
      <c r="B25" s="46" t="s">
        <v>227</v>
      </c>
      <c r="C25" s="46" t="s">
        <v>22</v>
      </c>
      <c r="D25" s="46" t="s">
        <v>22</v>
      </c>
      <c r="E25" s="55" t="n">
        <f aca="false">IF(C25="IDOM",1,IF(C25="Shared",1-Assumptions!$C$14,0))</f>
        <v>0</v>
      </c>
      <c r="F25" s="55" t="n">
        <f aca="false">IF(C25="Plan Safe",1,IF(C25="Shared",Assumptions!$C$14,0))</f>
        <v>0</v>
      </c>
      <c r="G25" s="55" t="n">
        <f aca="false">IF(C25="INVAP",1,0)</f>
        <v>1</v>
      </c>
      <c r="H25" s="56" t="n">
        <f aca="false">IF(Assumptions!$C$9="Yes",1,0)</f>
        <v>1</v>
      </c>
      <c r="I25" s="56" t="n">
        <f aca="false">IF(Assumptions!$C$9="Yes",1,0)</f>
        <v>1</v>
      </c>
      <c r="J25" s="56" t="n">
        <f aca="false">IF(Assumptions!$C$9="Yes",1,0)</f>
        <v>1</v>
      </c>
      <c r="K25" s="56" t="n">
        <f aca="false">IF(Assumptions!$C$9="Yes",1,0)</f>
        <v>1</v>
      </c>
      <c r="L25" s="56" t="n">
        <f aca="false">IF(Assumptions!$C$9="Yes",1,0)</f>
        <v>1</v>
      </c>
      <c r="M25" s="57" t="n">
        <f aca="false">SUMIFS(Data!$J$5:$J$291,Data!$E$5:$E$291,$A25,Data!$F$5:$F$291,"S1")</f>
        <v>78836.1</v>
      </c>
      <c r="N25" s="57" t="n">
        <f aca="false">SUMIFS(Data!$J$5:$J$291,Data!$E$5:$E$291,$A25,Data!$F$5:$F$291,"S2")</f>
        <v>0</v>
      </c>
      <c r="O25" s="57" t="n">
        <f aca="false">SUMIFS(Data!$J$5:$J$291,Data!$E$5:$E$291,$A25,Data!$F$5:$F$291,"S3")</f>
        <v>0</v>
      </c>
      <c r="P25" s="57" t="n">
        <f aca="false">SUMIFS(Data!$J$5:$J$291,Data!$E$5:$E$291,$A25,Data!$F$5:$F$291,"S4")</f>
        <v>0</v>
      </c>
      <c r="Q25" s="57" t="n">
        <f aca="false">SUMIFS(Data!$J$5:$J$291,Data!$E$5:$E$291,$A25,Data!$F$5:$F$291,"S5")</f>
        <v>0</v>
      </c>
      <c r="R25" s="57" t="n">
        <f aca="false">SUMIFS(Data!$J$5:$J$291,Data!$E$5:$E$291,$A25,Data!$F$5:$F$291,"S6")</f>
        <v>0</v>
      </c>
      <c r="S25" s="57" t="n">
        <f aca="false">SUMIFS(Data!$J$5:$J$291,Data!$E$5:$E$291,$A25,Data!$F$5:$F$291,"S7")</f>
        <v>0</v>
      </c>
      <c r="T25" s="57" t="n">
        <f aca="false">SUMIFS(Data!$H$5:$H$291,Data!$E$5:$E$291,$A25,Data!$F$5:$F$291,"S1")</f>
        <v>345</v>
      </c>
      <c r="U25" s="57" t="n">
        <f aca="false">SUMIFS(Data!$H$5:$H$291,Data!$E$5:$E$291,$A25,Data!$F$5:$F$291,"S2")</f>
        <v>0</v>
      </c>
      <c r="V25" s="57" t="n">
        <f aca="false">SUMIFS(Data!$H$5:$H$291,Data!$E$5:$E$291,$A25,Data!$F$5:$F$291,"S3")</f>
        <v>0</v>
      </c>
      <c r="W25" s="57" t="n">
        <f aca="false">SUMIFS(Data!$H$5:$H$291,Data!$E$5:$E$291,$A25,Data!$F$5:$F$291,"S4")</f>
        <v>0</v>
      </c>
      <c r="X25" s="57" t="n">
        <f aca="false">SUMIFS(Data!$H$5:$H$291,Data!$E$5:$E$291,$A25,Data!$F$5:$F$291,"S5")</f>
        <v>0</v>
      </c>
      <c r="Y25" s="57" t="n">
        <f aca="false">SUMIFS(Data!$H$5:$H$291,Data!$E$5:$E$291,$A25,Data!$F$5:$F$291,"S6")</f>
        <v>0</v>
      </c>
      <c r="Z25" s="57" t="n">
        <f aca="false">SUMIFS(Data!$H$5:$H$291,Data!$E$5:$E$291,$A25,Data!$F$5:$F$291,"S7")</f>
        <v>0</v>
      </c>
      <c r="AA25" s="57" t="n">
        <f aca="false">M25+N25+O25</f>
        <v>78836.1</v>
      </c>
      <c r="AB25" s="57" t="n">
        <f aca="false">P25+Q25</f>
        <v>0</v>
      </c>
      <c r="AC25" s="57" t="n">
        <f aca="false">R25+S25</f>
        <v>0</v>
      </c>
      <c r="AD25" s="57" t="n">
        <f aca="false">M25+N25+O25+P25+Q25</f>
        <v>78836.1</v>
      </c>
      <c r="AE25" s="57" t="n">
        <f aca="false">M25+N25+O25+P25+Q25+R25+S25</f>
        <v>78836.1</v>
      </c>
    </row>
    <row r="26" customFormat="false" ht="15" hidden="false" customHeight="false" outlineLevel="0" collapsed="false">
      <c r="A26" s="54" t="s">
        <v>89</v>
      </c>
      <c r="B26" s="46" t="s">
        <v>228</v>
      </c>
      <c r="C26" s="46" t="s">
        <v>21</v>
      </c>
      <c r="D26" s="46" t="s">
        <v>229</v>
      </c>
      <c r="E26" s="55" t="n">
        <f aca="false">IF(C26="IDOM",1,IF(C26="Shared",1-Assumptions!$C$14,0))</f>
        <v>0</v>
      </c>
      <c r="F26" s="55" t="n">
        <f aca="false">IF(C26="Plan Safe",1,IF(C26="Shared",Assumptions!$C$14,0))</f>
        <v>1</v>
      </c>
      <c r="G26" s="55" t="n">
        <f aca="false">IF(C26="INVAP",1,0)</f>
        <v>0</v>
      </c>
      <c r="H26" s="56" t="n">
        <v>1</v>
      </c>
      <c r="I26" s="56" t="n">
        <v>0</v>
      </c>
      <c r="J26" s="56" t="n">
        <v>0</v>
      </c>
      <c r="K26" s="56" t="n">
        <f aca="false">Assumptions!$C$15</f>
        <v>0.5</v>
      </c>
      <c r="L26" s="56" t="n">
        <v>1</v>
      </c>
      <c r="M26" s="57" t="n">
        <f aca="false">SUMIFS(Data!$J$5:$J$291,Data!$E$5:$E$291,$A26,Data!$F$5:$F$291,"S1")</f>
        <v>62875.575</v>
      </c>
      <c r="N26" s="57" t="n">
        <f aca="false">SUMIFS(Data!$J$5:$J$291,Data!$E$5:$E$291,$A26,Data!$F$5:$F$291,"S2")</f>
        <v>88244.1</v>
      </c>
      <c r="O26" s="57" t="n">
        <f aca="false">SUMIFS(Data!$J$5:$J$291,Data!$E$5:$E$291,$A26,Data!$F$5:$F$291,"S3")</f>
        <v>0</v>
      </c>
      <c r="P26" s="57" t="n">
        <f aca="false">SUMIFS(Data!$J$5:$J$291,Data!$E$5:$E$291,$A26,Data!$F$5:$F$291,"S4")</f>
        <v>0</v>
      </c>
      <c r="Q26" s="57" t="n">
        <f aca="false">SUMIFS(Data!$J$5:$J$291,Data!$E$5:$E$291,$A26,Data!$F$5:$F$291,"S5")</f>
        <v>0</v>
      </c>
      <c r="R26" s="57" t="n">
        <f aca="false">SUMIFS(Data!$J$5:$J$291,Data!$E$5:$E$291,$A26,Data!$F$5:$F$291,"S6")</f>
        <v>0</v>
      </c>
      <c r="S26" s="57" t="n">
        <f aca="false">SUMIFS(Data!$J$5:$J$291,Data!$E$5:$E$291,$A26,Data!$F$5:$F$291,"S7")</f>
        <v>0</v>
      </c>
      <c r="T26" s="57" t="n">
        <f aca="false">SUMIFS(Data!$H$5:$H$291,Data!$E$5:$E$291,$A26,Data!$F$5:$F$291,"S1")</f>
        <v>270</v>
      </c>
      <c r="U26" s="57" t="n">
        <f aca="false">SUMIFS(Data!$H$5:$H$291,Data!$E$5:$E$291,$A26,Data!$F$5:$F$291,"S2")</f>
        <v>380</v>
      </c>
      <c r="V26" s="57" t="n">
        <f aca="false">SUMIFS(Data!$H$5:$H$291,Data!$E$5:$E$291,$A26,Data!$F$5:$F$291,"S3")</f>
        <v>0</v>
      </c>
      <c r="W26" s="57" t="n">
        <f aca="false">SUMIFS(Data!$H$5:$H$291,Data!$E$5:$E$291,$A26,Data!$F$5:$F$291,"S4")</f>
        <v>0</v>
      </c>
      <c r="X26" s="57" t="n">
        <f aca="false">SUMIFS(Data!$H$5:$H$291,Data!$E$5:$E$291,$A26,Data!$F$5:$F$291,"S5")</f>
        <v>0</v>
      </c>
      <c r="Y26" s="57" t="n">
        <f aca="false">SUMIFS(Data!$H$5:$H$291,Data!$E$5:$E$291,$A26,Data!$F$5:$F$291,"S6")</f>
        <v>0</v>
      </c>
      <c r="Z26" s="57" t="n">
        <f aca="false">SUMIFS(Data!$H$5:$H$291,Data!$E$5:$E$291,$A26,Data!$F$5:$F$291,"S7")</f>
        <v>0</v>
      </c>
      <c r="AA26" s="57" t="n">
        <f aca="false">M26+N26+O26</f>
        <v>151119.675</v>
      </c>
      <c r="AB26" s="57" t="n">
        <f aca="false">P26+Q26</f>
        <v>0</v>
      </c>
      <c r="AC26" s="57" t="n">
        <f aca="false">R26+S26</f>
        <v>0</v>
      </c>
      <c r="AD26" s="57" t="n">
        <f aca="false">M26+N26+O26+P26+Q26</f>
        <v>151119.675</v>
      </c>
      <c r="AE26" s="57" t="n">
        <f aca="false">M26+N26+O26+P26+Q26+R26+S26</f>
        <v>151119.675</v>
      </c>
    </row>
    <row r="27" customFormat="false" ht="15" hidden="false" customHeight="false" outlineLevel="0" collapsed="false">
      <c r="A27" s="54" t="s">
        <v>91</v>
      </c>
      <c r="B27" s="46" t="s">
        <v>230</v>
      </c>
      <c r="C27" s="46" t="s">
        <v>21</v>
      </c>
      <c r="D27" s="46" t="s">
        <v>229</v>
      </c>
      <c r="E27" s="55" t="n">
        <f aca="false">IF(C27="IDOM",1,IF(C27="Shared",1-Assumptions!$C$14,0))</f>
        <v>0</v>
      </c>
      <c r="F27" s="55" t="n">
        <f aca="false">IF(C27="Plan Safe",1,IF(C27="Shared",Assumptions!$C$14,0))</f>
        <v>1</v>
      </c>
      <c r="G27" s="55" t="n">
        <f aca="false">IF(C27="INVAP",1,0)</f>
        <v>0</v>
      </c>
      <c r="H27" s="56" t="n">
        <v>1</v>
      </c>
      <c r="I27" s="56" t="n">
        <v>0</v>
      </c>
      <c r="J27" s="56" t="n">
        <v>0</v>
      </c>
      <c r="K27" s="56" t="n">
        <f aca="false">Assumptions!$C$15</f>
        <v>0.5</v>
      </c>
      <c r="L27" s="56" t="n">
        <v>1</v>
      </c>
      <c r="M27" s="57" t="n">
        <f aca="false">SUMIFS(Data!$J$5:$J$291,Data!$E$5:$E$291,$A27,Data!$F$5:$F$291,"S1")</f>
        <v>45191.475</v>
      </c>
      <c r="N27" s="57" t="n">
        <f aca="false">SUMIFS(Data!$J$5:$J$291,Data!$E$5:$E$291,$A27,Data!$F$5:$F$291,"S2")</f>
        <v>70622.475</v>
      </c>
      <c r="O27" s="57" t="n">
        <f aca="false">SUMIFS(Data!$J$5:$J$291,Data!$E$5:$E$291,$A27,Data!$F$5:$F$291,"S3")</f>
        <v>124531.05</v>
      </c>
      <c r="P27" s="57" t="n">
        <f aca="false">SUMIFS(Data!$J$5:$J$291,Data!$E$5:$E$291,$A27,Data!$F$5:$F$291,"S4")</f>
        <v>145416.075</v>
      </c>
      <c r="Q27" s="57" t="n">
        <f aca="false">SUMIFS(Data!$J$5:$J$291,Data!$E$5:$E$291,$A27,Data!$F$5:$F$291,"S5")</f>
        <v>63195.3</v>
      </c>
      <c r="R27" s="57" t="n">
        <f aca="false">SUMIFS(Data!$J$5:$J$291,Data!$E$5:$E$291,$A27,Data!$F$5:$F$291,"S6")</f>
        <v>65411.325</v>
      </c>
      <c r="S27" s="57" t="n">
        <f aca="false">SUMIFS(Data!$J$5:$J$291,Data!$E$5:$E$291,$A27,Data!$F$5:$F$291,"S7")</f>
        <v>0</v>
      </c>
      <c r="T27" s="57" t="n">
        <f aca="false">SUMIFS(Data!$H$5:$H$291,Data!$E$5:$E$291,$A27,Data!$F$5:$F$291,"S1")</f>
        <v>195</v>
      </c>
      <c r="U27" s="57" t="n">
        <f aca="false">SUMIFS(Data!$H$5:$H$291,Data!$E$5:$E$291,$A27,Data!$F$5:$F$291,"S2")</f>
        <v>305</v>
      </c>
      <c r="V27" s="57" t="n">
        <f aca="false">SUMIFS(Data!$H$5:$H$291,Data!$E$5:$E$291,$A27,Data!$F$5:$F$291,"S3")</f>
        <v>540</v>
      </c>
      <c r="W27" s="57" t="n">
        <f aca="false">SUMIFS(Data!$H$5:$H$291,Data!$E$5:$E$291,$A27,Data!$F$5:$F$291,"S4")</f>
        <v>630</v>
      </c>
      <c r="X27" s="57" t="n">
        <f aca="false">SUMIFS(Data!$H$5:$H$291,Data!$E$5:$E$291,$A27,Data!$F$5:$F$291,"S5")</f>
        <v>275</v>
      </c>
      <c r="Y27" s="57" t="n">
        <f aca="false">SUMIFS(Data!$H$5:$H$291,Data!$E$5:$E$291,$A27,Data!$F$5:$F$291,"S6")</f>
        <v>285</v>
      </c>
      <c r="Z27" s="57" t="n">
        <f aca="false">SUMIFS(Data!$H$5:$H$291,Data!$E$5:$E$291,$A27,Data!$F$5:$F$291,"S7")</f>
        <v>0</v>
      </c>
      <c r="AA27" s="57" t="n">
        <f aca="false">M27+N27+O27</f>
        <v>240345</v>
      </c>
      <c r="AB27" s="57" t="n">
        <f aca="false">P27+Q27</f>
        <v>208611.375</v>
      </c>
      <c r="AC27" s="57" t="n">
        <f aca="false">R27+S27</f>
        <v>65411.325</v>
      </c>
      <c r="AD27" s="57" t="n">
        <f aca="false">M27+N27+O27+P27+Q27</f>
        <v>448956.375</v>
      </c>
      <c r="AE27" s="57" t="n">
        <f aca="false">M27+N27+O27+P27+Q27+R27+S27</f>
        <v>514367.7</v>
      </c>
    </row>
    <row r="28" customFormat="false" ht="15" hidden="false" customHeight="false" outlineLevel="0" collapsed="false">
      <c r="A28" s="54" t="s">
        <v>231</v>
      </c>
      <c r="B28" s="46" t="s">
        <v>232</v>
      </c>
      <c r="C28" s="46" t="s">
        <v>21</v>
      </c>
      <c r="D28" s="46" t="s">
        <v>229</v>
      </c>
      <c r="E28" s="55" t="n">
        <f aca="false">IF(C28="IDOM",1,IF(C28="Shared",1-Assumptions!$C$14,0))</f>
        <v>0</v>
      </c>
      <c r="F28" s="55" t="n">
        <f aca="false">IF(C28="Plan Safe",1,IF(C28="Shared",Assumptions!$C$14,0))</f>
        <v>1</v>
      </c>
      <c r="G28" s="55" t="n">
        <f aca="false">IF(C28="INVAP",1,0)</f>
        <v>0</v>
      </c>
      <c r="H28" s="56" t="n">
        <v>1</v>
      </c>
      <c r="I28" s="56" t="n">
        <v>0</v>
      </c>
      <c r="J28" s="56" t="n">
        <v>0</v>
      </c>
      <c r="K28" s="56" t="n">
        <f aca="false">Assumptions!$C$15</f>
        <v>0.5</v>
      </c>
      <c r="L28" s="56" t="n">
        <v>1</v>
      </c>
      <c r="M28" s="57" t="n">
        <f aca="false">SUMIFS(Data!$J$5:$J$291,Data!$E$5:$E$291,$A28,Data!$F$5:$F$291,"S1")</f>
        <v>0</v>
      </c>
      <c r="N28" s="57" t="n">
        <f aca="false">SUMIFS(Data!$J$5:$J$291,Data!$E$5:$E$291,$A28,Data!$F$5:$F$291,"S2")</f>
        <v>0</v>
      </c>
      <c r="O28" s="57" t="n">
        <f aca="false">SUMIFS(Data!$J$5:$J$291,Data!$E$5:$E$291,$A28,Data!$F$5:$F$291,"S3")</f>
        <v>0</v>
      </c>
      <c r="P28" s="57" t="n">
        <f aca="false">SUMIFS(Data!$J$5:$J$291,Data!$E$5:$E$291,$A28,Data!$F$5:$F$291,"S4")</f>
        <v>135672.18</v>
      </c>
      <c r="Q28" s="57" t="n">
        <f aca="false">SUMIFS(Data!$J$5:$J$291,Data!$E$5:$E$291,$A28,Data!$F$5:$F$291,"S5")</f>
        <v>0</v>
      </c>
      <c r="R28" s="57" t="n">
        <f aca="false">SUMIFS(Data!$J$5:$J$291,Data!$E$5:$E$291,$A28,Data!$F$5:$F$291,"S6")</f>
        <v>0</v>
      </c>
      <c r="S28" s="57" t="n">
        <f aca="false">SUMIFS(Data!$J$5:$J$291,Data!$E$5:$E$291,$A28,Data!$F$5:$F$291,"S7")</f>
        <v>0</v>
      </c>
      <c r="T28" s="57" t="n">
        <f aca="false">SUMIFS(Data!$H$5:$H$291,Data!$E$5:$E$291,$A28,Data!$F$5:$F$291,"S1")</f>
        <v>0</v>
      </c>
      <c r="U28" s="57" t="n">
        <f aca="false">SUMIFS(Data!$H$5:$H$291,Data!$E$5:$E$291,$A28,Data!$F$5:$F$291,"S2")</f>
        <v>0</v>
      </c>
      <c r="V28" s="57" t="n">
        <f aca="false">SUMIFS(Data!$H$5:$H$291,Data!$E$5:$E$291,$A28,Data!$F$5:$F$291,"S3")</f>
        <v>0</v>
      </c>
      <c r="W28" s="57" t="n">
        <f aca="false">SUMIFS(Data!$H$5:$H$291,Data!$E$5:$E$291,$A28,Data!$F$5:$F$291,"S4")</f>
        <v>597</v>
      </c>
      <c r="X28" s="57" t="n">
        <f aca="false">SUMIFS(Data!$H$5:$H$291,Data!$E$5:$E$291,$A28,Data!$F$5:$F$291,"S5")</f>
        <v>0</v>
      </c>
      <c r="Y28" s="57" t="n">
        <f aca="false">SUMIFS(Data!$H$5:$H$291,Data!$E$5:$E$291,$A28,Data!$F$5:$F$291,"S6")</f>
        <v>0</v>
      </c>
      <c r="Z28" s="57" t="n">
        <f aca="false">SUMIFS(Data!$H$5:$H$291,Data!$E$5:$E$291,$A28,Data!$F$5:$F$291,"S7")</f>
        <v>0</v>
      </c>
      <c r="AA28" s="57" t="n">
        <f aca="false">M28+N28+O28</f>
        <v>0</v>
      </c>
      <c r="AB28" s="57" t="n">
        <f aca="false">P28+Q28</f>
        <v>135672.18</v>
      </c>
      <c r="AC28" s="57" t="n">
        <f aca="false">R28+S28</f>
        <v>0</v>
      </c>
      <c r="AD28" s="57" t="n">
        <f aca="false">M28+N28+O28+P28+Q28</f>
        <v>135672.18</v>
      </c>
      <c r="AE28" s="57" t="n">
        <f aca="false">M28+N28+O28+P28+Q28+R28+S28</f>
        <v>135672.18</v>
      </c>
    </row>
    <row r="29" customFormat="false" ht="15" hidden="false" customHeight="false" outlineLevel="0" collapsed="false">
      <c r="A29" s="54" t="s">
        <v>233</v>
      </c>
      <c r="B29" s="46" t="s">
        <v>234</v>
      </c>
      <c r="C29" s="46" t="s">
        <v>21</v>
      </c>
      <c r="D29" s="46" t="s">
        <v>229</v>
      </c>
      <c r="E29" s="55" t="n">
        <f aca="false">IF(C29="IDOM",1,IF(C29="Shared",1-Assumptions!$C$14,0))</f>
        <v>0</v>
      </c>
      <c r="F29" s="55" t="n">
        <f aca="false">IF(C29="Plan Safe",1,IF(C29="Shared",Assumptions!$C$14,0))</f>
        <v>1</v>
      </c>
      <c r="G29" s="55" t="n">
        <f aca="false">IF(C29="INVAP",1,0)</f>
        <v>0</v>
      </c>
      <c r="H29" s="56" t="n">
        <v>1</v>
      </c>
      <c r="I29" s="56" t="n">
        <v>0</v>
      </c>
      <c r="J29" s="56" t="n">
        <v>0</v>
      </c>
      <c r="K29" s="56" t="n">
        <f aca="false">Assumptions!$C$15</f>
        <v>0.5</v>
      </c>
      <c r="L29" s="56" t="n">
        <v>1</v>
      </c>
      <c r="M29" s="57" t="n">
        <f aca="false">SUMIFS(Data!$J$5:$J$291,Data!$E$5:$E$291,$A29,Data!$F$5:$F$291,"S1")</f>
        <v>0</v>
      </c>
      <c r="N29" s="57" t="n">
        <f aca="false">SUMIFS(Data!$J$5:$J$291,Data!$E$5:$E$291,$A29,Data!$F$5:$F$291,"S2")</f>
        <v>0</v>
      </c>
      <c r="O29" s="57" t="n">
        <f aca="false">SUMIFS(Data!$J$5:$J$291,Data!$E$5:$E$291,$A29,Data!$F$5:$F$291,"S3")</f>
        <v>65275.35</v>
      </c>
      <c r="P29" s="57" t="n">
        <f aca="false">SUMIFS(Data!$J$5:$J$291,Data!$E$5:$E$291,$A29,Data!$F$5:$F$291,"S4")</f>
        <v>152016.375</v>
      </c>
      <c r="Q29" s="57" t="n">
        <f aca="false">SUMIFS(Data!$J$5:$J$291,Data!$E$5:$E$291,$A29,Data!$F$5:$F$291,"S5")</f>
        <v>65337.825</v>
      </c>
      <c r="R29" s="57" t="n">
        <f aca="false">SUMIFS(Data!$J$5:$J$291,Data!$E$5:$E$291,$A29,Data!$F$5:$F$291,"S6")</f>
        <v>81478.425</v>
      </c>
      <c r="S29" s="57" t="n">
        <f aca="false">SUMIFS(Data!$J$5:$J$291,Data!$E$5:$E$291,$A29,Data!$F$5:$F$291,"S7")</f>
        <v>56448</v>
      </c>
      <c r="T29" s="57" t="n">
        <f aca="false">SUMIFS(Data!$H$5:$H$291,Data!$E$5:$E$291,$A29,Data!$F$5:$F$291,"S1")</f>
        <v>0</v>
      </c>
      <c r="U29" s="57" t="n">
        <f aca="false">SUMIFS(Data!$H$5:$H$291,Data!$E$5:$E$291,$A29,Data!$F$5:$F$291,"S2")</f>
        <v>0</v>
      </c>
      <c r="V29" s="57" t="n">
        <f aca="false">SUMIFS(Data!$H$5:$H$291,Data!$E$5:$E$291,$A29,Data!$F$5:$F$291,"S3")</f>
        <v>285</v>
      </c>
      <c r="W29" s="57" t="n">
        <f aca="false">SUMIFS(Data!$H$5:$H$291,Data!$E$5:$E$291,$A29,Data!$F$5:$F$291,"S4")</f>
        <v>660</v>
      </c>
      <c r="X29" s="57" t="n">
        <f aca="false">SUMIFS(Data!$H$5:$H$291,Data!$E$5:$E$291,$A29,Data!$F$5:$F$291,"S5")</f>
        <v>285</v>
      </c>
      <c r="Y29" s="57" t="n">
        <f aca="false">SUMIFS(Data!$H$5:$H$291,Data!$E$5:$E$291,$A29,Data!$F$5:$F$291,"S6")</f>
        <v>355</v>
      </c>
      <c r="Z29" s="57" t="n">
        <f aca="false">SUMIFS(Data!$H$5:$H$291,Data!$E$5:$E$291,$A29,Data!$F$5:$F$291,"S7")</f>
        <v>245</v>
      </c>
      <c r="AA29" s="57" t="n">
        <f aca="false">M29+N29+O29</f>
        <v>65275.35</v>
      </c>
      <c r="AB29" s="57" t="n">
        <f aca="false">P29+Q29</f>
        <v>217354.2</v>
      </c>
      <c r="AC29" s="57" t="n">
        <f aca="false">R29+S29</f>
        <v>137926.425</v>
      </c>
      <c r="AD29" s="57" t="n">
        <f aca="false">M29+N29+O29+P29+Q29</f>
        <v>282629.55</v>
      </c>
      <c r="AE29" s="57" t="n">
        <f aca="false">M29+N29+O29+P29+Q29+R29+S29</f>
        <v>420555.975</v>
      </c>
    </row>
    <row r="33" customFormat="false" ht="15" hidden="false" customHeight="false" outlineLevel="0" collapsed="false">
      <c r="A33" s="45" t="s">
        <v>235</v>
      </c>
      <c r="B33" s="58"/>
      <c r="C33" s="58"/>
      <c r="D33" s="58"/>
      <c r="E33" s="58"/>
      <c r="F33" s="58"/>
      <c r="G33" s="58"/>
      <c r="H33" s="58"/>
      <c r="I33" s="58"/>
      <c r="J33" s="58"/>
      <c r="K33" s="58"/>
      <c r="L33" s="58"/>
      <c r="M33" s="59" t="s">
        <v>87</v>
      </c>
      <c r="N33" s="59" t="s">
        <v>89</v>
      </c>
      <c r="O33" s="59" t="s">
        <v>91</v>
      </c>
      <c r="P33" s="59" t="s">
        <v>93</v>
      </c>
      <c r="Q33" s="59" t="s">
        <v>95</v>
      </c>
      <c r="R33" s="59" t="s">
        <v>97</v>
      </c>
      <c r="S33" s="59" t="s">
        <v>99</v>
      </c>
      <c r="T33" s="59" t="s">
        <v>23</v>
      </c>
      <c r="U33" s="58"/>
    </row>
    <row r="34" customFormat="false" ht="15" hidden="false" customHeight="false" outlineLevel="0" collapsed="false">
      <c r="B34" s="46" t="s">
        <v>236</v>
      </c>
      <c r="M34" s="57" t="n">
        <f aca="false">SUMPRODUCT(M$5:M$29,E$5:E$29)</f>
        <v>133361.7075</v>
      </c>
      <c r="N34" s="57" t="n">
        <f aca="false">SUMPRODUCT(N$5:N$29,E$5:E$29)</f>
        <v>536515.0875</v>
      </c>
      <c r="O34" s="57" t="n">
        <f aca="false">SUMPRODUCT(O$5:O$29,E$5:E$29)</f>
        <v>1212914.2725</v>
      </c>
      <c r="P34" s="57" t="n">
        <f aca="false">SUMPRODUCT(P$5:P$29,E$5:E$29)</f>
        <v>2599061.43</v>
      </c>
      <c r="Q34" s="57" t="n">
        <f aca="false">SUMPRODUCT(Q$5:Q$29,E$5:E$29)</f>
        <v>380134.65</v>
      </c>
      <c r="R34" s="57" t="n">
        <f aca="false">SUMPRODUCT(R$5:R$29,E$5:E$29)</f>
        <v>584012.2575</v>
      </c>
      <c r="S34" s="57" t="n">
        <f aca="false">SUMPRODUCT(S$5:S$29,E$5:E$29)</f>
        <v>412218.5025</v>
      </c>
      <c r="T34" s="60" t="n">
        <f aca="false">SUM(M34:S34)</f>
        <v>5858217.9075</v>
      </c>
    </row>
    <row r="35" customFormat="false" ht="15" hidden="false" customHeight="false" outlineLevel="0" collapsed="false">
      <c r="B35" s="46" t="s">
        <v>237</v>
      </c>
      <c r="M35" s="57" t="n">
        <f aca="false">SUMPRODUCT(M$5:M$29,F$5:F$29)</f>
        <v>122885.0175</v>
      </c>
      <c r="N35" s="57" t="n">
        <f aca="false">SUMPRODUCT(N$5:N$29,F$5:F$29)</f>
        <v>196324.0125</v>
      </c>
      <c r="O35" s="57" t="n">
        <f aca="false">SUMPRODUCT(O$5:O$29,F$5:F$29)</f>
        <v>256409.5275</v>
      </c>
      <c r="P35" s="57" t="n">
        <f aca="false">SUMPRODUCT(P$5:P$29,F$5:F$29)</f>
        <v>584821.125</v>
      </c>
      <c r="Q35" s="57" t="n">
        <f aca="false">SUMPRODUCT(Q$5:Q$29,F$5:F$29)</f>
        <v>160476.225</v>
      </c>
      <c r="R35" s="57" t="n">
        <f aca="false">SUMPRODUCT(R$5:R$29,F$5:F$29)</f>
        <v>191067.2925</v>
      </c>
      <c r="S35" s="57" t="n">
        <f aca="false">SUMPRODUCT(S$5:S$29,F$5:F$29)</f>
        <v>81686.7975</v>
      </c>
      <c r="T35" s="60" t="n">
        <f aca="false">SUM(M35:S35)</f>
        <v>1593669.9975</v>
      </c>
    </row>
    <row r="36" customFormat="false" ht="15" hidden="false" customHeight="false" outlineLevel="0" collapsed="false">
      <c r="B36" s="46" t="s">
        <v>238</v>
      </c>
      <c r="M36" s="57" t="n">
        <f aca="false">SUMPRODUCT(M$5:M$29,G$5:G$29)</f>
        <v>78836.1</v>
      </c>
      <c r="N36" s="57" t="n">
        <f aca="false">SUMPRODUCT(N$5:N$29,G$5:G$29)</f>
        <v>0</v>
      </c>
      <c r="O36" s="57" t="n">
        <f aca="false">SUMPRODUCT(O$5:O$29,G$5:G$29)</f>
        <v>0</v>
      </c>
      <c r="P36" s="57" t="n">
        <f aca="false">SUMPRODUCT(P$5:P$29,G$5:G$29)</f>
        <v>0</v>
      </c>
      <c r="Q36" s="57" t="n">
        <f aca="false">SUMPRODUCT(Q$5:Q$29,G$5:G$29)</f>
        <v>0</v>
      </c>
      <c r="R36" s="57" t="n">
        <f aca="false">SUMPRODUCT(R$5:R$29,G$5:G$29)</f>
        <v>0</v>
      </c>
      <c r="S36" s="57" t="n">
        <f aca="false">SUMPRODUCT(S$5:S$29,G$5:G$29)</f>
        <v>0</v>
      </c>
      <c r="T36" s="60" t="n">
        <f aca="false">SUM(M36:S36)</f>
        <v>78836.1</v>
      </c>
    </row>
    <row r="37" customFormat="false" ht="15" hidden="false" customHeight="false" outlineLevel="0" collapsed="false">
      <c r="B37" s="46" t="s">
        <v>239</v>
      </c>
      <c r="M37" s="57" t="n">
        <v>0</v>
      </c>
      <c r="N37" s="57" t="n">
        <v>0</v>
      </c>
      <c r="O37" s="57" t="n">
        <v>0</v>
      </c>
      <c r="P37" s="57" t="n">
        <v>0</v>
      </c>
      <c r="Q37" s="57" t="n">
        <v>0</v>
      </c>
      <c r="R37" s="57" t="n">
        <v>0</v>
      </c>
      <c r="S37" s="57" t="n">
        <v>0</v>
      </c>
      <c r="T37" s="60" t="n">
        <f aca="false">SUM(M37:S37)</f>
        <v>0</v>
      </c>
    </row>
    <row r="38" customFormat="false" ht="15" hidden="false" customHeight="false" outlineLevel="0" collapsed="false">
      <c r="B38" s="46" t="s">
        <v>240</v>
      </c>
      <c r="M38" s="57" t="n">
        <v>0</v>
      </c>
      <c r="N38" s="57" t="n">
        <v>0</v>
      </c>
      <c r="O38" s="57" t="n">
        <v>0</v>
      </c>
      <c r="P38" s="57" t="n">
        <v>0</v>
      </c>
      <c r="Q38" s="57" t="n">
        <v>0</v>
      </c>
      <c r="R38" s="57" t="n">
        <v>0</v>
      </c>
      <c r="S38" s="57" t="n">
        <v>0</v>
      </c>
      <c r="T38" s="60" t="n">
        <f aca="false">SUM(M38:S38)</f>
        <v>0</v>
      </c>
    </row>
    <row r="39" customFormat="false" ht="15" hidden="false" customHeight="false" outlineLevel="0" collapsed="false">
      <c r="B39" s="46" t="s">
        <v>241</v>
      </c>
      <c r="M39" s="57" t="n">
        <v>0</v>
      </c>
      <c r="N39" s="57" t="n">
        <v>0</v>
      </c>
      <c r="O39" s="57" t="n">
        <v>0</v>
      </c>
      <c r="P39" s="57" t="n">
        <v>0</v>
      </c>
      <c r="Q39" s="57" t="n">
        <v>0</v>
      </c>
      <c r="R39" s="57" t="n">
        <v>0</v>
      </c>
      <c r="S39" s="57" t="n">
        <v>0</v>
      </c>
      <c r="T39" s="60" t="n">
        <f aca="false">SUM(M39:S39)</f>
        <v>0</v>
      </c>
    </row>
    <row r="40" customFormat="false" ht="15" hidden="false" customHeight="false" outlineLevel="0" collapsed="false">
      <c r="B40" s="46" t="s">
        <v>242</v>
      </c>
      <c r="M40" s="57" t="n">
        <v>0</v>
      </c>
      <c r="N40" s="57" t="n">
        <v>0</v>
      </c>
      <c r="O40" s="57" t="n">
        <v>0</v>
      </c>
      <c r="P40" s="57" t="n">
        <v>0</v>
      </c>
      <c r="Q40" s="57" t="n">
        <v>0</v>
      </c>
      <c r="R40" s="57" t="n">
        <v>0</v>
      </c>
      <c r="S40" s="57" t="n">
        <v>0</v>
      </c>
      <c r="T40" s="60" t="n">
        <f aca="false">SUM(M40:S40)</f>
        <v>0</v>
      </c>
    </row>
    <row r="41" customFormat="false" ht="15" hidden="false" customHeight="false" outlineLevel="0" collapsed="false">
      <c r="B41" s="54" t="s">
        <v>243</v>
      </c>
      <c r="M41" s="60" t="n">
        <f aca="false">M34+M37+M39+M40</f>
        <v>133361.7075</v>
      </c>
      <c r="N41" s="60" t="n">
        <f aca="false">N34+N37+N39+N40</f>
        <v>536515.0875</v>
      </c>
      <c r="O41" s="60" t="n">
        <f aca="false">O34+O37+O39+O40</f>
        <v>1212914.2725</v>
      </c>
      <c r="P41" s="60" t="n">
        <f aca="false">P34+P37+P39+P40</f>
        <v>2599061.43</v>
      </c>
      <c r="Q41" s="60" t="n">
        <f aca="false">Q34+Q37+Q39+Q40</f>
        <v>380134.65</v>
      </c>
      <c r="R41" s="60" t="n">
        <f aca="false">R34+R37+R39+R40</f>
        <v>584012.2575</v>
      </c>
      <c r="S41" s="60" t="n">
        <f aca="false">S34+S37+S39+S40</f>
        <v>412218.5025</v>
      </c>
      <c r="T41" s="60" t="n">
        <f aca="false">SUM(M41:S41)</f>
        <v>5858217.9075</v>
      </c>
    </row>
    <row r="42" customFormat="false" ht="15" hidden="false" customHeight="false" outlineLevel="0" collapsed="false">
      <c r="B42" s="54" t="s">
        <v>244</v>
      </c>
      <c r="M42" s="60" t="n">
        <f aca="false">M35+M38</f>
        <v>122885.0175</v>
      </c>
      <c r="N42" s="60" t="n">
        <f aca="false">N35+N38</f>
        <v>196324.0125</v>
      </c>
      <c r="O42" s="60" t="n">
        <f aca="false">O35+O38</f>
        <v>256409.5275</v>
      </c>
      <c r="P42" s="60" t="n">
        <f aca="false">P35+P38</f>
        <v>584821.125</v>
      </c>
      <c r="Q42" s="60" t="n">
        <f aca="false">Q35+Q38</f>
        <v>160476.225</v>
      </c>
      <c r="R42" s="60" t="n">
        <f aca="false">R35+R38</f>
        <v>191067.2925</v>
      </c>
      <c r="S42" s="60" t="n">
        <f aca="false">S35+S38</f>
        <v>81686.7975</v>
      </c>
      <c r="T42" s="60" t="n">
        <f aca="false">SUM(M42:S42)</f>
        <v>1593669.9975</v>
      </c>
    </row>
    <row r="43" customFormat="false" ht="15" hidden="false" customHeight="false" outlineLevel="0" collapsed="false">
      <c r="B43" s="54" t="s">
        <v>245</v>
      </c>
      <c r="M43" s="60" t="n">
        <f aca="false">M36</f>
        <v>78836.1</v>
      </c>
      <c r="N43" s="60" t="n">
        <f aca="false">N36</f>
        <v>0</v>
      </c>
      <c r="O43" s="60" t="n">
        <f aca="false">O36</f>
        <v>0</v>
      </c>
      <c r="P43" s="60" t="n">
        <f aca="false">P36</f>
        <v>0</v>
      </c>
      <c r="Q43" s="60" t="n">
        <f aca="false">Q36</f>
        <v>0</v>
      </c>
      <c r="R43" s="60" t="n">
        <f aca="false">R36</f>
        <v>0</v>
      </c>
      <c r="S43" s="60" t="n">
        <f aca="false">S36</f>
        <v>0</v>
      </c>
      <c r="T43" s="60" t="n">
        <f aca="false">SUM(M43:S43)</f>
        <v>78836.1</v>
      </c>
    </row>
    <row r="44" customFormat="false" ht="15" hidden="false" customHeight="false" outlineLevel="0" collapsed="false">
      <c r="B44" s="54" t="s">
        <v>67</v>
      </c>
      <c r="M44" s="60" t="n">
        <f aca="false">M41+M42+M43</f>
        <v>335082.825</v>
      </c>
      <c r="N44" s="60" t="n">
        <f aca="false">N41+N42+N43</f>
        <v>732839.1</v>
      </c>
      <c r="O44" s="60" t="n">
        <f aca="false">O41+O42+O43</f>
        <v>1469323.8</v>
      </c>
      <c r="P44" s="60" t="n">
        <f aca="false">P41+P42+P43</f>
        <v>3183882.555</v>
      </c>
      <c r="Q44" s="60" t="n">
        <f aca="false">Q41+Q42+Q43</f>
        <v>540610.875</v>
      </c>
      <c r="R44" s="60" t="n">
        <f aca="false">R41+R42+R43</f>
        <v>775079.55</v>
      </c>
      <c r="S44" s="60" t="n">
        <f aca="false">S41+S42+S43</f>
        <v>493905.3</v>
      </c>
      <c r="T44" s="60" t="n">
        <f aca="false">SUM(M44:S44)</f>
        <v>7530724.005</v>
      </c>
    </row>
    <row r="45" customFormat="false" ht="15" hidden="false" customHeight="false" outlineLevel="0" collapsed="false">
      <c r="B45" s="46" t="s">
        <v>246</v>
      </c>
      <c r="M45" s="57" t="n">
        <f aca="false">SUM(T$5:T$29)</f>
        <v>1435</v>
      </c>
      <c r="N45" s="57" t="n">
        <f aca="false">SUM(U$5:U$29)</f>
        <v>3170</v>
      </c>
      <c r="O45" s="57" t="n">
        <f aca="false">SUM(V$5:V$29)</f>
        <v>6420</v>
      </c>
      <c r="P45" s="57" t="n">
        <f aca="false">SUM(W$5:W$29)</f>
        <v>13842</v>
      </c>
      <c r="Q45" s="57" t="n">
        <f aca="false">SUM(X$5:X$29)</f>
        <v>2355</v>
      </c>
      <c r="R45" s="57" t="n">
        <f aca="false">SUM(Y$5:Y$29)</f>
        <v>3360</v>
      </c>
      <c r="S45" s="57" t="n">
        <f aca="false">SUM(Z$5:Z$29)</f>
        <v>2140</v>
      </c>
      <c r="T45" s="60" t="n">
        <f aca="false">SUM(M45:S45)</f>
        <v>32722</v>
      </c>
    </row>
    <row r="46" customFormat="false" ht="15" hidden="false" customHeight="false" outlineLevel="0" collapsed="false">
      <c r="B46" s="46" t="s">
        <v>247</v>
      </c>
      <c r="M46" s="57" t="n">
        <v>0</v>
      </c>
      <c r="N46" s="57" t="n">
        <v>0</v>
      </c>
      <c r="O46" s="57" t="n">
        <v>0</v>
      </c>
      <c r="P46" s="57" t="n">
        <v>0</v>
      </c>
      <c r="Q46" s="57" t="n">
        <v>0</v>
      </c>
      <c r="R46" s="57" t="n">
        <v>0</v>
      </c>
      <c r="S46" s="57" t="n">
        <v>0</v>
      </c>
      <c r="T46" s="60" t="n">
        <f aca="false">SUM(M46:S46)</f>
        <v>0</v>
      </c>
    </row>
    <row r="47" customFormat="false" ht="15" hidden="false" customHeight="false" outlineLevel="0" collapsed="false">
      <c r="B47" s="54" t="s">
        <v>248</v>
      </c>
      <c r="M47" s="60" t="n">
        <f aca="false">M45+M46</f>
        <v>1435</v>
      </c>
      <c r="N47" s="60" t="n">
        <f aca="false">N45+N46</f>
        <v>3170</v>
      </c>
      <c r="O47" s="60" t="n">
        <f aca="false">O45+O46</f>
        <v>6420</v>
      </c>
      <c r="P47" s="60" t="n">
        <f aca="false">P45+P46</f>
        <v>13842</v>
      </c>
      <c r="Q47" s="60" t="n">
        <f aca="false">Q45+Q46</f>
        <v>2355</v>
      </c>
      <c r="R47" s="60" t="n">
        <f aca="false">R45+R46</f>
        <v>3360</v>
      </c>
      <c r="S47" s="60" t="n">
        <f aca="false">S45+S46</f>
        <v>2140</v>
      </c>
      <c r="T47" s="60" t="n">
        <f aca="false">SUM(M47:S47)</f>
        <v>32722</v>
      </c>
    </row>
    <row r="50" customFormat="false" ht="15" hidden="false" customHeight="false" outlineLevel="0" collapsed="false">
      <c r="A50" s="45" t="s">
        <v>249</v>
      </c>
      <c r="B50" s="58"/>
      <c r="C50" s="58"/>
      <c r="D50" s="58"/>
      <c r="E50" s="58"/>
      <c r="F50" s="58"/>
      <c r="G50" s="58"/>
      <c r="H50" s="58"/>
      <c r="I50" s="58"/>
      <c r="J50" s="58"/>
      <c r="K50" s="58"/>
      <c r="L50" s="58"/>
      <c r="M50" s="59" t="s">
        <v>87</v>
      </c>
      <c r="N50" s="59" t="s">
        <v>89</v>
      </c>
      <c r="O50" s="59" t="s">
        <v>91</v>
      </c>
      <c r="P50" s="59" t="s">
        <v>93</v>
      </c>
      <c r="Q50" s="59" t="s">
        <v>95</v>
      </c>
      <c r="R50" s="59" t="s">
        <v>97</v>
      </c>
      <c r="S50" s="59" t="s">
        <v>99</v>
      </c>
      <c r="T50" s="59" t="s">
        <v>23</v>
      </c>
      <c r="U50" s="58"/>
    </row>
    <row r="51" customFormat="false" ht="15" hidden="false" customHeight="false" outlineLevel="0" collapsed="false">
      <c r="B51" s="46" t="s">
        <v>236</v>
      </c>
      <c r="M51" s="57" t="n">
        <f aca="false">SUMPRODUCT(M$5:M$29,H$5:H$29,E$5:E$29)</f>
        <v>133361.7075</v>
      </c>
      <c r="N51" s="57" t="n">
        <f aca="false">SUMPRODUCT(N$5:N$29,H$5:H$29,E$5:E$29)</f>
        <v>536515.0875</v>
      </c>
      <c r="O51" s="57" t="n">
        <f aca="false">SUMPRODUCT(O$5:O$29,H$5:H$29,E$5:E$29)</f>
        <v>1212914.2725</v>
      </c>
      <c r="P51" s="57" t="n">
        <f aca="false">SUMPRODUCT(P$5:P$29,H$5:H$29,E$5:E$29)</f>
        <v>2599061.43</v>
      </c>
      <c r="Q51" s="57" t="n">
        <f aca="false">SUMPRODUCT(Q$5:Q$29,H$5:H$29,E$5:E$29)</f>
        <v>380134.65</v>
      </c>
      <c r="R51" s="57" t="n">
        <f aca="false">SUMPRODUCT(R$5:R$29,H$5:H$29,E$5:E$29)</f>
        <v>584012.2575</v>
      </c>
      <c r="S51" s="57" t="n">
        <f aca="false">SUMPRODUCT(S$5:S$29,H$5:H$29,E$5:E$29)</f>
        <v>412218.5025</v>
      </c>
      <c r="T51" s="60" t="n">
        <f aca="false">SUM(M51:S51)</f>
        <v>5858217.9075</v>
      </c>
    </row>
    <row r="52" customFormat="false" ht="15" hidden="false" customHeight="false" outlineLevel="0" collapsed="false">
      <c r="B52" s="46" t="s">
        <v>237</v>
      </c>
      <c r="M52" s="57" t="n">
        <f aca="false">SUMPRODUCT(M$5:M$29,H$5:H$29,F$5:F$29)</f>
        <v>122885.0175</v>
      </c>
      <c r="N52" s="57" t="n">
        <f aca="false">SUMPRODUCT(N$5:N$29,H$5:H$29,F$5:F$29)</f>
        <v>196324.0125</v>
      </c>
      <c r="O52" s="57" t="n">
        <f aca="false">SUMPRODUCT(O$5:O$29,H$5:H$29,F$5:F$29)</f>
        <v>256409.5275</v>
      </c>
      <c r="P52" s="57" t="n">
        <f aca="false">SUMPRODUCT(P$5:P$29,H$5:H$29,F$5:F$29)</f>
        <v>584821.125</v>
      </c>
      <c r="Q52" s="57" t="n">
        <f aca="false">SUMPRODUCT(Q$5:Q$29,H$5:H$29,F$5:F$29)</f>
        <v>160476.225</v>
      </c>
      <c r="R52" s="57" t="n">
        <f aca="false">SUMPRODUCT(R$5:R$29,H$5:H$29,F$5:F$29)</f>
        <v>191067.2925</v>
      </c>
      <c r="S52" s="57" t="n">
        <f aca="false">SUMPRODUCT(S$5:S$29,H$5:H$29,F$5:F$29)</f>
        <v>81686.7975</v>
      </c>
      <c r="T52" s="60" t="n">
        <f aca="false">SUM(M52:S52)</f>
        <v>1593669.9975</v>
      </c>
    </row>
    <row r="53" customFormat="false" ht="15" hidden="false" customHeight="false" outlineLevel="0" collapsed="false">
      <c r="B53" s="46" t="s">
        <v>238</v>
      </c>
      <c r="M53" s="57" t="n">
        <f aca="false">SUMPRODUCT(M$5:M$29,H$5:H$29,G$5:G$29)</f>
        <v>78836.1</v>
      </c>
      <c r="N53" s="57" t="n">
        <f aca="false">SUMPRODUCT(N$5:N$29,H$5:H$29,G$5:G$29)</f>
        <v>0</v>
      </c>
      <c r="O53" s="57" t="n">
        <f aca="false">SUMPRODUCT(O$5:O$29,H$5:H$29,G$5:G$29)</f>
        <v>0</v>
      </c>
      <c r="P53" s="57" t="n">
        <f aca="false">SUMPRODUCT(P$5:P$29,H$5:H$29,G$5:G$29)</f>
        <v>0</v>
      </c>
      <c r="Q53" s="57" t="n">
        <f aca="false">SUMPRODUCT(Q$5:Q$29,H$5:H$29,G$5:G$29)</f>
        <v>0</v>
      </c>
      <c r="R53" s="57" t="n">
        <f aca="false">SUMPRODUCT(R$5:R$29,H$5:H$29,G$5:G$29)</f>
        <v>0</v>
      </c>
      <c r="S53" s="57" t="n">
        <f aca="false">SUMPRODUCT(S$5:S$29,H$5:H$29,G$5:G$29)</f>
        <v>0</v>
      </c>
      <c r="T53" s="60" t="n">
        <f aca="false">SUM(M53:S53)</f>
        <v>78836.1</v>
      </c>
    </row>
    <row r="54" customFormat="false" ht="15" hidden="false" customHeight="false" outlineLevel="0" collapsed="false">
      <c r="B54" s="46" t="s">
        <v>239</v>
      </c>
      <c r="M54" s="57" t="n">
        <f aca="false">IF(Assumptions!$C$10="Yes",(IF(M$3="S1",Assumptions!$C$12*$H$6,0)-M$6*$H$6)*$E$6,0)</f>
        <v>0</v>
      </c>
      <c r="N54" s="57" t="n">
        <f aca="false">IF(Assumptions!$C$10="Yes",(IF(N$3="S1",Assumptions!$C$12*$H$6,0)-N$6*$H$6)*$E$6,0)</f>
        <v>0</v>
      </c>
      <c r="O54" s="57" t="n">
        <f aca="false">IF(Assumptions!$C$10="Yes",(IF(O$3="S1",Assumptions!$C$12*$H$6,0)-O$6*$H$6)*$E$6,0)</f>
        <v>0</v>
      </c>
      <c r="P54" s="57" t="n">
        <f aca="false">IF(Assumptions!$C$10="Yes",(IF(P$3="S1",Assumptions!$C$12*$H$6,0)-P$6*$H$6)*$E$6,0)</f>
        <v>0</v>
      </c>
      <c r="Q54" s="57" t="n">
        <f aca="false">IF(Assumptions!$C$10="Yes",(IF(Q$3="S1",Assumptions!$C$12*$H$6,0)-Q$6*$H$6)*$E$6,0)</f>
        <v>0</v>
      </c>
      <c r="R54" s="57" t="n">
        <f aca="false">IF(Assumptions!$C$10="Yes",(IF(R$3="S1",Assumptions!$C$12*$H$6,0)-R$6*$H$6)*$E$6,0)</f>
        <v>0</v>
      </c>
      <c r="S54" s="57" t="n">
        <f aca="false">IF(Assumptions!$C$10="Yes",(IF(S$3="S1",Assumptions!$C$12*$H$6,0)-S$6*$H$6)*$E$6,0)</f>
        <v>0</v>
      </c>
      <c r="T54" s="60" t="n">
        <f aca="false">SUM(M54:S54)</f>
        <v>0</v>
      </c>
    </row>
    <row r="55" customFormat="false" ht="15" hidden="false" customHeight="false" outlineLevel="0" collapsed="false">
      <c r="B55" s="46" t="s">
        <v>240</v>
      </c>
      <c r="M55" s="57" t="n">
        <f aca="false">IF(Assumptions!$C$10="Yes",(IF(M$3="S1",Assumptions!$C$12*$H$6,0)-M$6*$H$6)*$F$6,0)</f>
        <v>0</v>
      </c>
      <c r="N55" s="57" t="n">
        <f aca="false">IF(Assumptions!$C$10="Yes",(IF(N$3="S1",Assumptions!$C$12*$H$6,0)-N$6*$H$6)*$F$6,0)</f>
        <v>0</v>
      </c>
      <c r="O55" s="57" t="n">
        <f aca="false">IF(Assumptions!$C$10="Yes",(IF(O$3="S1",Assumptions!$C$12*$H$6,0)-O$6*$H$6)*$F$6,0)</f>
        <v>0</v>
      </c>
      <c r="P55" s="57" t="n">
        <f aca="false">IF(Assumptions!$C$10="Yes",(IF(P$3="S1",Assumptions!$C$12*$H$6,0)-P$6*$H$6)*$F$6,0)</f>
        <v>0</v>
      </c>
      <c r="Q55" s="57" t="n">
        <f aca="false">IF(Assumptions!$C$10="Yes",(IF(Q$3="S1",Assumptions!$C$12*$H$6,0)-Q$6*$H$6)*$F$6,0)</f>
        <v>0</v>
      </c>
      <c r="R55" s="57" t="n">
        <f aca="false">IF(Assumptions!$C$10="Yes",(IF(R$3="S1",Assumptions!$C$12*$H$6,0)-R$6*$H$6)*$F$6,0)</f>
        <v>0</v>
      </c>
      <c r="S55" s="57" t="n">
        <f aca="false">IF(Assumptions!$C$10="Yes",(IF(S$3="S1",Assumptions!$C$12*$H$6,0)-S$6*$H$6)*$F$6,0)</f>
        <v>0</v>
      </c>
      <c r="T55" s="60" t="n">
        <f aca="false">SUM(M55:S55)</f>
        <v>0</v>
      </c>
    </row>
    <row r="56" customFormat="false" ht="15" hidden="false" customHeight="false" outlineLevel="0" collapsed="false">
      <c r="B56" s="46" t="s">
        <v>241</v>
      </c>
      <c r="M56" s="57" t="n">
        <f aca="false">IF(M$3="S2",(M51+M54)*(Assumptions!$C$6-Assumptions!$C$5)/(1+Assumptions!$C$5),0)</f>
        <v>0</v>
      </c>
      <c r="N56" s="57" t="n">
        <f aca="false">IF(N$3="S2",(N51+N54)*(Assumptions!$C$6-Assumptions!$C$5)/(1+Assumptions!$C$5),0)</f>
        <v>-139096.504166667</v>
      </c>
      <c r="O56" s="57" t="n">
        <f aca="false">IF(O$3="S2",(O51+O54)*(Assumptions!$C$6-Assumptions!$C$5)/(1+Assumptions!$C$5),0)</f>
        <v>0</v>
      </c>
      <c r="P56" s="57" t="n">
        <f aca="false">IF(P$3="S2",(P51+P54)*(Assumptions!$C$6-Assumptions!$C$5)/(1+Assumptions!$C$5),0)</f>
        <v>0</v>
      </c>
      <c r="Q56" s="57" t="n">
        <f aca="false">IF(Q$3="S2",(Q51+Q54)*(Assumptions!$C$6-Assumptions!$C$5)/(1+Assumptions!$C$5),0)</f>
        <v>0</v>
      </c>
      <c r="R56" s="57" t="n">
        <f aca="false">IF(R$3="S2",(R51+R54)*(Assumptions!$C$6-Assumptions!$C$5)/(1+Assumptions!$C$5),0)</f>
        <v>0</v>
      </c>
      <c r="S56" s="57" t="n">
        <f aca="false">IF(S$3="S2",(S51+S54)*(Assumptions!$C$6-Assumptions!$C$5)/(1+Assumptions!$C$5),0)</f>
        <v>0</v>
      </c>
      <c r="T56" s="60" t="n">
        <f aca="false">SUM(M56:S56)</f>
        <v>-139096.504166667</v>
      </c>
    </row>
    <row r="57" customFormat="false" ht="15" hidden="false" customHeight="false" outlineLevel="0" collapsed="false">
      <c r="B57" s="46" t="s">
        <v>242</v>
      </c>
      <c r="M57" s="57" t="n">
        <f aca="false">-Assumptions!$C$7*(M51+M54+M56)</f>
        <v>-5334.4683</v>
      </c>
      <c r="N57" s="57" t="n">
        <f aca="false">-Assumptions!$C$7*(N51+N54+N56)</f>
        <v>-15896.7433333333</v>
      </c>
      <c r="O57" s="57" t="n">
        <f aca="false">-Assumptions!$C$7*(O51+O54+O56)</f>
        <v>-48516.5709</v>
      </c>
      <c r="P57" s="57" t="n">
        <f aca="false">-Assumptions!$C$7*(P51+P54+P56)</f>
        <v>-103962.4572</v>
      </c>
      <c r="Q57" s="57" t="n">
        <f aca="false">-Assumptions!$C$7*(Q51+Q54+Q56)</f>
        <v>-15205.386</v>
      </c>
      <c r="R57" s="57" t="n">
        <f aca="false">-Assumptions!$C$7*(R51+R54+R56)</f>
        <v>-23360.4903</v>
      </c>
      <c r="S57" s="57" t="n">
        <f aca="false">-Assumptions!$C$7*(S51+S54+S56)</f>
        <v>-16488.7401</v>
      </c>
      <c r="T57" s="60" t="n">
        <f aca="false">SUM(M57:S57)</f>
        <v>-228764.856133333</v>
      </c>
    </row>
    <row r="58" customFormat="false" ht="15" hidden="false" customHeight="false" outlineLevel="0" collapsed="false">
      <c r="B58" s="54" t="s">
        <v>243</v>
      </c>
      <c r="M58" s="60" t="n">
        <f aca="false">M51+M54+M56+M57</f>
        <v>128027.2392</v>
      </c>
      <c r="N58" s="60" t="n">
        <f aca="false">N51+N54+N56+N57</f>
        <v>381521.84</v>
      </c>
      <c r="O58" s="60" t="n">
        <f aca="false">O51+O54+O56+O57</f>
        <v>1164397.7016</v>
      </c>
      <c r="P58" s="60" t="n">
        <f aca="false">P51+P54+P56+P57</f>
        <v>2495098.9728</v>
      </c>
      <c r="Q58" s="60" t="n">
        <f aca="false">Q51+Q54+Q56+Q57</f>
        <v>364929.264</v>
      </c>
      <c r="R58" s="60" t="n">
        <f aca="false">R51+R54+R56+R57</f>
        <v>560651.7672</v>
      </c>
      <c r="S58" s="60" t="n">
        <f aca="false">S51+S54+S56+S57</f>
        <v>395729.7624</v>
      </c>
      <c r="T58" s="60" t="n">
        <f aca="false">SUM(M58:S58)</f>
        <v>5490356.5472</v>
      </c>
    </row>
    <row r="59" customFormat="false" ht="15" hidden="false" customHeight="false" outlineLevel="0" collapsed="false">
      <c r="B59" s="54" t="s">
        <v>244</v>
      </c>
      <c r="M59" s="60" t="n">
        <f aca="false">M52+M55</f>
        <v>122885.0175</v>
      </c>
      <c r="N59" s="60" t="n">
        <f aca="false">N52+N55</f>
        <v>196324.0125</v>
      </c>
      <c r="O59" s="60" t="n">
        <f aca="false">O52+O55</f>
        <v>256409.5275</v>
      </c>
      <c r="P59" s="60" t="n">
        <f aca="false">P52+P55</f>
        <v>584821.125</v>
      </c>
      <c r="Q59" s="60" t="n">
        <f aca="false">Q52+Q55</f>
        <v>160476.225</v>
      </c>
      <c r="R59" s="60" t="n">
        <f aca="false">R52+R55</f>
        <v>191067.2925</v>
      </c>
      <c r="S59" s="60" t="n">
        <f aca="false">S52+S55</f>
        <v>81686.7975</v>
      </c>
      <c r="T59" s="60" t="n">
        <f aca="false">SUM(M59:S59)</f>
        <v>1593669.9975</v>
      </c>
    </row>
    <row r="60" customFormat="false" ht="15" hidden="false" customHeight="false" outlineLevel="0" collapsed="false">
      <c r="B60" s="54" t="s">
        <v>245</v>
      </c>
      <c r="M60" s="60" t="n">
        <f aca="false">M53</f>
        <v>78836.1</v>
      </c>
      <c r="N60" s="60" t="n">
        <f aca="false">N53</f>
        <v>0</v>
      </c>
      <c r="O60" s="60" t="n">
        <f aca="false">O53</f>
        <v>0</v>
      </c>
      <c r="P60" s="60" t="n">
        <f aca="false">P53</f>
        <v>0</v>
      </c>
      <c r="Q60" s="60" t="n">
        <f aca="false">Q53</f>
        <v>0</v>
      </c>
      <c r="R60" s="60" t="n">
        <f aca="false">R53</f>
        <v>0</v>
      </c>
      <c r="S60" s="60" t="n">
        <f aca="false">S53</f>
        <v>0</v>
      </c>
      <c r="T60" s="60" t="n">
        <f aca="false">SUM(M60:S60)</f>
        <v>78836.1</v>
      </c>
    </row>
    <row r="61" customFormat="false" ht="15" hidden="false" customHeight="false" outlineLevel="0" collapsed="false">
      <c r="B61" s="54" t="s">
        <v>67</v>
      </c>
      <c r="M61" s="60" t="n">
        <f aca="false">M58+M59+M60</f>
        <v>329748.3567</v>
      </c>
      <c r="N61" s="60" t="n">
        <f aca="false">N58+N59+N60</f>
        <v>577845.8525</v>
      </c>
      <c r="O61" s="60" t="n">
        <f aca="false">O58+O59+O60</f>
        <v>1420807.2291</v>
      </c>
      <c r="P61" s="60" t="n">
        <f aca="false">P58+P59+P60</f>
        <v>3079920.0978</v>
      </c>
      <c r="Q61" s="60" t="n">
        <f aca="false">Q58+Q59+Q60</f>
        <v>525405.489</v>
      </c>
      <c r="R61" s="60" t="n">
        <f aca="false">R58+R59+R60</f>
        <v>751719.0597</v>
      </c>
      <c r="S61" s="60" t="n">
        <f aca="false">S58+S59+S60</f>
        <v>477416.5599</v>
      </c>
      <c r="T61" s="60" t="n">
        <f aca="false">SUM(M61:S61)</f>
        <v>7162862.6447</v>
      </c>
    </row>
    <row r="62" customFormat="false" ht="15" hidden="false" customHeight="false" outlineLevel="0" collapsed="false">
      <c r="B62" s="46" t="s">
        <v>246</v>
      </c>
      <c r="M62" s="57" t="n">
        <f aca="false">SUMPRODUCT(T$5:T$29*(H$5:H$29&gt;0))</f>
        <v>1435</v>
      </c>
      <c r="N62" s="57" t="n">
        <f aca="false">SUMPRODUCT(U$5:U$29*(H$5:H$29&gt;0))</f>
        <v>3170</v>
      </c>
      <c r="O62" s="57" t="n">
        <f aca="false">SUMPRODUCT(V$5:V$29*(H$5:H$29&gt;0))</f>
        <v>6420</v>
      </c>
      <c r="P62" s="57" t="n">
        <f aca="false">SUMPRODUCT(W$5:W$29*(H$5:H$29&gt;0))</f>
        <v>13842</v>
      </c>
      <c r="Q62" s="57" t="n">
        <f aca="false">SUMPRODUCT(X$5:X$29*(H$5:H$29&gt;0))</f>
        <v>2355</v>
      </c>
      <c r="R62" s="57" t="n">
        <f aca="false">SUMPRODUCT(Y$5:Y$29*(H$5:H$29&gt;0))</f>
        <v>3360</v>
      </c>
      <c r="S62" s="57" t="n">
        <f aca="false">SUMPRODUCT(Z$5:Z$29*(H$5:H$29&gt;0))</f>
        <v>2140</v>
      </c>
      <c r="T62" s="60" t="n">
        <f aca="false">SUM(M62:S62)</f>
        <v>32722</v>
      </c>
    </row>
    <row r="63" customFormat="false" ht="15" hidden="false" customHeight="false" outlineLevel="0" collapsed="false">
      <c r="B63" s="46" t="s">
        <v>247</v>
      </c>
      <c r="M63" s="57" t="n">
        <f aca="false">IF(Assumptions!$C$10="Yes",IF(M$3="S1",Assumptions!$C$11*($H$6&gt;0),0)-T$6*($H$6&gt;0),0)</f>
        <v>0</v>
      </c>
      <c r="N63" s="57" t="n">
        <f aca="false">IF(Assumptions!$C$10="Yes",IF(N$3="S1",Assumptions!$C$11*($H$6&gt;0),0)-U$6*($H$6&gt;0),0)</f>
        <v>0</v>
      </c>
      <c r="O63" s="57" t="n">
        <f aca="false">IF(Assumptions!$C$10="Yes",IF(O$3="S1",Assumptions!$C$11*($H$6&gt;0),0)-V$6*($H$6&gt;0),0)</f>
        <v>0</v>
      </c>
      <c r="P63" s="57" t="n">
        <f aca="false">IF(Assumptions!$C$10="Yes",IF(P$3="S1",Assumptions!$C$11*($H$6&gt;0),0)-W$6*($H$6&gt;0),0)</f>
        <v>0</v>
      </c>
      <c r="Q63" s="57" t="n">
        <f aca="false">IF(Assumptions!$C$10="Yes",IF(Q$3="S1",Assumptions!$C$11*($H$6&gt;0),0)-X$6*($H$6&gt;0),0)</f>
        <v>0</v>
      </c>
      <c r="R63" s="57" t="n">
        <f aca="false">IF(Assumptions!$C$10="Yes",IF(R$3="S1",Assumptions!$C$11*($H$6&gt;0),0)-Y$6*($H$6&gt;0),0)</f>
        <v>0</v>
      </c>
      <c r="S63" s="57" t="n">
        <f aca="false">IF(Assumptions!$C$10="Yes",IF(S$3="S1",Assumptions!$C$11*($H$6&gt;0),0)-Z$6*($H$6&gt;0),0)</f>
        <v>0</v>
      </c>
      <c r="T63" s="60" t="n">
        <f aca="false">SUM(M63:S63)</f>
        <v>0</v>
      </c>
    </row>
    <row r="64" customFormat="false" ht="15" hidden="false" customHeight="false" outlineLevel="0" collapsed="false">
      <c r="B64" s="54" t="s">
        <v>248</v>
      </c>
      <c r="M64" s="60" t="n">
        <f aca="false">M62+M63</f>
        <v>1435</v>
      </c>
      <c r="N64" s="60" t="n">
        <f aca="false">N62+N63</f>
        <v>3170</v>
      </c>
      <c r="O64" s="60" t="n">
        <f aca="false">O62+O63</f>
        <v>6420</v>
      </c>
      <c r="P64" s="60" t="n">
        <f aca="false">P62+P63</f>
        <v>13842</v>
      </c>
      <c r="Q64" s="60" t="n">
        <f aca="false">Q62+Q63</f>
        <v>2355</v>
      </c>
      <c r="R64" s="60" t="n">
        <f aca="false">R62+R63</f>
        <v>3360</v>
      </c>
      <c r="S64" s="60" t="n">
        <f aca="false">S62+S63</f>
        <v>2140</v>
      </c>
      <c r="T64" s="60" t="n">
        <f aca="false">SUM(M64:S64)</f>
        <v>32722</v>
      </c>
    </row>
    <row r="67" customFormat="false" ht="15" hidden="false" customHeight="false" outlineLevel="0" collapsed="false">
      <c r="A67" s="61" t="s">
        <v>250</v>
      </c>
      <c r="B67" s="62"/>
      <c r="C67" s="62"/>
      <c r="D67" s="62"/>
      <c r="E67" s="62"/>
      <c r="F67" s="62"/>
      <c r="G67" s="62"/>
      <c r="H67" s="62"/>
      <c r="I67" s="62"/>
      <c r="J67" s="62"/>
      <c r="K67" s="62"/>
      <c r="L67" s="62"/>
      <c r="M67" s="63" t="s">
        <v>87</v>
      </c>
      <c r="N67" s="63" t="s">
        <v>89</v>
      </c>
      <c r="O67" s="63" t="s">
        <v>91</v>
      </c>
      <c r="P67" s="63" t="s">
        <v>93</v>
      </c>
      <c r="Q67" s="63" t="s">
        <v>95</v>
      </c>
      <c r="R67" s="63" t="s">
        <v>97</v>
      </c>
      <c r="S67" s="63" t="s">
        <v>99</v>
      </c>
      <c r="T67" s="63" t="s">
        <v>23</v>
      </c>
      <c r="U67" s="62"/>
    </row>
    <row r="68" customFormat="false" ht="15" hidden="false" customHeight="false" outlineLevel="0" collapsed="false">
      <c r="B68" s="46" t="s">
        <v>236</v>
      </c>
      <c r="M68" s="57" t="n">
        <f aca="false">SUMPRODUCT(M$5:M$29,I$5:I$29,E$5:E$29)</f>
        <v>133361.7075</v>
      </c>
      <c r="N68" s="57" t="n">
        <f aca="false">SUMPRODUCT(N$5:N$29,I$5:I$29,E$5:E$29)</f>
        <v>536515.0875</v>
      </c>
      <c r="O68" s="57" t="n">
        <f aca="false">SUMPRODUCT(O$5:O$29,I$5:I$29,E$5:E$29)</f>
        <v>1212914.2725</v>
      </c>
      <c r="P68" s="57" t="n">
        <f aca="false">SUMPRODUCT(P$5:P$29,I$5:I$29,E$5:E$29)</f>
        <v>2599061.43</v>
      </c>
      <c r="Q68" s="57" t="n">
        <f aca="false">SUMPRODUCT(Q$5:Q$29,I$5:I$29,E$5:E$29)</f>
        <v>380134.65</v>
      </c>
      <c r="R68" s="57" t="n">
        <f aca="false">SUMPRODUCT(R$5:R$29,I$5:I$29,E$5:E$29)</f>
        <v>584012.2575</v>
      </c>
      <c r="S68" s="57" t="n">
        <f aca="false">SUMPRODUCT(S$5:S$29,I$5:I$29,E$5:E$29)</f>
        <v>412218.5025</v>
      </c>
      <c r="T68" s="60" t="n">
        <f aca="false">SUM(M68:S68)</f>
        <v>5858217.9075</v>
      </c>
    </row>
    <row r="69" customFormat="false" ht="15" hidden="false" customHeight="false" outlineLevel="0" collapsed="false">
      <c r="B69" s="46" t="s">
        <v>237</v>
      </c>
      <c r="M69" s="57" t="n">
        <f aca="false">SUMPRODUCT(M$5:M$29,I$5:I$29,F$5:F$29)</f>
        <v>14817.9675</v>
      </c>
      <c r="N69" s="57" t="n">
        <f aca="false">SUMPRODUCT(N$5:N$29,I$5:I$29,F$5:F$29)</f>
        <v>37457.4375</v>
      </c>
      <c r="O69" s="57" t="n">
        <f aca="false">SUMPRODUCT(O$5:O$29,I$5:I$29,F$5:F$29)</f>
        <v>66603.1275</v>
      </c>
      <c r="P69" s="57" t="n">
        <f aca="false">SUMPRODUCT(P$5:P$29,I$5:I$29,F$5:F$29)</f>
        <v>151716.495</v>
      </c>
      <c r="Q69" s="57" t="n">
        <f aca="false">SUMPRODUCT(Q$5:Q$29,I$5:I$29,F$5:F$29)</f>
        <v>31943.1</v>
      </c>
      <c r="R69" s="57" t="n">
        <f aca="false">SUMPRODUCT(R$5:R$29,I$5:I$29,F$5:F$29)</f>
        <v>44177.5425</v>
      </c>
      <c r="S69" s="57" t="n">
        <f aca="false">SUMPRODUCT(S$5:S$29,I$5:I$29,F$5:F$29)</f>
        <v>25238.7975</v>
      </c>
      <c r="T69" s="60" t="n">
        <f aca="false">SUM(M69:S69)</f>
        <v>371954.4675</v>
      </c>
    </row>
    <row r="70" customFormat="false" ht="15" hidden="false" customHeight="false" outlineLevel="0" collapsed="false">
      <c r="B70" s="46" t="s">
        <v>238</v>
      </c>
      <c r="M70" s="57" t="n">
        <f aca="false">SUMPRODUCT(M$5:M$29,I$5:I$29,G$5:G$29)</f>
        <v>78836.1</v>
      </c>
      <c r="N70" s="57" t="n">
        <f aca="false">SUMPRODUCT(N$5:N$29,I$5:I$29,G$5:G$29)</f>
        <v>0</v>
      </c>
      <c r="O70" s="57" t="n">
        <f aca="false">SUMPRODUCT(O$5:O$29,I$5:I$29,G$5:G$29)</f>
        <v>0</v>
      </c>
      <c r="P70" s="57" t="n">
        <f aca="false">SUMPRODUCT(P$5:P$29,I$5:I$29,G$5:G$29)</f>
        <v>0</v>
      </c>
      <c r="Q70" s="57" t="n">
        <f aca="false">SUMPRODUCT(Q$5:Q$29,I$5:I$29,G$5:G$29)</f>
        <v>0</v>
      </c>
      <c r="R70" s="57" t="n">
        <f aca="false">SUMPRODUCT(R$5:R$29,I$5:I$29,G$5:G$29)</f>
        <v>0</v>
      </c>
      <c r="S70" s="57" t="n">
        <f aca="false">SUMPRODUCT(S$5:S$29,I$5:I$29,G$5:G$29)</f>
        <v>0</v>
      </c>
      <c r="T70" s="60" t="n">
        <f aca="false">SUM(M70:S70)</f>
        <v>78836.1</v>
      </c>
    </row>
    <row r="71" customFormat="false" ht="15" hidden="false" customHeight="false" outlineLevel="0" collapsed="false">
      <c r="B71" s="46" t="s">
        <v>239</v>
      </c>
      <c r="M71" s="57" t="n">
        <f aca="false">IF(Assumptions!$C$10="Yes",(IF(M$3="S1",Assumptions!$C$12*$I$6,0)-M$6*$I$6)*$E$6,0)</f>
        <v>0</v>
      </c>
      <c r="N71" s="57" t="n">
        <f aca="false">IF(Assumptions!$C$10="Yes",(IF(N$3="S1",Assumptions!$C$12*$I$6,0)-N$6*$I$6)*$E$6,0)</f>
        <v>0</v>
      </c>
      <c r="O71" s="57" t="n">
        <f aca="false">IF(Assumptions!$C$10="Yes",(IF(O$3="S1",Assumptions!$C$12*$I$6,0)-O$6*$I$6)*$E$6,0)</f>
        <v>0</v>
      </c>
      <c r="P71" s="57" t="n">
        <f aca="false">IF(Assumptions!$C$10="Yes",(IF(P$3="S1",Assumptions!$C$12*$I$6,0)-P$6*$I$6)*$E$6,0)</f>
        <v>0</v>
      </c>
      <c r="Q71" s="57" t="n">
        <f aca="false">IF(Assumptions!$C$10="Yes",(IF(Q$3="S1",Assumptions!$C$12*$I$6,0)-Q$6*$I$6)*$E$6,0)</f>
        <v>0</v>
      </c>
      <c r="R71" s="57" t="n">
        <f aca="false">IF(Assumptions!$C$10="Yes",(IF(R$3="S1",Assumptions!$C$12*$I$6,0)-R$6*$I$6)*$E$6,0)</f>
        <v>0</v>
      </c>
      <c r="S71" s="57" t="n">
        <f aca="false">IF(Assumptions!$C$10="Yes",(IF(S$3="S1",Assumptions!$C$12*$I$6,0)-S$6*$I$6)*$E$6,0)</f>
        <v>0</v>
      </c>
      <c r="T71" s="60" t="n">
        <f aca="false">SUM(M71:S71)</f>
        <v>0</v>
      </c>
    </row>
    <row r="72" customFormat="false" ht="15" hidden="false" customHeight="false" outlineLevel="0" collapsed="false">
      <c r="B72" s="46" t="s">
        <v>240</v>
      </c>
      <c r="M72" s="57" t="n">
        <f aca="false">IF(Assumptions!$C$10="Yes",(IF(M$3="S1",Assumptions!$C$12*$I$6,0)-M$6*$I$6)*$F$6,0)</f>
        <v>0</v>
      </c>
      <c r="N72" s="57" t="n">
        <f aca="false">IF(Assumptions!$C$10="Yes",(IF(N$3="S1",Assumptions!$C$12*$I$6,0)-N$6*$I$6)*$F$6,0)</f>
        <v>0</v>
      </c>
      <c r="O72" s="57" t="n">
        <f aca="false">IF(Assumptions!$C$10="Yes",(IF(O$3="S1",Assumptions!$C$12*$I$6,0)-O$6*$I$6)*$F$6,0)</f>
        <v>0</v>
      </c>
      <c r="P72" s="57" t="n">
        <f aca="false">IF(Assumptions!$C$10="Yes",(IF(P$3="S1",Assumptions!$C$12*$I$6,0)-P$6*$I$6)*$F$6,0)</f>
        <v>0</v>
      </c>
      <c r="Q72" s="57" t="n">
        <f aca="false">IF(Assumptions!$C$10="Yes",(IF(Q$3="S1",Assumptions!$C$12*$I$6,0)-Q$6*$I$6)*$F$6,0)</f>
        <v>0</v>
      </c>
      <c r="R72" s="57" t="n">
        <f aca="false">IF(Assumptions!$C$10="Yes",(IF(R$3="S1",Assumptions!$C$12*$I$6,0)-R$6*$I$6)*$F$6,0)</f>
        <v>0</v>
      </c>
      <c r="S72" s="57" t="n">
        <f aca="false">IF(Assumptions!$C$10="Yes",(IF(S$3="S1",Assumptions!$C$12*$I$6,0)-S$6*$I$6)*$F$6,0)</f>
        <v>0</v>
      </c>
      <c r="T72" s="60" t="n">
        <f aca="false">SUM(M72:S72)</f>
        <v>0</v>
      </c>
    </row>
    <row r="73" customFormat="false" ht="15" hidden="false" customHeight="false" outlineLevel="0" collapsed="false">
      <c r="B73" s="46" t="s">
        <v>241</v>
      </c>
      <c r="M73" s="57" t="n">
        <f aca="false">IF(M$3="S2",(M68+M71)*(Assumptions!$C$6-Assumptions!$C$5)/(1+Assumptions!$C$5),0)</f>
        <v>0</v>
      </c>
      <c r="N73" s="57" t="n">
        <f aca="false">IF(N$3="S2",(N68+N71)*(Assumptions!$C$6-Assumptions!$C$5)/(1+Assumptions!$C$5),0)</f>
        <v>-139096.504166667</v>
      </c>
      <c r="O73" s="57" t="n">
        <f aca="false">IF(O$3="S2",(O68+O71)*(Assumptions!$C$6-Assumptions!$C$5)/(1+Assumptions!$C$5),0)</f>
        <v>0</v>
      </c>
      <c r="P73" s="57" t="n">
        <f aca="false">IF(P$3="S2",(P68+P71)*(Assumptions!$C$6-Assumptions!$C$5)/(1+Assumptions!$C$5),0)</f>
        <v>0</v>
      </c>
      <c r="Q73" s="57" t="n">
        <f aca="false">IF(Q$3="S2",(Q68+Q71)*(Assumptions!$C$6-Assumptions!$C$5)/(1+Assumptions!$C$5),0)</f>
        <v>0</v>
      </c>
      <c r="R73" s="57" t="n">
        <f aca="false">IF(R$3="S2",(R68+R71)*(Assumptions!$C$6-Assumptions!$C$5)/(1+Assumptions!$C$5),0)</f>
        <v>0</v>
      </c>
      <c r="S73" s="57" t="n">
        <f aca="false">IF(S$3="S2",(S68+S71)*(Assumptions!$C$6-Assumptions!$C$5)/(1+Assumptions!$C$5),0)</f>
        <v>0</v>
      </c>
      <c r="T73" s="60" t="n">
        <f aca="false">SUM(M73:S73)</f>
        <v>-139096.504166667</v>
      </c>
    </row>
    <row r="74" customFormat="false" ht="15" hidden="false" customHeight="false" outlineLevel="0" collapsed="false">
      <c r="B74" s="46" t="s">
        <v>242</v>
      </c>
      <c r="M74" s="57" t="n">
        <f aca="false">-Assumptions!$C$7*(M68+M71+M73)</f>
        <v>-5334.4683</v>
      </c>
      <c r="N74" s="57" t="n">
        <f aca="false">-Assumptions!$C$7*(N68+N71+N73)</f>
        <v>-15896.7433333333</v>
      </c>
      <c r="O74" s="57" t="n">
        <f aca="false">-Assumptions!$C$7*(O68+O71+O73)</f>
        <v>-48516.5709</v>
      </c>
      <c r="P74" s="57" t="n">
        <f aca="false">-Assumptions!$C$7*(P68+P71+P73)</f>
        <v>-103962.4572</v>
      </c>
      <c r="Q74" s="57" t="n">
        <f aca="false">-Assumptions!$C$7*(Q68+Q71+Q73)</f>
        <v>-15205.386</v>
      </c>
      <c r="R74" s="57" t="n">
        <f aca="false">-Assumptions!$C$7*(R68+R71+R73)</f>
        <v>-23360.4903</v>
      </c>
      <c r="S74" s="57" t="n">
        <f aca="false">-Assumptions!$C$7*(S68+S71+S73)</f>
        <v>-16488.7401</v>
      </c>
      <c r="T74" s="60" t="n">
        <f aca="false">SUM(M74:S74)</f>
        <v>-228764.856133333</v>
      </c>
    </row>
    <row r="75" customFormat="false" ht="15" hidden="false" customHeight="false" outlineLevel="0" collapsed="false">
      <c r="B75" s="54" t="s">
        <v>243</v>
      </c>
      <c r="M75" s="60" t="n">
        <f aca="false">M68+M71+M73+M74</f>
        <v>128027.2392</v>
      </c>
      <c r="N75" s="60" t="n">
        <f aca="false">N68+N71+N73+N74</f>
        <v>381521.84</v>
      </c>
      <c r="O75" s="60" t="n">
        <f aca="false">O68+O71+O73+O74</f>
        <v>1164397.7016</v>
      </c>
      <c r="P75" s="60" t="n">
        <f aca="false">P68+P71+P73+P74</f>
        <v>2495098.9728</v>
      </c>
      <c r="Q75" s="60" t="n">
        <f aca="false">Q68+Q71+Q73+Q74</f>
        <v>364929.264</v>
      </c>
      <c r="R75" s="60" t="n">
        <f aca="false">R68+R71+R73+R74</f>
        <v>560651.7672</v>
      </c>
      <c r="S75" s="60" t="n">
        <f aca="false">S68+S71+S73+S74</f>
        <v>395729.7624</v>
      </c>
      <c r="T75" s="60" t="n">
        <f aca="false">SUM(M75:S75)</f>
        <v>5490356.5472</v>
      </c>
    </row>
    <row r="76" customFormat="false" ht="15" hidden="false" customHeight="false" outlineLevel="0" collapsed="false">
      <c r="B76" s="54" t="s">
        <v>244</v>
      </c>
      <c r="M76" s="60" t="n">
        <f aca="false">M69+M72</f>
        <v>14817.9675</v>
      </c>
      <c r="N76" s="60" t="n">
        <f aca="false">N69+N72</f>
        <v>37457.4375</v>
      </c>
      <c r="O76" s="60" t="n">
        <f aca="false">O69+O72</f>
        <v>66603.1275</v>
      </c>
      <c r="P76" s="60" t="n">
        <f aca="false">P69+P72</f>
        <v>151716.495</v>
      </c>
      <c r="Q76" s="60" t="n">
        <f aca="false">Q69+Q72</f>
        <v>31943.1</v>
      </c>
      <c r="R76" s="60" t="n">
        <f aca="false">R69+R72</f>
        <v>44177.5425</v>
      </c>
      <c r="S76" s="60" t="n">
        <f aca="false">S69+S72</f>
        <v>25238.7975</v>
      </c>
      <c r="T76" s="60" t="n">
        <f aca="false">SUM(M76:S76)</f>
        <v>371954.4675</v>
      </c>
    </row>
    <row r="77" customFormat="false" ht="15" hidden="false" customHeight="false" outlineLevel="0" collapsed="false">
      <c r="B77" s="54" t="s">
        <v>245</v>
      </c>
      <c r="M77" s="60" t="n">
        <f aca="false">M70</f>
        <v>78836.1</v>
      </c>
      <c r="N77" s="60" t="n">
        <f aca="false">N70</f>
        <v>0</v>
      </c>
      <c r="O77" s="60" t="n">
        <f aca="false">O70</f>
        <v>0</v>
      </c>
      <c r="P77" s="60" t="n">
        <f aca="false">P70</f>
        <v>0</v>
      </c>
      <c r="Q77" s="60" t="n">
        <f aca="false">Q70</f>
        <v>0</v>
      </c>
      <c r="R77" s="60" t="n">
        <f aca="false">R70</f>
        <v>0</v>
      </c>
      <c r="S77" s="60" t="n">
        <f aca="false">S70</f>
        <v>0</v>
      </c>
      <c r="T77" s="60" t="n">
        <f aca="false">SUM(M77:S77)</f>
        <v>78836.1</v>
      </c>
    </row>
    <row r="78" customFormat="false" ht="15" hidden="false" customHeight="false" outlineLevel="0" collapsed="false">
      <c r="B78" s="54" t="s">
        <v>67</v>
      </c>
      <c r="M78" s="60" t="n">
        <f aca="false">M75+M76+M77</f>
        <v>221681.3067</v>
      </c>
      <c r="N78" s="60" t="n">
        <f aca="false">N75+N76+N77</f>
        <v>418979.2775</v>
      </c>
      <c r="O78" s="60" t="n">
        <f aca="false">O75+O76+O77</f>
        <v>1231000.8291</v>
      </c>
      <c r="P78" s="60" t="n">
        <f aca="false">P75+P76+P77</f>
        <v>2646815.4678</v>
      </c>
      <c r="Q78" s="60" t="n">
        <f aca="false">Q75+Q76+Q77</f>
        <v>396872.364</v>
      </c>
      <c r="R78" s="60" t="n">
        <f aca="false">R75+R76+R77</f>
        <v>604829.3097</v>
      </c>
      <c r="S78" s="60" t="n">
        <f aca="false">S75+S76+S77</f>
        <v>420968.5599</v>
      </c>
      <c r="T78" s="60" t="n">
        <f aca="false">SUM(M78:S78)</f>
        <v>5941147.1147</v>
      </c>
    </row>
    <row r="79" customFormat="false" ht="15" hidden="false" customHeight="false" outlineLevel="0" collapsed="false">
      <c r="B79" s="46" t="s">
        <v>246</v>
      </c>
      <c r="M79" s="57" t="n">
        <f aca="false">SUMPRODUCT(T$5:T$29*(I$5:I$29&gt;0))</f>
        <v>970</v>
      </c>
      <c r="N79" s="57" t="n">
        <f aca="false">SUMPRODUCT(U$5:U$29*(I$5:I$29&gt;0))</f>
        <v>2485</v>
      </c>
      <c r="O79" s="57" t="n">
        <f aca="false">SUMPRODUCT(V$5:V$29*(I$5:I$29&gt;0))</f>
        <v>5595</v>
      </c>
      <c r="P79" s="57" t="n">
        <f aca="false">SUMPRODUCT(W$5:W$29*(I$5:I$29&gt;0))</f>
        <v>11955</v>
      </c>
      <c r="Q79" s="57" t="n">
        <f aca="false">SUMPRODUCT(X$5:X$29*(I$5:I$29&gt;0))</f>
        <v>1795</v>
      </c>
      <c r="R79" s="57" t="n">
        <f aca="false">SUMPRODUCT(Y$5:Y$29*(I$5:I$29&gt;0))</f>
        <v>2720</v>
      </c>
      <c r="S79" s="57" t="n">
        <f aca="false">SUMPRODUCT(Z$5:Z$29*(I$5:I$29&gt;0))</f>
        <v>1895</v>
      </c>
      <c r="T79" s="60" t="n">
        <f aca="false">SUM(M79:S79)</f>
        <v>27415</v>
      </c>
    </row>
    <row r="80" customFormat="false" ht="15" hidden="false" customHeight="false" outlineLevel="0" collapsed="false">
      <c r="B80" s="46" t="s">
        <v>247</v>
      </c>
      <c r="M80" s="57" t="n">
        <f aca="false">IF(Assumptions!$C$10="Yes",IF(M$3="S1",Assumptions!$C$11*($I$6&gt;0),0)-T$6*($I$6&gt;0),0)</f>
        <v>0</v>
      </c>
      <c r="N80" s="57" t="n">
        <f aca="false">IF(Assumptions!$C$10="Yes",IF(N$3="S1",Assumptions!$C$11*($I$6&gt;0),0)-U$6*($I$6&gt;0),0)</f>
        <v>0</v>
      </c>
      <c r="O80" s="57" t="n">
        <f aca="false">IF(Assumptions!$C$10="Yes",IF(O$3="S1",Assumptions!$C$11*($I$6&gt;0),0)-V$6*($I$6&gt;0),0)</f>
        <v>0</v>
      </c>
      <c r="P80" s="57" t="n">
        <f aca="false">IF(Assumptions!$C$10="Yes",IF(P$3="S1",Assumptions!$C$11*($I$6&gt;0),0)-W$6*($I$6&gt;0),0)</f>
        <v>0</v>
      </c>
      <c r="Q80" s="57" t="n">
        <f aca="false">IF(Assumptions!$C$10="Yes",IF(Q$3="S1",Assumptions!$C$11*($I$6&gt;0),0)-X$6*($I$6&gt;0),0)</f>
        <v>0</v>
      </c>
      <c r="R80" s="57" t="n">
        <f aca="false">IF(Assumptions!$C$10="Yes",IF(R$3="S1",Assumptions!$C$11*($I$6&gt;0),0)-Y$6*($I$6&gt;0),0)</f>
        <v>0</v>
      </c>
      <c r="S80" s="57" t="n">
        <f aca="false">IF(Assumptions!$C$10="Yes",IF(S$3="S1",Assumptions!$C$11*($I$6&gt;0),0)-Z$6*($I$6&gt;0),0)</f>
        <v>0</v>
      </c>
      <c r="T80" s="60" t="n">
        <f aca="false">SUM(M80:S80)</f>
        <v>0</v>
      </c>
    </row>
    <row r="81" customFormat="false" ht="15" hidden="false" customHeight="false" outlineLevel="0" collapsed="false">
      <c r="B81" s="54" t="s">
        <v>248</v>
      </c>
      <c r="M81" s="60" t="n">
        <f aca="false">M79+M80</f>
        <v>970</v>
      </c>
      <c r="N81" s="60" t="n">
        <f aca="false">N79+N80</f>
        <v>2485</v>
      </c>
      <c r="O81" s="60" t="n">
        <f aca="false">O79+O80</f>
        <v>5595</v>
      </c>
      <c r="P81" s="60" t="n">
        <f aca="false">P79+P80</f>
        <v>11955</v>
      </c>
      <c r="Q81" s="60" t="n">
        <f aca="false">Q79+Q80</f>
        <v>1795</v>
      </c>
      <c r="R81" s="60" t="n">
        <f aca="false">R79+R80</f>
        <v>2720</v>
      </c>
      <c r="S81" s="60" t="n">
        <f aca="false">S79+S80</f>
        <v>1895</v>
      </c>
      <c r="T81" s="60" t="n">
        <f aca="false">SUM(M81:S81)</f>
        <v>27415</v>
      </c>
    </row>
    <row r="84" customFormat="false" ht="15" hidden="false" customHeight="false" outlineLevel="0" collapsed="false">
      <c r="A84" s="64" t="s">
        <v>251</v>
      </c>
      <c r="B84" s="65"/>
      <c r="C84" s="65"/>
      <c r="D84" s="65"/>
      <c r="E84" s="65"/>
      <c r="F84" s="65"/>
      <c r="G84" s="65"/>
      <c r="H84" s="65"/>
      <c r="I84" s="65"/>
      <c r="J84" s="65"/>
      <c r="K84" s="65"/>
      <c r="L84" s="65"/>
      <c r="M84" s="66" t="s">
        <v>87</v>
      </c>
      <c r="N84" s="66" t="s">
        <v>89</v>
      </c>
      <c r="O84" s="66" t="s">
        <v>91</v>
      </c>
      <c r="P84" s="66" t="s">
        <v>93</v>
      </c>
      <c r="Q84" s="66" t="s">
        <v>95</v>
      </c>
      <c r="R84" s="66" t="s">
        <v>97</v>
      </c>
      <c r="S84" s="66" t="s">
        <v>99</v>
      </c>
      <c r="T84" s="66" t="s">
        <v>23</v>
      </c>
      <c r="U84" s="65"/>
    </row>
    <row r="85" customFormat="false" ht="15" hidden="false" customHeight="false" outlineLevel="0" collapsed="false">
      <c r="B85" s="46" t="s">
        <v>236</v>
      </c>
      <c r="M85" s="57" t="n">
        <f aca="false">SUMPRODUCT(M$5:M$29,J$5:J$29,E$5:E$29)</f>
        <v>133361.7075</v>
      </c>
      <c r="N85" s="57" t="n">
        <f aca="false">SUMPRODUCT(N$5:N$29,J$5:J$29,E$5:E$29)</f>
        <v>436779.2625</v>
      </c>
      <c r="O85" s="57" t="n">
        <f aca="false">SUMPRODUCT(O$5:O$29,J$5:J$29,E$5:E$29)</f>
        <v>942471.0225</v>
      </c>
      <c r="P85" s="57" t="n">
        <f aca="false">SUMPRODUCT(P$5:P$29,J$5:J$29,E$5:E$29)</f>
        <v>2006652.5325</v>
      </c>
      <c r="Q85" s="57" t="n">
        <f aca="false">SUMPRODUCT(Q$5:Q$29,J$5:J$29,E$5:E$29)</f>
        <v>148043.7</v>
      </c>
      <c r="R85" s="57" t="n">
        <f aca="false">SUMPRODUCT(R$5:R$29,J$5:J$29,E$5:E$29)</f>
        <v>334653.2175</v>
      </c>
      <c r="S85" s="57" t="n">
        <f aca="false">SUMPRODUCT(S$5:S$29,J$5:J$29,E$5:E$29)</f>
        <v>281937.18</v>
      </c>
      <c r="T85" s="60" t="n">
        <f aca="false">SUM(M85:S85)</f>
        <v>4283898.6225</v>
      </c>
    </row>
    <row r="86" customFormat="false" ht="15" hidden="false" customHeight="false" outlineLevel="0" collapsed="false">
      <c r="B86" s="46" t="s">
        <v>237</v>
      </c>
      <c r="M86" s="57" t="n">
        <f aca="false">SUMPRODUCT(M$5:M$29,J$5:J$29,F$5:F$29)</f>
        <v>14817.9675</v>
      </c>
      <c r="N86" s="57" t="n">
        <f aca="false">SUMPRODUCT(N$5:N$29,J$5:J$29,F$5:F$29)</f>
        <v>37457.4375</v>
      </c>
      <c r="O86" s="57" t="n">
        <f aca="false">SUMPRODUCT(O$5:O$29,J$5:J$29,F$5:F$29)</f>
        <v>58558.5525</v>
      </c>
      <c r="P86" s="57" t="n">
        <f aca="false">SUMPRODUCT(P$5:P$29,J$5:J$29,F$5:F$29)</f>
        <v>119276.1675</v>
      </c>
      <c r="Q86" s="57" t="n">
        <f aca="false">SUMPRODUCT(Q$5:Q$29,J$5:J$29,F$5:F$29)</f>
        <v>16449.3</v>
      </c>
      <c r="R86" s="57" t="n">
        <f aca="false">SUMPRODUCT(R$5:R$29,J$5:J$29,F$5:F$29)</f>
        <v>28161.1575</v>
      </c>
      <c r="S86" s="57" t="n">
        <f aca="false">SUMPRODUCT(S$5:S$29,J$5:J$29,F$5:F$29)</f>
        <v>19229.07</v>
      </c>
      <c r="T86" s="60" t="n">
        <f aca="false">SUM(M86:S86)</f>
        <v>293949.6525</v>
      </c>
    </row>
    <row r="87" customFormat="false" ht="15" hidden="false" customHeight="false" outlineLevel="0" collapsed="false">
      <c r="B87" s="46" t="s">
        <v>238</v>
      </c>
      <c r="M87" s="57" t="n">
        <f aca="false">SUMPRODUCT(M$5:M$29,J$5:J$29,G$5:G$29)</f>
        <v>78836.1</v>
      </c>
      <c r="N87" s="57" t="n">
        <f aca="false">SUMPRODUCT(N$5:N$29,J$5:J$29,G$5:G$29)</f>
        <v>0</v>
      </c>
      <c r="O87" s="57" t="n">
        <f aca="false">SUMPRODUCT(O$5:O$29,J$5:J$29,G$5:G$29)</f>
        <v>0</v>
      </c>
      <c r="P87" s="57" t="n">
        <f aca="false">SUMPRODUCT(P$5:P$29,J$5:J$29,G$5:G$29)</f>
        <v>0</v>
      </c>
      <c r="Q87" s="57" t="n">
        <f aca="false">SUMPRODUCT(Q$5:Q$29,J$5:J$29,G$5:G$29)</f>
        <v>0</v>
      </c>
      <c r="R87" s="57" t="n">
        <f aca="false">SUMPRODUCT(R$5:R$29,J$5:J$29,G$5:G$29)</f>
        <v>0</v>
      </c>
      <c r="S87" s="57" t="n">
        <f aca="false">SUMPRODUCT(S$5:S$29,J$5:J$29,G$5:G$29)</f>
        <v>0</v>
      </c>
      <c r="T87" s="60" t="n">
        <f aca="false">SUM(M87:S87)</f>
        <v>78836.1</v>
      </c>
    </row>
    <row r="88" customFormat="false" ht="15" hidden="false" customHeight="false" outlineLevel="0" collapsed="false">
      <c r="B88" s="46" t="s">
        <v>239</v>
      </c>
      <c r="M88" s="57" t="n">
        <f aca="false">IF(Assumptions!$C$10="Yes",(IF(M$3="S1",Assumptions!$C$12*$J$6,0)-M$6*$J$6)*$E$6,0)</f>
        <v>0</v>
      </c>
      <c r="N88" s="57" t="n">
        <f aca="false">IF(Assumptions!$C$10="Yes",(IF(N$3="S1",Assumptions!$C$12*$J$6,0)-N$6*$J$6)*$E$6,0)</f>
        <v>0</v>
      </c>
      <c r="O88" s="57" t="n">
        <f aca="false">IF(Assumptions!$C$10="Yes",(IF(O$3="S1",Assumptions!$C$12*$J$6,0)-O$6*$J$6)*$E$6,0)</f>
        <v>0</v>
      </c>
      <c r="P88" s="57" t="n">
        <f aca="false">IF(Assumptions!$C$10="Yes",(IF(P$3="S1",Assumptions!$C$12*$J$6,0)-P$6*$J$6)*$E$6,0)</f>
        <v>0</v>
      </c>
      <c r="Q88" s="57" t="n">
        <f aca="false">IF(Assumptions!$C$10="Yes",(IF(Q$3="S1",Assumptions!$C$12*$J$6,0)-Q$6*$J$6)*$E$6,0)</f>
        <v>0</v>
      </c>
      <c r="R88" s="57" t="n">
        <f aca="false">IF(Assumptions!$C$10="Yes",(IF(R$3="S1",Assumptions!$C$12*$J$6,0)-R$6*$J$6)*$E$6,0)</f>
        <v>0</v>
      </c>
      <c r="S88" s="57" t="n">
        <f aca="false">IF(Assumptions!$C$10="Yes",(IF(S$3="S1",Assumptions!$C$12*$J$6,0)-S$6*$J$6)*$E$6,0)</f>
        <v>0</v>
      </c>
      <c r="T88" s="60" t="n">
        <f aca="false">SUM(M88:S88)</f>
        <v>0</v>
      </c>
    </row>
    <row r="89" customFormat="false" ht="15" hidden="false" customHeight="false" outlineLevel="0" collapsed="false">
      <c r="B89" s="46" t="s">
        <v>240</v>
      </c>
      <c r="M89" s="57" t="n">
        <f aca="false">IF(Assumptions!$C$10="Yes",(IF(M$3="S1",Assumptions!$C$12*$J$6,0)-M$6*$J$6)*$F$6,0)</f>
        <v>0</v>
      </c>
      <c r="N89" s="57" t="n">
        <f aca="false">IF(Assumptions!$C$10="Yes",(IF(N$3="S1",Assumptions!$C$12*$J$6,0)-N$6*$J$6)*$F$6,0)</f>
        <v>0</v>
      </c>
      <c r="O89" s="57" t="n">
        <f aca="false">IF(Assumptions!$C$10="Yes",(IF(O$3="S1",Assumptions!$C$12*$J$6,0)-O$6*$J$6)*$F$6,0)</f>
        <v>0</v>
      </c>
      <c r="P89" s="57" t="n">
        <f aca="false">IF(Assumptions!$C$10="Yes",(IF(P$3="S1",Assumptions!$C$12*$J$6,0)-P$6*$J$6)*$F$6,0)</f>
        <v>0</v>
      </c>
      <c r="Q89" s="57" t="n">
        <f aca="false">IF(Assumptions!$C$10="Yes",(IF(Q$3="S1",Assumptions!$C$12*$J$6,0)-Q$6*$J$6)*$F$6,0)</f>
        <v>0</v>
      </c>
      <c r="R89" s="57" t="n">
        <f aca="false">IF(Assumptions!$C$10="Yes",(IF(R$3="S1",Assumptions!$C$12*$J$6,0)-R$6*$J$6)*$F$6,0)</f>
        <v>0</v>
      </c>
      <c r="S89" s="57" t="n">
        <f aca="false">IF(Assumptions!$C$10="Yes",(IF(S$3="S1",Assumptions!$C$12*$J$6,0)-S$6*$J$6)*$F$6,0)</f>
        <v>0</v>
      </c>
      <c r="T89" s="60" t="n">
        <f aca="false">SUM(M89:S89)</f>
        <v>0</v>
      </c>
    </row>
    <row r="90" customFormat="false" ht="15" hidden="false" customHeight="false" outlineLevel="0" collapsed="false">
      <c r="B90" s="46" t="s">
        <v>241</v>
      </c>
      <c r="M90" s="57" t="n">
        <f aca="false">IF(M$3="S2",(M85+M88)*(Assumptions!$C$6-Assumptions!$C$5)/(1+Assumptions!$C$5),0)</f>
        <v>0</v>
      </c>
      <c r="N90" s="57" t="n">
        <f aca="false">IF(N$3="S2",(N85+N88)*(Assumptions!$C$6-Assumptions!$C$5)/(1+Assumptions!$C$5),0)</f>
        <v>-113239.068055556</v>
      </c>
      <c r="O90" s="57" t="n">
        <f aca="false">IF(O$3="S2",(O85+O88)*(Assumptions!$C$6-Assumptions!$C$5)/(1+Assumptions!$C$5),0)</f>
        <v>0</v>
      </c>
      <c r="P90" s="57" t="n">
        <f aca="false">IF(P$3="S2",(P85+P88)*(Assumptions!$C$6-Assumptions!$C$5)/(1+Assumptions!$C$5),0)</f>
        <v>0</v>
      </c>
      <c r="Q90" s="57" t="n">
        <f aca="false">IF(Q$3="S2",(Q85+Q88)*(Assumptions!$C$6-Assumptions!$C$5)/(1+Assumptions!$C$5),0)</f>
        <v>0</v>
      </c>
      <c r="R90" s="57" t="n">
        <f aca="false">IF(R$3="S2",(R85+R88)*(Assumptions!$C$6-Assumptions!$C$5)/(1+Assumptions!$C$5),0)</f>
        <v>0</v>
      </c>
      <c r="S90" s="57" t="n">
        <f aca="false">IF(S$3="S2",(S85+S88)*(Assumptions!$C$6-Assumptions!$C$5)/(1+Assumptions!$C$5),0)</f>
        <v>0</v>
      </c>
      <c r="T90" s="60" t="n">
        <f aca="false">SUM(M90:S90)</f>
        <v>-113239.068055556</v>
      </c>
    </row>
    <row r="91" customFormat="false" ht="15" hidden="false" customHeight="false" outlineLevel="0" collapsed="false">
      <c r="B91" s="46" t="s">
        <v>242</v>
      </c>
      <c r="M91" s="57" t="n">
        <f aca="false">-Assumptions!$C$7*(M85+M88+M90)</f>
        <v>-5334.4683</v>
      </c>
      <c r="N91" s="57" t="n">
        <f aca="false">-Assumptions!$C$7*(N85+N88+N90)</f>
        <v>-12941.6077777778</v>
      </c>
      <c r="O91" s="57" t="n">
        <f aca="false">-Assumptions!$C$7*(O85+O88+O90)</f>
        <v>-37698.8409</v>
      </c>
      <c r="P91" s="57" t="n">
        <f aca="false">-Assumptions!$C$7*(P85+P88+P90)</f>
        <v>-80266.1013</v>
      </c>
      <c r="Q91" s="57" t="n">
        <f aca="false">-Assumptions!$C$7*(Q85+Q88+Q90)</f>
        <v>-5921.748</v>
      </c>
      <c r="R91" s="57" t="n">
        <f aca="false">-Assumptions!$C$7*(R85+R88+R90)</f>
        <v>-13386.1287</v>
      </c>
      <c r="S91" s="57" t="n">
        <f aca="false">-Assumptions!$C$7*(S85+S88+S90)</f>
        <v>-11277.4872</v>
      </c>
      <c r="T91" s="60" t="n">
        <f aca="false">SUM(M91:S91)</f>
        <v>-166826.382177778</v>
      </c>
    </row>
    <row r="92" customFormat="false" ht="15" hidden="false" customHeight="false" outlineLevel="0" collapsed="false">
      <c r="B92" s="54" t="s">
        <v>243</v>
      </c>
      <c r="M92" s="60" t="n">
        <f aca="false">M85+M88+M90+M91</f>
        <v>128027.2392</v>
      </c>
      <c r="N92" s="60" t="n">
        <f aca="false">N85+N88+N90+N91</f>
        <v>310598.586666667</v>
      </c>
      <c r="O92" s="60" t="n">
        <f aca="false">O85+O88+O90+O91</f>
        <v>904772.1816</v>
      </c>
      <c r="P92" s="60" t="n">
        <f aca="false">P85+P88+P90+P91</f>
        <v>1926386.4312</v>
      </c>
      <c r="Q92" s="60" t="n">
        <f aca="false">Q85+Q88+Q90+Q91</f>
        <v>142121.952</v>
      </c>
      <c r="R92" s="60" t="n">
        <f aca="false">R85+R88+R90+R91</f>
        <v>321267.0888</v>
      </c>
      <c r="S92" s="60" t="n">
        <f aca="false">S85+S88+S90+S91</f>
        <v>270659.6928</v>
      </c>
      <c r="T92" s="60" t="n">
        <f aca="false">SUM(M92:S92)</f>
        <v>4003833.17226667</v>
      </c>
    </row>
    <row r="93" customFormat="false" ht="15" hidden="false" customHeight="false" outlineLevel="0" collapsed="false">
      <c r="B93" s="54" t="s">
        <v>244</v>
      </c>
      <c r="M93" s="60" t="n">
        <f aca="false">M86+M89</f>
        <v>14817.9675</v>
      </c>
      <c r="N93" s="60" t="n">
        <f aca="false">N86+N89</f>
        <v>37457.4375</v>
      </c>
      <c r="O93" s="60" t="n">
        <f aca="false">O86+O89</f>
        <v>58558.5525</v>
      </c>
      <c r="P93" s="60" t="n">
        <f aca="false">P86+P89</f>
        <v>119276.1675</v>
      </c>
      <c r="Q93" s="60" t="n">
        <f aca="false">Q86+Q89</f>
        <v>16449.3</v>
      </c>
      <c r="R93" s="60" t="n">
        <f aca="false">R86+R89</f>
        <v>28161.1575</v>
      </c>
      <c r="S93" s="60" t="n">
        <f aca="false">S86+S89</f>
        <v>19229.07</v>
      </c>
      <c r="T93" s="60" t="n">
        <f aca="false">SUM(M93:S93)</f>
        <v>293949.6525</v>
      </c>
    </row>
    <row r="94" customFormat="false" ht="15" hidden="false" customHeight="false" outlineLevel="0" collapsed="false">
      <c r="B94" s="54" t="s">
        <v>245</v>
      </c>
      <c r="M94" s="60" t="n">
        <f aca="false">M87</f>
        <v>78836.1</v>
      </c>
      <c r="N94" s="60" t="n">
        <f aca="false">N87</f>
        <v>0</v>
      </c>
      <c r="O94" s="60" t="n">
        <f aca="false">O87</f>
        <v>0</v>
      </c>
      <c r="P94" s="60" t="n">
        <f aca="false">P87</f>
        <v>0</v>
      </c>
      <c r="Q94" s="60" t="n">
        <f aca="false">Q87</f>
        <v>0</v>
      </c>
      <c r="R94" s="60" t="n">
        <f aca="false">R87</f>
        <v>0</v>
      </c>
      <c r="S94" s="60" t="n">
        <f aca="false">S87</f>
        <v>0</v>
      </c>
      <c r="T94" s="60" t="n">
        <f aca="false">SUM(M94:S94)</f>
        <v>78836.1</v>
      </c>
    </row>
    <row r="95" customFormat="false" ht="15" hidden="false" customHeight="false" outlineLevel="0" collapsed="false">
      <c r="B95" s="54" t="s">
        <v>67</v>
      </c>
      <c r="M95" s="60" t="n">
        <f aca="false">M92+M93+M94</f>
        <v>221681.3067</v>
      </c>
      <c r="N95" s="60" t="n">
        <f aca="false">N92+N93+N94</f>
        <v>348056.024166667</v>
      </c>
      <c r="O95" s="60" t="n">
        <f aca="false">O92+O93+O94</f>
        <v>963330.7341</v>
      </c>
      <c r="P95" s="60" t="n">
        <f aca="false">P92+P93+P94</f>
        <v>2045662.5987</v>
      </c>
      <c r="Q95" s="60" t="n">
        <f aca="false">Q92+Q93+Q94</f>
        <v>158571.252</v>
      </c>
      <c r="R95" s="60" t="n">
        <f aca="false">R92+R93+R94</f>
        <v>349428.2463</v>
      </c>
      <c r="S95" s="60" t="n">
        <f aca="false">S92+S93+S94</f>
        <v>289888.7628</v>
      </c>
      <c r="T95" s="60" t="n">
        <f aca="false">SUM(M95:S95)</f>
        <v>4376618.92476667</v>
      </c>
    </row>
    <row r="96" customFormat="false" ht="15" hidden="false" customHeight="false" outlineLevel="0" collapsed="false">
      <c r="B96" s="46" t="s">
        <v>246</v>
      </c>
      <c r="M96" s="57" t="n">
        <f aca="false">SUMPRODUCT(T$5:T$29*(J$5:J$29&gt;0))</f>
        <v>970</v>
      </c>
      <c r="N96" s="57" t="n">
        <f aca="false">SUMPRODUCT(U$5:U$29*(J$5:J$29&gt;0))</f>
        <v>2050</v>
      </c>
      <c r="O96" s="57" t="n">
        <f aca="false">SUMPRODUCT(V$5:V$29*(J$5:J$29&gt;0))</f>
        <v>4380</v>
      </c>
      <c r="P96" s="57" t="n">
        <f aca="false">SUMPRODUCT(W$5:W$29*(J$5:J$29&gt;0))</f>
        <v>9235</v>
      </c>
      <c r="Q96" s="57" t="n">
        <f aca="false">SUMPRODUCT(X$5:X$29*(J$5:J$29&gt;0))</f>
        <v>715</v>
      </c>
      <c r="R96" s="57" t="n">
        <f aca="false">SUMPRODUCT(Y$5:Y$29*(J$5:J$29&gt;0))</f>
        <v>1565</v>
      </c>
      <c r="S96" s="57" t="n">
        <f aca="false">SUMPRODUCT(Z$5:Z$29*(J$5:J$29&gt;0))</f>
        <v>1305</v>
      </c>
      <c r="T96" s="60" t="n">
        <f aca="false">SUM(M96:S96)</f>
        <v>20220</v>
      </c>
    </row>
    <row r="97" customFormat="false" ht="15" hidden="false" customHeight="false" outlineLevel="0" collapsed="false">
      <c r="B97" s="46" t="s">
        <v>247</v>
      </c>
      <c r="M97" s="57" t="n">
        <f aca="false">IF(Assumptions!$C$10="Yes",IF(M$3="S1",Assumptions!$C$11*($J$6&gt;0),0)-T$6*($J$6&gt;0),0)</f>
        <v>0</v>
      </c>
      <c r="N97" s="57" t="n">
        <f aca="false">IF(Assumptions!$C$10="Yes",IF(N$3="S1",Assumptions!$C$11*($J$6&gt;0),0)-U$6*($J$6&gt;0),0)</f>
        <v>0</v>
      </c>
      <c r="O97" s="57" t="n">
        <f aca="false">IF(Assumptions!$C$10="Yes",IF(O$3="S1",Assumptions!$C$11*($J$6&gt;0),0)-V$6*($J$6&gt;0),0)</f>
        <v>0</v>
      </c>
      <c r="P97" s="57" t="n">
        <f aca="false">IF(Assumptions!$C$10="Yes",IF(P$3="S1",Assumptions!$C$11*($J$6&gt;0),0)-W$6*($J$6&gt;0),0)</f>
        <v>0</v>
      </c>
      <c r="Q97" s="57" t="n">
        <f aca="false">IF(Assumptions!$C$10="Yes",IF(Q$3="S1",Assumptions!$C$11*($J$6&gt;0),0)-X$6*($J$6&gt;0),0)</f>
        <v>0</v>
      </c>
      <c r="R97" s="57" t="n">
        <f aca="false">IF(Assumptions!$C$10="Yes",IF(R$3="S1",Assumptions!$C$11*($J$6&gt;0),0)-Y$6*($J$6&gt;0),0)</f>
        <v>0</v>
      </c>
      <c r="S97" s="57" t="n">
        <f aca="false">IF(Assumptions!$C$10="Yes",IF(S$3="S1",Assumptions!$C$11*($J$6&gt;0),0)-Z$6*($J$6&gt;0),0)</f>
        <v>0</v>
      </c>
      <c r="T97" s="60" t="n">
        <f aca="false">SUM(M97:S97)</f>
        <v>0</v>
      </c>
    </row>
    <row r="98" customFormat="false" ht="15" hidden="false" customHeight="false" outlineLevel="0" collapsed="false">
      <c r="B98" s="54" t="s">
        <v>248</v>
      </c>
      <c r="M98" s="60" t="n">
        <f aca="false">M96+M97</f>
        <v>970</v>
      </c>
      <c r="N98" s="60" t="n">
        <f aca="false">N96+N97</f>
        <v>2050</v>
      </c>
      <c r="O98" s="60" t="n">
        <f aca="false">O96+O97</f>
        <v>4380</v>
      </c>
      <c r="P98" s="60" t="n">
        <f aca="false">P96+P97</f>
        <v>9235</v>
      </c>
      <c r="Q98" s="60" t="n">
        <f aca="false">Q96+Q97</f>
        <v>715</v>
      </c>
      <c r="R98" s="60" t="n">
        <f aca="false">R96+R97</f>
        <v>1565</v>
      </c>
      <c r="S98" s="60" t="n">
        <f aca="false">S96+S97</f>
        <v>1305</v>
      </c>
      <c r="T98" s="60" t="n">
        <f aca="false">SUM(M98:S98)</f>
        <v>20220</v>
      </c>
    </row>
    <row r="101" customFormat="false" ht="15" hidden="false" customHeight="false" outlineLevel="0" collapsed="false">
      <c r="A101" s="67" t="s">
        <v>252</v>
      </c>
      <c r="B101" s="68"/>
      <c r="C101" s="68"/>
      <c r="D101" s="68"/>
      <c r="E101" s="68"/>
      <c r="F101" s="68"/>
      <c r="G101" s="68"/>
      <c r="H101" s="68"/>
      <c r="I101" s="68"/>
      <c r="J101" s="68"/>
      <c r="K101" s="68"/>
      <c r="L101" s="68"/>
      <c r="M101" s="69" t="s">
        <v>87</v>
      </c>
      <c r="N101" s="69" t="s">
        <v>89</v>
      </c>
      <c r="O101" s="69" t="s">
        <v>91</v>
      </c>
      <c r="P101" s="69" t="s">
        <v>93</v>
      </c>
      <c r="Q101" s="69" t="s">
        <v>95</v>
      </c>
      <c r="R101" s="69" t="s">
        <v>97</v>
      </c>
      <c r="S101" s="69" t="s">
        <v>99</v>
      </c>
      <c r="T101" s="69" t="s">
        <v>23</v>
      </c>
      <c r="U101" s="68"/>
    </row>
    <row r="102" customFormat="false" ht="15" hidden="false" customHeight="false" outlineLevel="0" collapsed="false">
      <c r="B102" s="46" t="s">
        <v>236</v>
      </c>
      <c r="M102" s="57" t="n">
        <f aca="false">SUMPRODUCT(M$5:M$29,K$5:K$29,E$5:E$29)</f>
        <v>133361.7075</v>
      </c>
      <c r="N102" s="57" t="n">
        <f aca="false">SUMPRODUCT(N$5:N$29,K$5:K$29,E$5:E$29)</f>
        <v>436779.2625</v>
      </c>
      <c r="O102" s="57" t="n">
        <f aca="false">SUMPRODUCT(O$5:O$29,K$5:K$29,E$5:E$29)</f>
        <v>942471.0225</v>
      </c>
      <c r="P102" s="57" t="n">
        <f aca="false">SUMPRODUCT(P$5:P$29,K$5:K$29,E$5:E$29)</f>
        <v>2006652.5325</v>
      </c>
      <c r="Q102" s="57" t="n">
        <f aca="false">SUMPRODUCT(Q$5:Q$29,K$5:K$29,E$5:E$29)</f>
        <v>148043.7</v>
      </c>
      <c r="R102" s="57" t="n">
        <f aca="false">SUMPRODUCT(R$5:R$29,K$5:K$29,E$5:E$29)</f>
        <v>334653.2175</v>
      </c>
      <c r="S102" s="57" t="n">
        <f aca="false">SUMPRODUCT(S$5:S$29,K$5:K$29,E$5:E$29)</f>
        <v>281937.18</v>
      </c>
      <c r="T102" s="60" t="n">
        <f aca="false">SUM(M102:S102)</f>
        <v>4283898.6225</v>
      </c>
    </row>
    <row r="103" customFormat="false" ht="15" hidden="false" customHeight="false" outlineLevel="0" collapsed="false">
      <c r="B103" s="46" t="s">
        <v>237</v>
      </c>
      <c r="M103" s="57" t="n">
        <f aca="false">SUMPRODUCT(M$5:M$29,K$5:K$29,F$5:F$29)</f>
        <v>68851.4925</v>
      </c>
      <c r="N103" s="57" t="n">
        <f aca="false">SUMPRODUCT(N$5:N$29,K$5:K$29,F$5:F$29)</f>
        <v>116890.725</v>
      </c>
      <c r="O103" s="57" t="n">
        <f aca="false">SUMPRODUCT(O$5:O$29,K$5:K$29,F$5:F$29)</f>
        <v>153461.7525</v>
      </c>
      <c r="P103" s="57" t="n">
        <f aca="false">SUMPRODUCT(P$5:P$29,K$5:K$29,F$5:F$29)</f>
        <v>335828.4825</v>
      </c>
      <c r="Q103" s="57" t="n">
        <f aca="false">SUMPRODUCT(Q$5:Q$29,K$5:K$29,F$5:F$29)</f>
        <v>80715.8625</v>
      </c>
      <c r="R103" s="57" t="n">
        <f aca="false">SUMPRODUCT(R$5:R$29,K$5:K$29,F$5:F$29)</f>
        <v>101606.0325</v>
      </c>
      <c r="S103" s="57" t="n">
        <f aca="false">SUMPRODUCT(S$5:S$29,K$5:K$29,F$5:F$29)</f>
        <v>47453.07</v>
      </c>
      <c r="T103" s="60" t="n">
        <f aca="false">SUM(M103:S103)</f>
        <v>904807.4175</v>
      </c>
    </row>
    <row r="104" customFormat="false" ht="15" hidden="false" customHeight="false" outlineLevel="0" collapsed="false">
      <c r="B104" s="46" t="s">
        <v>238</v>
      </c>
      <c r="M104" s="57" t="n">
        <f aca="false">SUMPRODUCT(M$5:M$29,K$5:K$29,G$5:G$29)</f>
        <v>78836.1</v>
      </c>
      <c r="N104" s="57" t="n">
        <f aca="false">SUMPRODUCT(N$5:N$29,K$5:K$29,G$5:G$29)</f>
        <v>0</v>
      </c>
      <c r="O104" s="57" t="n">
        <f aca="false">SUMPRODUCT(O$5:O$29,K$5:K$29,G$5:G$29)</f>
        <v>0</v>
      </c>
      <c r="P104" s="57" t="n">
        <f aca="false">SUMPRODUCT(P$5:P$29,K$5:K$29,G$5:G$29)</f>
        <v>0</v>
      </c>
      <c r="Q104" s="57" t="n">
        <f aca="false">SUMPRODUCT(Q$5:Q$29,K$5:K$29,G$5:G$29)</f>
        <v>0</v>
      </c>
      <c r="R104" s="57" t="n">
        <f aca="false">SUMPRODUCT(R$5:R$29,K$5:K$29,G$5:G$29)</f>
        <v>0</v>
      </c>
      <c r="S104" s="57" t="n">
        <f aca="false">SUMPRODUCT(S$5:S$29,K$5:K$29,G$5:G$29)</f>
        <v>0</v>
      </c>
      <c r="T104" s="60" t="n">
        <f aca="false">SUM(M104:S104)</f>
        <v>78836.1</v>
      </c>
    </row>
    <row r="105" customFormat="false" ht="15" hidden="false" customHeight="false" outlineLevel="0" collapsed="false">
      <c r="B105" s="46" t="s">
        <v>239</v>
      </c>
      <c r="M105" s="57" t="n">
        <f aca="false">IF(Assumptions!$C$10="Yes",(IF(M$3="S1",Assumptions!$C$12*$K$6,0)-M$6*$K$6)*$E$6,0)</f>
        <v>0</v>
      </c>
      <c r="N105" s="57" t="n">
        <f aca="false">IF(Assumptions!$C$10="Yes",(IF(N$3="S1",Assumptions!$C$12*$K$6,0)-N$6*$K$6)*$E$6,0)</f>
        <v>0</v>
      </c>
      <c r="O105" s="57" t="n">
        <f aca="false">IF(Assumptions!$C$10="Yes",(IF(O$3="S1",Assumptions!$C$12*$K$6,0)-O$6*$K$6)*$E$6,0)</f>
        <v>0</v>
      </c>
      <c r="P105" s="57" t="n">
        <f aca="false">IF(Assumptions!$C$10="Yes",(IF(P$3="S1",Assumptions!$C$12*$K$6,0)-P$6*$K$6)*$E$6,0)</f>
        <v>0</v>
      </c>
      <c r="Q105" s="57" t="n">
        <f aca="false">IF(Assumptions!$C$10="Yes",(IF(Q$3="S1",Assumptions!$C$12*$K$6,0)-Q$6*$K$6)*$E$6,0)</f>
        <v>0</v>
      </c>
      <c r="R105" s="57" t="n">
        <f aca="false">IF(Assumptions!$C$10="Yes",(IF(R$3="S1",Assumptions!$C$12*$K$6,0)-R$6*$K$6)*$E$6,0)</f>
        <v>0</v>
      </c>
      <c r="S105" s="57" t="n">
        <f aca="false">IF(Assumptions!$C$10="Yes",(IF(S$3="S1",Assumptions!$C$12*$K$6,0)-S$6*$K$6)*$E$6,0)</f>
        <v>0</v>
      </c>
      <c r="T105" s="60" t="n">
        <f aca="false">SUM(M105:S105)</f>
        <v>0</v>
      </c>
    </row>
    <row r="106" customFormat="false" ht="15" hidden="false" customHeight="false" outlineLevel="0" collapsed="false">
      <c r="B106" s="46" t="s">
        <v>240</v>
      </c>
      <c r="M106" s="57" t="n">
        <f aca="false">IF(Assumptions!$C$10="Yes",(IF(M$3="S1",Assumptions!$C$12*$K$6,0)-M$6*$K$6)*$F$6,0)</f>
        <v>0</v>
      </c>
      <c r="N106" s="57" t="n">
        <f aca="false">IF(Assumptions!$C$10="Yes",(IF(N$3="S1",Assumptions!$C$12*$K$6,0)-N$6*$K$6)*$F$6,0)</f>
        <v>0</v>
      </c>
      <c r="O106" s="57" t="n">
        <f aca="false">IF(Assumptions!$C$10="Yes",(IF(O$3="S1",Assumptions!$C$12*$K$6,0)-O$6*$K$6)*$F$6,0)</f>
        <v>0</v>
      </c>
      <c r="P106" s="57" t="n">
        <f aca="false">IF(Assumptions!$C$10="Yes",(IF(P$3="S1",Assumptions!$C$12*$K$6,0)-P$6*$K$6)*$F$6,0)</f>
        <v>0</v>
      </c>
      <c r="Q106" s="57" t="n">
        <f aca="false">IF(Assumptions!$C$10="Yes",(IF(Q$3="S1",Assumptions!$C$12*$K$6,0)-Q$6*$K$6)*$F$6,0)</f>
        <v>0</v>
      </c>
      <c r="R106" s="57" t="n">
        <f aca="false">IF(Assumptions!$C$10="Yes",(IF(R$3="S1",Assumptions!$C$12*$K$6,0)-R$6*$K$6)*$F$6,0)</f>
        <v>0</v>
      </c>
      <c r="S106" s="57" t="n">
        <f aca="false">IF(Assumptions!$C$10="Yes",(IF(S$3="S1",Assumptions!$C$12*$K$6,0)-S$6*$K$6)*$F$6,0)</f>
        <v>0</v>
      </c>
      <c r="T106" s="60" t="n">
        <f aca="false">SUM(M106:S106)</f>
        <v>0</v>
      </c>
    </row>
    <row r="107" customFormat="false" ht="15" hidden="false" customHeight="false" outlineLevel="0" collapsed="false">
      <c r="B107" s="46" t="s">
        <v>241</v>
      </c>
      <c r="M107" s="57" t="n">
        <f aca="false">IF(M$3="S2",(M102+M105)*(Assumptions!$C$6-Assumptions!$C$5)/(1+Assumptions!$C$5),0)</f>
        <v>0</v>
      </c>
      <c r="N107" s="57" t="n">
        <f aca="false">IF(N$3="S2",(N102+N105)*(Assumptions!$C$6-Assumptions!$C$5)/(1+Assumptions!$C$5),0)</f>
        <v>-113239.068055556</v>
      </c>
      <c r="O107" s="57" t="n">
        <f aca="false">IF(O$3="S2",(O102+O105)*(Assumptions!$C$6-Assumptions!$C$5)/(1+Assumptions!$C$5),0)</f>
        <v>0</v>
      </c>
      <c r="P107" s="57" t="n">
        <f aca="false">IF(P$3="S2",(P102+P105)*(Assumptions!$C$6-Assumptions!$C$5)/(1+Assumptions!$C$5),0)</f>
        <v>0</v>
      </c>
      <c r="Q107" s="57" t="n">
        <f aca="false">IF(Q$3="S2",(Q102+Q105)*(Assumptions!$C$6-Assumptions!$C$5)/(1+Assumptions!$C$5),0)</f>
        <v>0</v>
      </c>
      <c r="R107" s="57" t="n">
        <f aca="false">IF(R$3="S2",(R102+R105)*(Assumptions!$C$6-Assumptions!$C$5)/(1+Assumptions!$C$5),0)</f>
        <v>0</v>
      </c>
      <c r="S107" s="57" t="n">
        <f aca="false">IF(S$3="S2",(S102+S105)*(Assumptions!$C$6-Assumptions!$C$5)/(1+Assumptions!$C$5),0)</f>
        <v>0</v>
      </c>
      <c r="T107" s="60" t="n">
        <f aca="false">SUM(M107:S107)</f>
        <v>-113239.068055556</v>
      </c>
    </row>
    <row r="108" customFormat="false" ht="15" hidden="false" customHeight="false" outlineLevel="0" collapsed="false">
      <c r="B108" s="46" t="s">
        <v>242</v>
      </c>
      <c r="M108" s="57" t="n">
        <f aca="false">-Assumptions!$C$7*(M102+M105+M107)</f>
        <v>-5334.4683</v>
      </c>
      <c r="N108" s="57" t="n">
        <f aca="false">-Assumptions!$C$7*(N102+N105+N107)</f>
        <v>-12941.6077777778</v>
      </c>
      <c r="O108" s="57" t="n">
        <f aca="false">-Assumptions!$C$7*(O102+O105+O107)</f>
        <v>-37698.8409</v>
      </c>
      <c r="P108" s="57" t="n">
        <f aca="false">-Assumptions!$C$7*(P102+P105+P107)</f>
        <v>-80266.1013</v>
      </c>
      <c r="Q108" s="57" t="n">
        <f aca="false">-Assumptions!$C$7*(Q102+Q105+Q107)</f>
        <v>-5921.748</v>
      </c>
      <c r="R108" s="57" t="n">
        <f aca="false">-Assumptions!$C$7*(R102+R105+R107)</f>
        <v>-13386.1287</v>
      </c>
      <c r="S108" s="57" t="n">
        <f aca="false">-Assumptions!$C$7*(S102+S105+S107)</f>
        <v>-11277.4872</v>
      </c>
      <c r="T108" s="60" t="n">
        <f aca="false">SUM(M108:S108)</f>
        <v>-166826.382177778</v>
      </c>
    </row>
    <row r="109" customFormat="false" ht="15" hidden="false" customHeight="false" outlineLevel="0" collapsed="false">
      <c r="B109" s="54" t="s">
        <v>243</v>
      </c>
      <c r="M109" s="60" t="n">
        <f aca="false">M102+M105+M107+M108</f>
        <v>128027.2392</v>
      </c>
      <c r="N109" s="60" t="n">
        <f aca="false">N102+N105+N107+N108</f>
        <v>310598.586666667</v>
      </c>
      <c r="O109" s="60" t="n">
        <f aca="false">O102+O105+O107+O108</f>
        <v>904772.1816</v>
      </c>
      <c r="P109" s="60" t="n">
        <f aca="false">P102+P105+P107+P108</f>
        <v>1926386.4312</v>
      </c>
      <c r="Q109" s="60" t="n">
        <f aca="false">Q102+Q105+Q107+Q108</f>
        <v>142121.952</v>
      </c>
      <c r="R109" s="60" t="n">
        <f aca="false">R102+R105+R107+R108</f>
        <v>321267.0888</v>
      </c>
      <c r="S109" s="60" t="n">
        <f aca="false">S102+S105+S107+S108</f>
        <v>270659.6928</v>
      </c>
      <c r="T109" s="60" t="n">
        <f aca="false">SUM(M109:S109)</f>
        <v>4003833.17226667</v>
      </c>
    </row>
    <row r="110" customFormat="false" ht="15" hidden="false" customHeight="false" outlineLevel="0" collapsed="false">
      <c r="B110" s="54" t="s">
        <v>244</v>
      </c>
      <c r="M110" s="60" t="n">
        <f aca="false">M103+M106</f>
        <v>68851.4925</v>
      </c>
      <c r="N110" s="60" t="n">
        <f aca="false">N103+N106</f>
        <v>116890.725</v>
      </c>
      <c r="O110" s="60" t="n">
        <f aca="false">O103+O106</f>
        <v>153461.7525</v>
      </c>
      <c r="P110" s="60" t="n">
        <f aca="false">P103+P106</f>
        <v>335828.4825</v>
      </c>
      <c r="Q110" s="60" t="n">
        <f aca="false">Q103+Q106</f>
        <v>80715.8625</v>
      </c>
      <c r="R110" s="60" t="n">
        <f aca="false">R103+R106</f>
        <v>101606.0325</v>
      </c>
      <c r="S110" s="60" t="n">
        <f aca="false">S103+S106</f>
        <v>47453.07</v>
      </c>
      <c r="T110" s="60" t="n">
        <f aca="false">SUM(M110:S110)</f>
        <v>904807.4175</v>
      </c>
    </row>
    <row r="111" customFormat="false" ht="15" hidden="false" customHeight="false" outlineLevel="0" collapsed="false">
      <c r="B111" s="54" t="s">
        <v>245</v>
      </c>
      <c r="M111" s="60" t="n">
        <f aca="false">M104</f>
        <v>78836.1</v>
      </c>
      <c r="N111" s="60" t="n">
        <f aca="false">N104</f>
        <v>0</v>
      </c>
      <c r="O111" s="60" t="n">
        <f aca="false">O104</f>
        <v>0</v>
      </c>
      <c r="P111" s="60" t="n">
        <f aca="false">P104</f>
        <v>0</v>
      </c>
      <c r="Q111" s="60" t="n">
        <f aca="false">Q104</f>
        <v>0</v>
      </c>
      <c r="R111" s="60" t="n">
        <f aca="false">R104</f>
        <v>0</v>
      </c>
      <c r="S111" s="60" t="n">
        <f aca="false">S104</f>
        <v>0</v>
      </c>
      <c r="T111" s="60" t="n">
        <f aca="false">SUM(M111:S111)</f>
        <v>78836.1</v>
      </c>
    </row>
    <row r="112" customFormat="false" ht="15" hidden="false" customHeight="false" outlineLevel="0" collapsed="false">
      <c r="B112" s="54" t="s">
        <v>67</v>
      </c>
      <c r="M112" s="60" t="n">
        <f aca="false">M109+M110+M111</f>
        <v>275714.8317</v>
      </c>
      <c r="N112" s="60" t="n">
        <f aca="false">N109+N110+N111</f>
        <v>427489.311666667</v>
      </c>
      <c r="O112" s="60" t="n">
        <f aca="false">O109+O110+O111</f>
        <v>1058233.9341</v>
      </c>
      <c r="P112" s="60" t="n">
        <f aca="false">P109+P110+P111</f>
        <v>2262214.9137</v>
      </c>
      <c r="Q112" s="60" t="n">
        <f aca="false">Q109+Q110+Q111</f>
        <v>222837.8145</v>
      </c>
      <c r="R112" s="60" t="n">
        <f aca="false">R109+R110+R111</f>
        <v>422873.1213</v>
      </c>
      <c r="S112" s="60" t="n">
        <f aca="false">S109+S110+S111</f>
        <v>318112.7628</v>
      </c>
      <c r="T112" s="60" t="n">
        <f aca="false">SUM(M112:S112)</f>
        <v>4987476.68976667</v>
      </c>
    </row>
    <row r="113" customFormat="false" ht="15" hidden="false" customHeight="false" outlineLevel="0" collapsed="false">
      <c r="B113" s="46" t="s">
        <v>246</v>
      </c>
      <c r="M113" s="57" t="n">
        <f aca="false">SUMPRODUCT(T$5:T$29*(K$5:K$29&gt;0))</f>
        <v>1435</v>
      </c>
      <c r="N113" s="57" t="n">
        <f aca="false">SUMPRODUCT(U$5:U$29*(K$5:K$29&gt;0))</f>
        <v>2735</v>
      </c>
      <c r="O113" s="57" t="n">
        <f aca="false">SUMPRODUCT(V$5:V$29*(K$5:K$29&gt;0))</f>
        <v>5205</v>
      </c>
      <c r="P113" s="57" t="n">
        <f aca="false">SUMPRODUCT(W$5:W$29*(K$5:K$29&gt;0))</f>
        <v>11122</v>
      </c>
      <c r="Q113" s="57" t="n">
        <f aca="false">SUMPRODUCT(X$5:X$29*(K$5:K$29&gt;0))</f>
        <v>1275</v>
      </c>
      <c r="R113" s="57" t="n">
        <f aca="false">SUMPRODUCT(Y$5:Y$29*(K$5:K$29&gt;0))</f>
        <v>2205</v>
      </c>
      <c r="S113" s="57" t="n">
        <f aca="false">SUMPRODUCT(Z$5:Z$29*(K$5:K$29&gt;0))</f>
        <v>1550</v>
      </c>
      <c r="T113" s="60" t="n">
        <f aca="false">SUM(M113:S113)</f>
        <v>25527</v>
      </c>
    </row>
    <row r="114" customFormat="false" ht="15" hidden="false" customHeight="false" outlineLevel="0" collapsed="false">
      <c r="B114" s="46" t="s">
        <v>247</v>
      </c>
      <c r="M114" s="57" t="n">
        <f aca="false">IF(Assumptions!$C$10="Yes",IF(M$3="S1",Assumptions!$C$11*($K$6&gt;0),0)-T$6*($K$6&gt;0),0)</f>
        <v>0</v>
      </c>
      <c r="N114" s="57" t="n">
        <f aca="false">IF(Assumptions!$C$10="Yes",IF(N$3="S1",Assumptions!$C$11*($K$6&gt;0),0)-U$6*($K$6&gt;0),0)</f>
        <v>0</v>
      </c>
      <c r="O114" s="57" t="n">
        <f aca="false">IF(Assumptions!$C$10="Yes",IF(O$3="S1",Assumptions!$C$11*($K$6&gt;0),0)-V$6*($K$6&gt;0),0)</f>
        <v>0</v>
      </c>
      <c r="P114" s="57" t="n">
        <f aca="false">IF(Assumptions!$C$10="Yes",IF(P$3="S1",Assumptions!$C$11*($K$6&gt;0),0)-W$6*($K$6&gt;0),0)</f>
        <v>0</v>
      </c>
      <c r="Q114" s="57" t="n">
        <f aca="false">IF(Assumptions!$C$10="Yes",IF(Q$3="S1",Assumptions!$C$11*($K$6&gt;0),0)-X$6*($K$6&gt;0),0)</f>
        <v>0</v>
      </c>
      <c r="R114" s="57" t="n">
        <f aca="false">IF(Assumptions!$C$10="Yes",IF(R$3="S1",Assumptions!$C$11*($K$6&gt;0),0)-Y$6*($K$6&gt;0),0)</f>
        <v>0</v>
      </c>
      <c r="S114" s="57" t="n">
        <f aca="false">IF(Assumptions!$C$10="Yes",IF(S$3="S1",Assumptions!$C$11*($K$6&gt;0),0)-Z$6*($K$6&gt;0),0)</f>
        <v>0</v>
      </c>
      <c r="T114" s="60" t="n">
        <f aca="false">SUM(M114:S114)</f>
        <v>0</v>
      </c>
    </row>
    <row r="115" customFormat="false" ht="15" hidden="false" customHeight="false" outlineLevel="0" collapsed="false">
      <c r="B115" s="54" t="s">
        <v>248</v>
      </c>
      <c r="M115" s="60" t="n">
        <f aca="false">M113+M114</f>
        <v>1435</v>
      </c>
      <c r="N115" s="60" t="n">
        <f aca="false">N113+N114</f>
        <v>2735</v>
      </c>
      <c r="O115" s="60" t="n">
        <f aca="false">O113+O114</f>
        <v>5205</v>
      </c>
      <c r="P115" s="60" t="n">
        <f aca="false">P113+P114</f>
        <v>11122</v>
      </c>
      <c r="Q115" s="60" t="n">
        <f aca="false">Q113+Q114</f>
        <v>1275</v>
      </c>
      <c r="R115" s="60" t="n">
        <f aca="false">R113+R114</f>
        <v>2205</v>
      </c>
      <c r="S115" s="60" t="n">
        <f aca="false">S113+S114</f>
        <v>1550</v>
      </c>
      <c r="T115" s="60" t="n">
        <f aca="false">SUM(M115:S115)</f>
        <v>25527</v>
      </c>
    </row>
    <row r="118" customFormat="false" ht="15" hidden="false" customHeight="false" outlineLevel="0" collapsed="false">
      <c r="A118" s="70" t="s">
        <v>253</v>
      </c>
      <c r="B118" s="71"/>
      <c r="C118" s="71"/>
      <c r="D118" s="71"/>
      <c r="E118" s="71"/>
      <c r="F118" s="71"/>
      <c r="G118" s="71"/>
      <c r="H118" s="71"/>
      <c r="I118" s="71"/>
      <c r="J118" s="71"/>
      <c r="K118" s="71"/>
      <c r="L118" s="71"/>
      <c r="M118" s="72" t="s">
        <v>87</v>
      </c>
      <c r="N118" s="72" t="s">
        <v>89</v>
      </c>
      <c r="O118" s="72" t="s">
        <v>91</v>
      </c>
      <c r="P118" s="72" t="s">
        <v>93</v>
      </c>
      <c r="Q118" s="72" t="s">
        <v>95</v>
      </c>
      <c r="R118" s="72" t="s">
        <v>97</v>
      </c>
      <c r="S118" s="72" t="s">
        <v>99</v>
      </c>
      <c r="T118" s="72" t="s">
        <v>23</v>
      </c>
      <c r="U118" s="71"/>
    </row>
    <row r="119" customFormat="false" ht="15" hidden="false" customHeight="false" outlineLevel="0" collapsed="false">
      <c r="B119" s="46" t="s">
        <v>236</v>
      </c>
      <c r="M119" s="57" t="n">
        <f aca="false">SUMPRODUCT(M$5:M$29,L$5:L$29,E$5:E$29)</f>
        <v>133361.7075</v>
      </c>
      <c r="N119" s="57" t="n">
        <f aca="false">SUMPRODUCT(N$5:N$29,L$5:L$29,E$5:E$29)</f>
        <v>436779.2625</v>
      </c>
      <c r="O119" s="57" t="n">
        <f aca="false">SUMPRODUCT(O$5:O$29,L$5:L$29,E$5:E$29)</f>
        <v>942471.0225</v>
      </c>
      <c r="P119" s="57" t="n">
        <f aca="false">SUMPRODUCT(P$5:P$29,L$5:L$29,E$5:E$29)</f>
        <v>2006652.5325</v>
      </c>
      <c r="Q119" s="57" t="n">
        <f aca="false">SUMPRODUCT(Q$5:Q$29,L$5:L$29,E$5:E$29)</f>
        <v>148043.7</v>
      </c>
      <c r="R119" s="57" t="n">
        <f aca="false">SUMPRODUCT(R$5:R$29,L$5:L$29,E$5:E$29)</f>
        <v>334653.2175</v>
      </c>
      <c r="S119" s="57" t="n">
        <f aca="false">SUMPRODUCT(S$5:S$29,L$5:L$29,E$5:E$29)</f>
        <v>281937.18</v>
      </c>
      <c r="T119" s="60" t="n">
        <f aca="false">SUM(M119:S119)</f>
        <v>4283898.6225</v>
      </c>
    </row>
    <row r="120" customFormat="false" ht="15" hidden="false" customHeight="false" outlineLevel="0" collapsed="false">
      <c r="B120" s="46" t="s">
        <v>237</v>
      </c>
      <c r="M120" s="57" t="n">
        <f aca="false">SUMPRODUCT(M$5:M$29,L$5:L$29,F$5:F$29)</f>
        <v>122885.0175</v>
      </c>
      <c r="N120" s="57" t="n">
        <f aca="false">SUMPRODUCT(N$5:N$29,L$5:L$29,F$5:F$29)</f>
        <v>196324.0125</v>
      </c>
      <c r="O120" s="57" t="n">
        <f aca="false">SUMPRODUCT(O$5:O$29,L$5:L$29,F$5:F$29)</f>
        <v>248364.9525</v>
      </c>
      <c r="P120" s="57" t="n">
        <f aca="false">SUMPRODUCT(P$5:P$29,L$5:L$29,F$5:F$29)</f>
        <v>552380.7975</v>
      </c>
      <c r="Q120" s="57" t="n">
        <f aca="false">SUMPRODUCT(Q$5:Q$29,L$5:L$29,F$5:F$29)</f>
        <v>144982.425</v>
      </c>
      <c r="R120" s="57" t="n">
        <f aca="false">SUMPRODUCT(R$5:R$29,L$5:L$29,F$5:F$29)</f>
        <v>175050.9075</v>
      </c>
      <c r="S120" s="57" t="n">
        <f aca="false">SUMPRODUCT(S$5:S$29,L$5:L$29,F$5:F$29)</f>
        <v>75677.07</v>
      </c>
      <c r="T120" s="60" t="n">
        <f aca="false">SUM(M120:S120)</f>
        <v>1515665.1825</v>
      </c>
    </row>
    <row r="121" customFormat="false" ht="15" hidden="false" customHeight="false" outlineLevel="0" collapsed="false">
      <c r="B121" s="46" t="s">
        <v>238</v>
      </c>
      <c r="M121" s="57" t="n">
        <f aca="false">SUMPRODUCT(M$5:M$29,L$5:L$29,G$5:G$29)</f>
        <v>78836.1</v>
      </c>
      <c r="N121" s="57" t="n">
        <f aca="false">SUMPRODUCT(N$5:N$29,L$5:L$29,G$5:G$29)</f>
        <v>0</v>
      </c>
      <c r="O121" s="57" t="n">
        <f aca="false">SUMPRODUCT(O$5:O$29,L$5:L$29,G$5:G$29)</f>
        <v>0</v>
      </c>
      <c r="P121" s="57" t="n">
        <f aca="false">SUMPRODUCT(P$5:P$29,L$5:L$29,G$5:G$29)</f>
        <v>0</v>
      </c>
      <c r="Q121" s="57" t="n">
        <f aca="false">SUMPRODUCT(Q$5:Q$29,L$5:L$29,G$5:G$29)</f>
        <v>0</v>
      </c>
      <c r="R121" s="57" t="n">
        <f aca="false">SUMPRODUCT(R$5:R$29,L$5:L$29,G$5:G$29)</f>
        <v>0</v>
      </c>
      <c r="S121" s="57" t="n">
        <f aca="false">SUMPRODUCT(S$5:S$29,L$5:L$29,G$5:G$29)</f>
        <v>0</v>
      </c>
      <c r="T121" s="60" t="n">
        <f aca="false">SUM(M121:S121)</f>
        <v>78836.1</v>
      </c>
    </row>
    <row r="122" customFormat="false" ht="15" hidden="false" customHeight="false" outlineLevel="0" collapsed="false">
      <c r="B122" s="46" t="s">
        <v>239</v>
      </c>
      <c r="M122" s="57" t="n">
        <f aca="false">IF(Assumptions!$C$10="Yes",(IF(M$3="S1",Assumptions!$C$12*$L$6,0)-M$6*$L$6)*$E$6,0)</f>
        <v>0</v>
      </c>
      <c r="N122" s="57" t="n">
        <f aca="false">IF(Assumptions!$C$10="Yes",(IF(N$3="S1",Assumptions!$C$12*$L$6,0)-N$6*$L$6)*$E$6,0)</f>
        <v>0</v>
      </c>
      <c r="O122" s="57" t="n">
        <f aca="false">IF(Assumptions!$C$10="Yes",(IF(O$3="S1",Assumptions!$C$12*$L$6,0)-O$6*$L$6)*$E$6,0)</f>
        <v>0</v>
      </c>
      <c r="P122" s="57" t="n">
        <f aca="false">IF(Assumptions!$C$10="Yes",(IF(P$3="S1",Assumptions!$C$12*$L$6,0)-P$6*$L$6)*$E$6,0)</f>
        <v>0</v>
      </c>
      <c r="Q122" s="57" t="n">
        <f aca="false">IF(Assumptions!$C$10="Yes",(IF(Q$3="S1",Assumptions!$C$12*$L$6,0)-Q$6*$L$6)*$E$6,0)</f>
        <v>0</v>
      </c>
      <c r="R122" s="57" t="n">
        <f aca="false">IF(Assumptions!$C$10="Yes",(IF(R$3="S1",Assumptions!$C$12*$L$6,0)-R$6*$L$6)*$E$6,0)</f>
        <v>0</v>
      </c>
      <c r="S122" s="57" t="n">
        <f aca="false">IF(Assumptions!$C$10="Yes",(IF(S$3="S1",Assumptions!$C$12*$L$6,0)-S$6*$L$6)*$E$6,0)</f>
        <v>0</v>
      </c>
      <c r="T122" s="60" t="n">
        <f aca="false">SUM(M122:S122)</f>
        <v>0</v>
      </c>
    </row>
    <row r="123" customFormat="false" ht="15" hidden="false" customHeight="false" outlineLevel="0" collapsed="false">
      <c r="B123" s="46" t="s">
        <v>240</v>
      </c>
      <c r="M123" s="57" t="n">
        <f aca="false">IF(Assumptions!$C$10="Yes",(IF(M$3="S1",Assumptions!$C$12*$L$6,0)-M$6*$L$6)*$F$6,0)</f>
        <v>0</v>
      </c>
      <c r="N123" s="57" t="n">
        <f aca="false">IF(Assumptions!$C$10="Yes",(IF(N$3="S1",Assumptions!$C$12*$L$6,0)-N$6*$L$6)*$F$6,0)</f>
        <v>0</v>
      </c>
      <c r="O123" s="57" t="n">
        <f aca="false">IF(Assumptions!$C$10="Yes",(IF(O$3="S1",Assumptions!$C$12*$L$6,0)-O$6*$L$6)*$F$6,0)</f>
        <v>0</v>
      </c>
      <c r="P123" s="57" t="n">
        <f aca="false">IF(Assumptions!$C$10="Yes",(IF(P$3="S1",Assumptions!$C$12*$L$6,0)-P$6*$L$6)*$F$6,0)</f>
        <v>0</v>
      </c>
      <c r="Q123" s="57" t="n">
        <f aca="false">IF(Assumptions!$C$10="Yes",(IF(Q$3="S1",Assumptions!$C$12*$L$6,0)-Q$6*$L$6)*$F$6,0)</f>
        <v>0</v>
      </c>
      <c r="R123" s="57" t="n">
        <f aca="false">IF(Assumptions!$C$10="Yes",(IF(R$3="S1",Assumptions!$C$12*$L$6,0)-R$6*$L$6)*$F$6,0)</f>
        <v>0</v>
      </c>
      <c r="S123" s="57" t="n">
        <f aca="false">IF(Assumptions!$C$10="Yes",(IF(S$3="S1",Assumptions!$C$12*$L$6,0)-S$6*$L$6)*$F$6,0)</f>
        <v>0</v>
      </c>
      <c r="T123" s="60" t="n">
        <f aca="false">SUM(M123:S123)</f>
        <v>0</v>
      </c>
    </row>
    <row r="124" customFormat="false" ht="15" hidden="false" customHeight="false" outlineLevel="0" collapsed="false">
      <c r="B124" s="46" t="s">
        <v>241</v>
      </c>
      <c r="M124" s="57" t="n">
        <f aca="false">IF(M$3="S2",(M119+M122)*(Assumptions!$C$6-Assumptions!$C$5)/(1+Assumptions!$C$5),0)</f>
        <v>0</v>
      </c>
      <c r="N124" s="57" t="n">
        <f aca="false">IF(N$3="S2",(N119+N122)*(Assumptions!$C$6-Assumptions!$C$5)/(1+Assumptions!$C$5),0)</f>
        <v>-113239.068055556</v>
      </c>
      <c r="O124" s="57" t="n">
        <f aca="false">IF(O$3="S2",(O119+O122)*(Assumptions!$C$6-Assumptions!$C$5)/(1+Assumptions!$C$5),0)</f>
        <v>0</v>
      </c>
      <c r="P124" s="57" t="n">
        <f aca="false">IF(P$3="S2",(P119+P122)*(Assumptions!$C$6-Assumptions!$C$5)/(1+Assumptions!$C$5),0)</f>
        <v>0</v>
      </c>
      <c r="Q124" s="57" t="n">
        <f aca="false">IF(Q$3="S2",(Q119+Q122)*(Assumptions!$C$6-Assumptions!$C$5)/(1+Assumptions!$C$5),0)</f>
        <v>0</v>
      </c>
      <c r="R124" s="57" t="n">
        <f aca="false">IF(R$3="S2",(R119+R122)*(Assumptions!$C$6-Assumptions!$C$5)/(1+Assumptions!$C$5),0)</f>
        <v>0</v>
      </c>
      <c r="S124" s="57" t="n">
        <f aca="false">IF(S$3="S2",(S119+S122)*(Assumptions!$C$6-Assumptions!$C$5)/(1+Assumptions!$C$5),0)</f>
        <v>0</v>
      </c>
      <c r="T124" s="60" t="n">
        <f aca="false">SUM(M124:S124)</f>
        <v>-113239.068055556</v>
      </c>
    </row>
    <row r="125" customFormat="false" ht="15" hidden="false" customHeight="false" outlineLevel="0" collapsed="false">
      <c r="B125" s="46" t="s">
        <v>242</v>
      </c>
      <c r="M125" s="57" t="n">
        <f aca="false">-Assumptions!$C$7*(M119+M122+M124)</f>
        <v>-5334.4683</v>
      </c>
      <c r="N125" s="57" t="n">
        <f aca="false">-Assumptions!$C$7*(N119+N122+N124)</f>
        <v>-12941.6077777778</v>
      </c>
      <c r="O125" s="57" t="n">
        <f aca="false">-Assumptions!$C$7*(O119+O122+O124)</f>
        <v>-37698.8409</v>
      </c>
      <c r="P125" s="57" t="n">
        <f aca="false">-Assumptions!$C$7*(P119+P122+P124)</f>
        <v>-80266.1013</v>
      </c>
      <c r="Q125" s="57" t="n">
        <f aca="false">-Assumptions!$C$7*(Q119+Q122+Q124)</f>
        <v>-5921.748</v>
      </c>
      <c r="R125" s="57" t="n">
        <f aca="false">-Assumptions!$C$7*(R119+R122+R124)</f>
        <v>-13386.1287</v>
      </c>
      <c r="S125" s="57" t="n">
        <f aca="false">-Assumptions!$C$7*(S119+S122+S124)</f>
        <v>-11277.4872</v>
      </c>
      <c r="T125" s="60" t="n">
        <f aca="false">SUM(M125:S125)</f>
        <v>-166826.382177778</v>
      </c>
    </row>
    <row r="126" customFormat="false" ht="15" hidden="false" customHeight="false" outlineLevel="0" collapsed="false">
      <c r="B126" s="54" t="s">
        <v>243</v>
      </c>
      <c r="M126" s="60" t="n">
        <f aca="false">M119+M122+M124+M125</f>
        <v>128027.2392</v>
      </c>
      <c r="N126" s="60" t="n">
        <f aca="false">N119+N122+N124+N125</f>
        <v>310598.586666667</v>
      </c>
      <c r="O126" s="60" t="n">
        <f aca="false">O119+O122+O124+O125</f>
        <v>904772.1816</v>
      </c>
      <c r="P126" s="60" t="n">
        <f aca="false">P119+P122+P124+P125</f>
        <v>1926386.4312</v>
      </c>
      <c r="Q126" s="60" t="n">
        <f aca="false">Q119+Q122+Q124+Q125</f>
        <v>142121.952</v>
      </c>
      <c r="R126" s="60" t="n">
        <f aca="false">R119+R122+R124+R125</f>
        <v>321267.0888</v>
      </c>
      <c r="S126" s="60" t="n">
        <f aca="false">S119+S122+S124+S125</f>
        <v>270659.6928</v>
      </c>
      <c r="T126" s="60" t="n">
        <f aca="false">SUM(M126:S126)</f>
        <v>4003833.17226667</v>
      </c>
    </row>
    <row r="127" customFormat="false" ht="15" hidden="false" customHeight="false" outlineLevel="0" collapsed="false">
      <c r="B127" s="54" t="s">
        <v>244</v>
      </c>
      <c r="M127" s="60" t="n">
        <f aca="false">M120+M123</f>
        <v>122885.0175</v>
      </c>
      <c r="N127" s="60" t="n">
        <f aca="false">N120+N123</f>
        <v>196324.0125</v>
      </c>
      <c r="O127" s="60" t="n">
        <f aca="false">O120+O123</f>
        <v>248364.9525</v>
      </c>
      <c r="P127" s="60" t="n">
        <f aca="false">P120+P123</f>
        <v>552380.7975</v>
      </c>
      <c r="Q127" s="60" t="n">
        <f aca="false">Q120+Q123</f>
        <v>144982.425</v>
      </c>
      <c r="R127" s="60" t="n">
        <f aca="false">R120+R123</f>
        <v>175050.9075</v>
      </c>
      <c r="S127" s="60" t="n">
        <f aca="false">S120+S123</f>
        <v>75677.07</v>
      </c>
      <c r="T127" s="60" t="n">
        <f aca="false">SUM(M127:S127)</f>
        <v>1515665.1825</v>
      </c>
    </row>
    <row r="128" customFormat="false" ht="15" hidden="false" customHeight="false" outlineLevel="0" collapsed="false">
      <c r="B128" s="54" t="s">
        <v>245</v>
      </c>
      <c r="M128" s="60" t="n">
        <f aca="false">M121</f>
        <v>78836.1</v>
      </c>
      <c r="N128" s="60" t="n">
        <f aca="false">N121</f>
        <v>0</v>
      </c>
      <c r="O128" s="60" t="n">
        <f aca="false">O121</f>
        <v>0</v>
      </c>
      <c r="P128" s="60" t="n">
        <f aca="false">P121</f>
        <v>0</v>
      </c>
      <c r="Q128" s="60" t="n">
        <f aca="false">Q121</f>
        <v>0</v>
      </c>
      <c r="R128" s="60" t="n">
        <f aca="false">R121</f>
        <v>0</v>
      </c>
      <c r="S128" s="60" t="n">
        <f aca="false">S121</f>
        <v>0</v>
      </c>
      <c r="T128" s="60" t="n">
        <f aca="false">SUM(M128:S128)</f>
        <v>78836.1</v>
      </c>
    </row>
    <row r="129" customFormat="false" ht="15" hidden="false" customHeight="false" outlineLevel="0" collapsed="false">
      <c r="B129" s="54" t="s">
        <v>67</v>
      </c>
      <c r="M129" s="60" t="n">
        <f aca="false">M126+M127+M128</f>
        <v>329748.3567</v>
      </c>
      <c r="N129" s="60" t="n">
        <f aca="false">N126+N127+N128</f>
        <v>506922.599166667</v>
      </c>
      <c r="O129" s="60" t="n">
        <f aca="false">O126+O127+O128</f>
        <v>1153137.1341</v>
      </c>
      <c r="P129" s="60" t="n">
        <f aca="false">P126+P127+P128</f>
        <v>2478767.2287</v>
      </c>
      <c r="Q129" s="60" t="n">
        <f aca="false">Q126+Q127+Q128</f>
        <v>287104.377</v>
      </c>
      <c r="R129" s="60" t="n">
        <f aca="false">R126+R127+R128</f>
        <v>496317.9963</v>
      </c>
      <c r="S129" s="60" t="n">
        <f aca="false">S126+S127+S128</f>
        <v>346336.7628</v>
      </c>
      <c r="T129" s="60" t="n">
        <f aca="false">SUM(M129:S129)</f>
        <v>5598334.45476667</v>
      </c>
    </row>
    <row r="130" customFormat="false" ht="15" hidden="false" customHeight="false" outlineLevel="0" collapsed="false">
      <c r="B130" s="46" t="s">
        <v>246</v>
      </c>
      <c r="M130" s="57" t="n">
        <f aca="false">SUMPRODUCT(T$5:T$29*(L$5:L$29&gt;0))</f>
        <v>1435</v>
      </c>
      <c r="N130" s="57" t="n">
        <f aca="false">SUMPRODUCT(U$5:U$29*(L$5:L$29&gt;0))</f>
        <v>2735</v>
      </c>
      <c r="O130" s="57" t="n">
        <f aca="false">SUMPRODUCT(V$5:V$29*(L$5:L$29&gt;0))</f>
        <v>5205</v>
      </c>
      <c r="P130" s="57" t="n">
        <f aca="false">SUMPRODUCT(W$5:W$29*(L$5:L$29&gt;0))</f>
        <v>11122</v>
      </c>
      <c r="Q130" s="57" t="n">
        <f aca="false">SUMPRODUCT(X$5:X$29*(L$5:L$29&gt;0))</f>
        <v>1275</v>
      </c>
      <c r="R130" s="57" t="n">
        <f aca="false">SUMPRODUCT(Y$5:Y$29*(L$5:L$29&gt;0))</f>
        <v>2205</v>
      </c>
      <c r="S130" s="57" t="n">
        <f aca="false">SUMPRODUCT(Z$5:Z$29*(L$5:L$29&gt;0))</f>
        <v>1550</v>
      </c>
      <c r="T130" s="60" t="n">
        <f aca="false">SUM(M130:S130)</f>
        <v>25527</v>
      </c>
    </row>
    <row r="131" customFormat="false" ht="15" hidden="false" customHeight="false" outlineLevel="0" collapsed="false">
      <c r="B131" s="46" t="s">
        <v>247</v>
      </c>
      <c r="M131" s="57" t="n">
        <f aca="false">IF(Assumptions!$C$10="Yes",IF(M$3="S1",Assumptions!$C$11*($L$6&gt;0),0)-T$6*($L$6&gt;0),0)</f>
        <v>0</v>
      </c>
      <c r="N131" s="57" t="n">
        <f aca="false">IF(Assumptions!$C$10="Yes",IF(N$3="S1",Assumptions!$C$11*($L$6&gt;0),0)-U$6*($L$6&gt;0),0)</f>
        <v>0</v>
      </c>
      <c r="O131" s="57" t="n">
        <f aca="false">IF(Assumptions!$C$10="Yes",IF(O$3="S1",Assumptions!$C$11*($L$6&gt;0),0)-V$6*($L$6&gt;0),0)</f>
        <v>0</v>
      </c>
      <c r="P131" s="57" t="n">
        <f aca="false">IF(Assumptions!$C$10="Yes",IF(P$3="S1",Assumptions!$C$11*($L$6&gt;0),0)-W$6*($L$6&gt;0),0)</f>
        <v>0</v>
      </c>
      <c r="Q131" s="57" t="n">
        <f aca="false">IF(Assumptions!$C$10="Yes",IF(Q$3="S1",Assumptions!$C$11*($L$6&gt;0),0)-X$6*($L$6&gt;0),0)</f>
        <v>0</v>
      </c>
      <c r="R131" s="57" t="n">
        <f aca="false">IF(Assumptions!$C$10="Yes",IF(R$3="S1",Assumptions!$C$11*($L$6&gt;0),0)-Y$6*($L$6&gt;0),0)</f>
        <v>0</v>
      </c>
      <c r="S131" s="57" t="n">
        <f aca="false">IF(Assumptions!$C$10="Yes",IF(S$3="S1",Assumptions!$C$11*($L$6&gt;0),0)-Z$6*($L$6&gt;0),0)</f>
        <v>0</v>
      </c>
      <c r="T131" s="60" t="n">
        <f aca="false">SUM(M131:S131)</f>
        <v>0</v>
      </c>
    </row>
    <row r="132" customFormat="false" ht="15" hidden="false" customHeight="false" outlineLevel="0" collapsed="false">
      <c r="B132" s="54" t="s">
        <v>248</v>
      </c>
      <c r="M132" s="60" t="n">
        <f aca="false">M130+M131</f>
        <v>1435</v>
      </c>
      <c r="N132" s="60" t="n">
        <f aca="false">N130+N131</f>
        <v>2735</v>
      </c>
      <c r="O132" s="60" t="n">
        <f aca="false">O130+O131</f>
        <v>5205</v>
      </c>
      <c r="P132" s="60" t="n">
        <f aca="false">P130+P131</f>
        <v>11122</v>
      </c>
      <c r="Q132" s="60" t="n">
        <f aca="false">Q130+Q131</f>
        <v>1275</v>
      </c>
      <c r="R132" s="60" t="n">
        <f aca="false">R130+R131</f>
        <v>2205</v>
      </c>
      <c r="S132" s="60" t="n">
        <f aca="false">S130+S131</f>
        <v>1550</v>
      </c>
      <c r="T132" s="60" t="n">
        <f aca="false">SUM(M132:S132)</f>
        <v>25527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J29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11"/>
    <col collapsed="false" customWidth="true" hidden="false" outlineLevel="0" max="4" min="4" style="0" width="3"/>
    <col collapsed="false" customWidth="true" hidden="false" outlineLevel="0" max="5" min="5" style="0" width="11"/>
    <col collapsed="false" customWidth="true" hidden="false" outlineLevel="0" max="6" min="6" style="0" width="7"/>
    <col collapsed="false" customWidth="true" hidden="false" outlineLevel="0" max="8" min="7" style="0" width="8"/>
    <col collapsed="false" customWidth="true" hidden="false" outlineLevel="0" max="9" min="9" style="0" width="11"/>
    <col collapsed="false" customWidth="true" hidden="false" outlineLevel="0" max="10" min="10" style="0" width="13"/>
  </cols>
  <sheetData>
    <row r="1" customFormat="false" ht="15" hidden="false" customHeight="false" outlineLevel="0" collapsed="false">
      <c r="A1" s="4" t="s">
        <v>254</v>
      </c>
    </row>
    <row r="2" customFormat="false" ht="15" hidden="false" customHeight="false" outlineLevel="0" collapsed="false">
      <c r="A2" s="18" t="s">
        <v>255</v>
      </c>
    </row>
    <row r="4" customFormat="false" ht="18" hidden="false" customHeight="true" outlineLevel="0" collapsed="false">
      <c r="A4" s="28" t="s">
        <v>256</v>
      </c>
      <c r="B4" s="28" t="s">
        <v>84</v>
      </c>
      <c r="C4" s="28" t="s">
        <v>257</v>
      </c>
      <c r="E4" s="28" t="s">
        <v>155</v>
      </c>
      <c r="F4" s="28" t="s">
        <v>83</v>
      </c>
      <c r="G4" s="28" t="s">
        <v>256</v>
      </c>
      <c r="H4" s="28" t="s">
        <v>25</v>
      </c>
      <c r="I4" s="28" t="s">
        <v>257</v>
      </c>
      <c r="J4" s="28" t="s">
        <v>258</v>
      </c>
    </row>
    <row r="5" customFormat="false" ht="15" hidden="false" customHeight="false" outlineLevel="0" collapsed="false">
      <c r="A5" s="46" t="s">
        <v>259</v>
      </c>
      <c r="B5" s="46" t="s">
        <v>260</v>
      </c>
      <c r="C5" s="73" t="n">
        <v>256.515</v>
      </c>
      <c r="E5" s="46" t="s">
        <v>184</v>
      </c>
      <c r="F5" s="46" t="s">
        <v>89</v>
      </c>
      <c r="G5" s="46" t="s">
        <v>259</v>
      </c>
      <c r="H5" s="74" t="n">
        <v>20</v>
      </c>
      <c r="I5" s="75" t="n">
        <f aca="false">INDEX($C$5:$C$26,MATCH(G5,$A$5:$A$26,0))</f>
        <v>256.515</v>
      </c>
      <c r="J5" s="57" t="n">
        <f aca="false">H5*I5</f>
        <v>5130.3</v>
      </c>
    </row>
    <row r="6" customFormat="false" ht="15" hidden="false" customHeight="false" outlineLevel="0" collapsed="false">
      <c r="A6" s="46" t="s">
        <v>261</v>
      </c>
      <c r="B6" s="46" t="s">
        <v>262</v>
      </c>
      <c r="C6" s="73" t="n">
        <v>236.67</v>
      </c>
      <c r="E6" s="46" t="s">
        <v>184</v>
      </c>
      <c r="F6" s="46" t="s">
        <v>89</v>
      </c>
      <c r="G6" s="46" t="s">
        <v>261</v>
      </c>
      <c r="H6" s="74" t="n">
        <v>40</v>
      </c>
      <c r="I6" s="75" t="n">
        <f aca="false">INDEX($C$5:$C$26,MATCH(G6,$A$5:$A$26,0))</f>
        <v>236.67</v>
      </c>
      <c r="J6" s="57" t="n">
        <f aca="false">H6*I6</f>
        <v>9466.8</v>
      </c>
    </row>
    <row r="7" customFormat="false" ht="15" hidden="false" customHeight="false" outlineLevel="0" collapsed="false">
      <c r="A7" s="46" t="s">
        <v>263</v>
      </c>
      <c r="B7" s="46" t="s">
        <v>264</v>
      </c>
      <c r="C7" s="73" t="n">
        <v>224.175</v>
      </c>
      <c r="E7" s="46" t="s">
        <v>184</v>
      </c>
      <c r="F7" s="46" t="s">
        <v>89</v>
      </c>
      <c r="G7" s="46" t="s">
        <v>263</v>
      </c>
      <c r="H7" s="74" t="n">
        <v>40</v>
      </c>
      <c r="I7" s="75" t="n">
        <f aca="false">INDEX($C$5:$C$26,MATCH(G7,$A$5:$A$26,0))</f>
        <v>224.175</v>
      </c>
      <c r="J7" s="57" t="n">
        <f aca="false">H7*I7</f>
        <v>8967</v>
      </c>
    </row>
    <row r="8" customFormat="false" ht="15" hidden="false" customHeight="false" outlineLevel="0" collapsed="false">
      <c r="A8" s="46" t="s">
        <v>265</v>
      </c>
      <c r="B8" s="46" t="s">
        <v>266</v>
      </c>
      <c r="C8" s="73" t="n">
        <v>206.535</v>
      </c>
      <c r="E8" s="46" t="s">
        <v>184</v>
      </c>
      <c r="F8" s="46" t="s">
        <v>89</v>
      </c>
      <c r="G8" s="46" t="s">
        <v>267</v>
      </c>
      <c r="H8" s="74" t="n">
        <v>55</v>
      </c>
      <c r="I8" s="75" t="n">
        <f aca="false">INDEX($C$5:$C$26,MATCH(G8,$A$5:$A$26,0))</f>
        <v>145.53</v>
      </c>
      <c r="J8" s="57" t="n">
        <f aca="false">H8*I8</f>
        <v>8004.15</v>
      </c>
    </row>
    <row r="9" customFormat="false" ht="15" hidden="false" customHeight="false" outlineLevel="0" collapsed="false">
      <c r="A9" s="46" t="s">
        <v>268</v>
      </c>
      <c r="B9" s="46" t="s">
        <v>269</v>
      </c>
      <c r="C9" s="73" t="n">
        <v>182.28</v>
      </c>
      <c r="E9" s="46" t="s">
        <v>184</v>
      </c>
      <c r="F9" s="46" t="s">
        <v>89</v>
      </c>
      <c r="G9" s="46" t="s">
        <v>270</v>
      </c>
      <c r="H9" s="74" t="n">
        <v>30</v>
      </c>
      <c r="I9" s="75" t="n">
        <f aca="false">INDEX($C$5:$C$26,MATCH(G9,$A$5:$A$26,0))</f>
        <v>121.275</v>
      </c>
      <c r="J9" s="57" t="n">
        <f aca="false">H9*I9</f>
        <v>3638.25</v>
      </c>
    </row>
    <row r="10" customFormat="false" ht="15" hidden="false" customHeight="false" outlineLevel="0" collapsed="false">
      <c r="A10" s="46" t="s">
        <v>267</v>
      </c>
      <c r="B10" s="46" t="s">
        <v>271</v>
      </c>
      <c r="C10" s="73" t="n">
        <v>145.53</v>
      </c>
      <c r="E10" s="46" t="s">
        <v>184</v>
      </c>
      <c r="F10" s="46" t="s">
        <v>91</v>
      </c>
      <c r="G10" s="46" t="s">
        <v>259</v>
      </c>
      <c r="H10" s="74" t="n">
        <v>30</v>
      </c>
      <c r="I10" s="75" t="n">
        <f aca="false">INDEX($C$5:$C$26,MATCH(G10,$A$5:$A$26,0))</f>
        <v>256.515</v>
      </c>
      <c r="J10" s="57" t="n">
        <f aca="false">H10*I10</f>
        <v>7695.45</v>
      </c>
    </row>
    <row r="11" customFormat="false" ht="15" hidden="false" customHeight="false" outlineLevel="0" collapsed="false">
      <c r="A11" s="46" t="s">
        <v>270</v>
      </c>
      <c r="B11" s="46" t="s">
        <v>272</v>
      </c>
      <c r="C11" s="73" t="n">
        <v>121.275</v>
      </c>
      <c r="E11" s="46" t="s">
        <v>184</v>
      </c>
      <c r="F11" s="46" t="s">
        <v>91</v>
      </c>
      <c r="G11" s="46" t="s">
        <v>261</v>
      </c>
      <c r="H11" s="74" t="n">
        <v>55</v>
      </c>
      <c r="I11" s="75" t="n">
        <f aca="false">INDEX($C$5:$C$26,MATCH(G11,$A$5:$A$26,0))</f>
        <v>236.67</v>
      </c>
      <c r="J11" s="57" t="n">
        <f aca="false">H11*I11</f>
        <v>13016.85</v>
      </c>
    </row>
    <row r="12" customFormat="false" ht="15" hidden="false" customHeight="false" outlineLevel="0" collapsed="false">
      <c r="A12" s="46" t="s">
        <v>273</v>
      </c>
      <c r="B12" s="46" t="s">
        <v>274</v>
      </c>
      <c r="C12" s="73" t="n">
        <v>360.15</v>
      </c>
      <c r="E12" s="46" t="s">
        <v>184</v>
      </c>
      <c r="F12" s="46" t="s">
        <v>91</v>
      </c>
      <c r="G12" s="46" t="s">
        <v>263</v>
      </c>
      <c r="H12" s="74" t="n">
        <v>75</v>
      </c>
      <c r="I12" s="75" t="n">
        <f aca="false">INDEX($C$5:$C$26,MATCH(G12,$A$5:$A$26,0))</f>
        <v>224.175</v>
      </c>
      <c r="J12" s="57" t="n">
        <f aca="false">H12*I12</f>
        <v>16813.125</v>
      </c>
    </row>
    <row r="13" customFormat="false" ht="15" hidden="false" customHeight="false" outlineLevel="0" collapsed="false">
      <c r="A13" s="46" t="s">
        <v>275</v>
      </c>
      <c r="B13" s="46" t="s">
        <v>276</v>
      </c>
      <c r="C13" s="73" t="n">
        <v>349.125</v>
      </c>
      <c r="E13" s="46" t="s">
        <v>184</v>
      </c>
      <c r="F13" s="46" t="s">
        <v>91</v>
      </c>
      <c r="G13" s="46" t="s">
        <v>267</v>
      </c>
      <c r="H13" s="74" t="n">
        <v>105</v>
      </c>
      <c r="I13" s="75" t="n">
        <f aca="false">INDEX($C$5:$C$26,MATCH(G13,$A$5:$A$26,0))</f>
        <v>145.53</v>
      </c>
      <c r="J13" s="57" t="n">
        <f aca="false">H13*I13</f>
        <v>15280.65</v>
      </c>
    </row>
    <row r="14" customFormat="false" ht="15" hidden="false" customHeight="false" outlineLevel="0" collapsed="false">
      <c r="A14" s="46" t="s">
        <v>277</v>
      </c>
      <c r="B14" s="46" t="s">
        <v>278</v>
      </c>
      <c r="C14" s="73" t="n">
        <v>323.4</v>
      </c>
      <c r="E14" s="46" t="s">
        <v>184</v>
      </c>
      <c r="F14" s="46" t="s">
        <v>91</v>
      </c>
      <c r="G14" s="46" t="s">
        <v>270</v>
      </c>
      <c r="H14" s="74" t="n">
        <v>50</v>
      </c>
      <c r="I14" s="75" t="n">
        <f aca="false">INDEX($C$5:$C$26,MATCH(G14,$A$5:$A$26,0))</f>
        <v>121.275</v>
      </c>
      <c r="J14" s="57" t="n">
        <f aca="false">H14*I14</f>
        <v>6063.75</v>
      </c>
    </row>
    <row r="15" customFormat="false" ht="15" hidden="false" customHeight="false" outlineLevel="0" collapsed="false">
      <c r="A15" s="46" t="s">
        <v>279</v>
      </c>
      <c r="B15" s="46" t="s">
        <v>280</v>
      </c>
      <c r="C15" s="73" t="n">
        <v>360.15</v>
      </c>
      <c r="E15" s="46" t="s">
        <v>184</v>
      </c>
      <c r="F15" s="46" t="s">
        <v>93</v>
      </c>
      <c r="G15" s="46" t="s">
        <v>259</v>
      </c>
      <c r="H15" s="74" t="n">
        <v>35</v>
      </c>
      <c r="I15" s="75" t="n">
        <f aca="false">INDEX($C$5:$C$26,MATCH(G15,$A$5:$A$26,0))</f>
        <v>256.515</v>
      </c>
      <c r="J15" s="57" t="n">
        <f aca="false">H15*I15</f>
        <v>8978.025</v>
      </c>
    </row>
    <row r="16" customFormat="false" ht="15" hidden="false" customHeight="false" outlineLevel="0" collapsed="false">
      <c r="A16" s="46" t="s">
        <v>281</v>
      </c>
      <c r="B16" s="46" t="s">
        <v>282</v>
      </c>
      <c r="C16" s="73" t="n">
        <v>293.265</v>
      </c>
      <c r="E16" s="46" t="s">
        <v>184</v>
      </c>
      <c r="F16" s="46" t="s">
        <v>93</v>
      </c>
      <c r="G16" s="46" t="s">
        <v>261</v>
      </c>
      <c r="H16" s="74" t="n">
        <v>80</v>
      </c>
      <c r="I16" s="75" t="n">
        <f aca="false">INDEX($C$5:$C$26,MATCH(G16,$A$5:$A$26,0))</f>
        <v>236.67</v>
      </c>
      <c r="J16" s="57" t="n">
        <f aca="false">H16*I16</f>
        <v>18933.6</v>
      </c>
    </row>
    <row r="17" customFormat="false" ht="15" hidden="false" customHeight="false" outlineLevel="0" collapsed="false">
      <c r="A17" s="46" t="s">
        <v>283</v>
      </c>
      <c r="B17" s="46" t="s">
        <v>284</v>
      </c>
      <c r="C17" s="73" t="n">
        <v>260.19</v>
      </c>
      <c r="E17" s="46" t="s">
        <v>184</v>
      </c>
      <c r="F17" s="46" t="s">
        <v>93</v>
      </c>
      <c r="G17" s="46" t="s">
        <v>263</v>
      </c>
      <c r="H17" s="74" t="n">
        <v>95</v>
      </c>
      <c r="I17" s="75" t="n">
        <f aca="false">INDEX($C$5:$C$26,MATCH(G17,$A$5:$A$26,0))</f>
        <v>224.175</v>
      </c>
      <c r="J17" s="57" t="n">
        <f aca="false">H17*I17</f>
        <v>21296.625</v>
      </c>
    </row>
    <row r="18" customFormat="false" ht="15" hidden="false" customHeight="false" outlineLevel="0" collapsed="false">
      <c r="A18" s="46" t="s">
        <v>285</v>
      </c>
      <c r="B18" s="46" t="s">
        <v>286</v>
      </c>
      <c r="C18" s="73" t="n">
        <v>169.785</v>
      </c>
      <c r="E18" s="46" t="s">
        <v>184</v>
      </c>
      <c r="F18" s="46" t="s">
        <v>93</v>
      </c>
      <c r="G18" s="46" t="s">
        <v>268</v>
      </c>
      <c r="H18" s="74" t="n">
        <v>115</v>
      </c>
      <c r="I18" s="75" t="n">
        <f aca="false">INDEX($C$5:$C$26,MATCH(G18,$A$5:$A$26,0))</f>
        <v>182.28</v>
      </c>
      <c r="J18" s="57" t="n">
        <f aca="false">H18*I18</f>
        <v>20962.2</v>
      </c>
    </row>
    <row r="19" customFormat="false" ht="15" hidden="false" customHeight="false" outlineLevel="0" collapsed="false">
      <c r="A19" s="46" t="s">
        <v>287</v>
      </c>
      <c r="B19" s="46" t="s">
        <v>288</v>
      </c>
      <c r="C19" s="73" t="n">
        <v>151.41</v>
      </c>
      <c r="E19" s="46" t="s">
        <v>184</v>
      </c>
      <c r="F19" s="46" t="s">
        <v>93</v>
      </c>
      <c r="G19" s="46" t="s">
        <v>267</v>
      </c>
      <c r="H19" s="74" t="n">
        <v>105</v>
      </c>
      <c r="I19" s="75" t="n">
        <f aca="false">INDEX($C$5:$C$26,MATCH(G19,$A$5:$A$26,0))</f>
        <v>145.53</v>
      </c>
      <c r="J19" s="57" t="n">
        <f aca="false">H19*I19</f>
        <v>15280.65</v>
      </c>
    </row>
    <row r="20" customFormat="false" ht="15" hidden="false" customHeight="false" outlineLevel="0" collapsed="false">
      <c r="A20" s="46" t="s">
        <v>289</v>
      </c>
      <c r="B20" s="46" t="s">
        <v>290</v>
      </c>
      <c r="C20" s="73" t="n">
        <v>121.275</v>
      </c>
      <c r="E20" s="46" t="s">
        <v>87</v>
      </c>
      <c r="F20" s="46" t="s">
        <v>87</v>
      </c>
      <c r="G20" s="46" t="s">
        <v>259</v>
      </c>
      <c r="H20" s="74" t="n">
        <v>210</v>
      </c>
      <c r="I20" s="75" t="n">
        <f aca="false">INDEX($C$5:$C$26,MATCH(G20,$A$5:$A$26,0))</f>
        <v>256.515</v>
      </c>
      <c r="J20" s="57" t="n">
        <f aca="false">H20*I20</f>
        <v>53868.15</v>
      </c>
    </row>
    <row r="21" customFormat="false" ht="15" hidden="false" customHeight="false" outlineLevel="0" collapsed="false">
      <c r="A21" s="46" t="s">
        <v>291</v>
      </c>
      <c r="B21" s="46" t="s">
        <v>292</v>
      </c>
      <c r="C21" s="73" t="n">
        <v>221.235</v>
      </c>
      <c r="E21" s="46" t="s">
        <v>87</v>
      </c>
      <c r="F21" s="46" t="s">
        <v>87</v>
      </c>
      <c r="G21" s="46" t="s">
        <v>261</v>
      </c>
      <c r="H21" s="74" t="n">
        <v>180</v>
      </c>
      <c r="I21" s="75" t="n">
        <f aca="false">INDEX($C$5:$C$26,MATCH(G21,$A$5:$A$26,0))</f>
        <v>236.67</v>
      </c>
      <c r="J21" s="57" t="n">
        <f aca="false">H21*I21</f>
        <v>42600.6</v>
      </c>
    </row>
    <row r="22" customFormat="false" ht="15" hidden="false" customHeight="false" outlineLevel="0" collapsed="false">
      <c r="A22" s="46" t="s">
        <v>293</v>
      </c>
      <c r="B22" s="46" t="s">
        <v>294</v>
      </c>
      <c r="C22" s="73" t="n">
        <v>199.92</v>
      </c>
      <c r="E22" s="46" t="s">
        <v>87</v>
      </c>
      <c r="F22" s="46" t="s">
        <v>87</v>
      </c>
      <c r="G22" s="46" t="s">
        <v>263</v>
      </c>
      <c r="H22" s="74" t="n">
        <v>180</v>
      </c>
      <c r="I22" s="75" t="n">
        <f aca="false">INDEX($C$5:$C$26,MATCH(G22,$A$5:$A$26,0))</f>
        <v>224.175</v>
      </c>
      <c r="J22" s="57" t="n">
        <f aca="false">H22*I22</f>
        <v>40351.5</v>
      </c>
    </row>
    <row r="23" customFormat="false" ht="15" hidden="false" customHeight="false" outlineLevel="0" collapsed="false">
      <c r="A23" s="46" t="s">
        <v>295</v>
      </c>
      <c r="B23" s="46" t="s">
        <v>296</v>
      </c>
      <c r="C23" s="73" t="n">
        <v>102.9</v>
      </c>
      <c r="E23" s="46" t="s">
        <v>87</v>
      </c>
      <c r="F23" s="46" t="s">
        <v>87</v>
      </c>
      <c r="G23" s="46" t="s">
        <v>265</v>
      </c>
      <c r="H23" s="74" t="n">
        <v>55</v>
      </c>
      <c r="I23" s="75" t="n">
        <f aca="false">INDEX($C$5:$C$26,MATCH(G23,$A$5:$A$26,0))</f>
        <v>206.535</v>
      </c>
      <c r="J23" s="57" t="n">
        <f aca="false">H23*I23</f>
        <v>11359.425</v>
      </c>
    </row>
    <row r="24" customFormat="false" ht="15" hidden="false" customHeight="false" outlineLevel="0" collapsed="false">
      <c r="A24" s="46" t="s">
        <v>297</v>
      </c>
      <c r="B24" s="46" t="s">
        <v>298</v>
      </c>
      <c r="C24" s="73" t="n">
        <v>105.84</v>
      </c>
      <c r="E24" s="46" t="s">
        <v>87</v>
      </c>
      <c r="F24" s="46" t="s">
        <v>89</v>
      </c>
      <c r="G24" s="46" t="s">
        <v>259</v>
      </c>
      <c r="H24" s="74" t="n">
        <v>395</v>
      </c>
      <c r="I24" s="75" t="n">
        <f aca="false">INDEX($C$5:$C$26,MATCH(G24,$A$5:$A$26,0))</f>
        <v>256.515</v>
      </c>
      <c r="J24" s="57" t="n">
        <f aca="false">H24*I24</f>
        <v>101323.425</v>
      </c>
    </row>
    <row r="25" customFormat="false" ht="15" hidden="false" customHeight="false" outlineLevel="0" collapsed="false">
      <c r="A25" s="46" t="s">
        <v>299</v>
      </c>
      <c r="B25" s="46" t="s">
        <v>300</v>
      </c>
      <c r="C25" s="73" t="n">
        <v>85.26</v>
      </c>
      <c r="E25" s="46" t="s">
        <v>87</v>
      </c>
      <c r="F25" s="46" t="s">
        <v>89</v>
      </c>
      <c r="G25" s="46" t="s">
        <v>261</v>
      </c>
      <c r="H25" s="74" t="n">
        <v>380</v>
      </c>
      <c r="I25" s="75" t="n">
        <f aca="false">INDEX($C$5:$C$26,MATCH(G25,$A$5:$A$26,0))</f>
        <v>236.67</v>
      </c>
      <c r="J25" s="57" t="n">
        <f aca="false">H25*I25</f>
        <v>89934.6</v>
      </c>
    </row>
    <row r="26" customFormat="false" ht="15" hidden="false" customHeight="false" outlineLevel="0" collapsed="false">
      <c r="A26" s="46" t="s">
        <v>301</v>
      </c>
      <c r="B26" s="46" t="s">
        <v>302</v>
      </c>
      <c r="C26" s="73" t="n">
        <v>66.885</v>
      </c>
      <c r="E26" s="46" t="s">
        <v>87</v>
      </c>
      <c r="F26" s="46" t="s">
        <v>89</v>
      </c>
      <c r="G26" s="46" t="s">
        <v>263</v>
      </c>
      <c r="H26" s="74" t="n">
        <v>295</v>
      </c>
      <c r="I26" s="75" t="n">
        <f aca="false">INDEX($C$5:$C$26,MATCH(G26,$A$5:$A$26,0))</f>
        <v>224.175</v>
      </c>
      <c r="J26" s="57" t="n">
        <f aca="false">H26*I26</f>
        <v>66131.625</v>
      </c>
    </row>
    <row r="27" customFormat="false" ht="15" hidden="false" customHeight="false" outlineLevel="0" collapsed="false">
      <c r="E27" s="46" t="s">
        <v>87</v>
      </c>
      <c r="F27" s="46" t="s">
        <v>89</v>
      </c>
      <c r="G27" s="46" t="s">
        <v>265</v>
      </c>
      <c r="H27" s="74" t="n">
        <v>130</v>
      </c>
      <c r="I27" s="75" t="n">
        <f aca="false">INDEX($C$5:$C$26,MATCH(G27,$A$5:$A$26,0))</f>
        <v>206.535</v>
      </c>
      <c r="J27" s="57" t="n">
        <f aca="false">H27*I27</f>
        <v>26849.55</v>
      </c>
    </row>
    <row r="28" customFormat="false" ht="15" hidden="false" customHeight="false" outlineLevel="0" collapsed="false">
      <c r="E28" s="46" t="s">
        <v>189</v>
      </c>
      <c r="F28" s="46" t="s">
        <v>91</v>
      </c>
      <c r="G28" s="46" t="s">
        <v>259</v>
      </c>
      <c r="H28" s="74" t="n">
        <v>275</v>
      </c>
      <c r="I28" s="75" t="n">
        <f aca="false">INDEX($C$5:$C$26,MATCH(G28,$A$5:$A$26,0))</f>
        <v>256.515</v>
      </c>
      <c r="J28" s="57" t="n">
        <f aca="false">H28*I28</f>
        <v>70541.625</v>
      </c>
    </row>
    <row r="29" customFormat="false" ht="15" hidden="false" customHeight="false" outlineLevel="0" collapsed="false">
      <c r="E29" s="46" t="s">
        <v>189</v>
      </c>
      <c r="F29" s="46" t="s">
        <v>91</v>
      </c>
      <c r="G29" s="46" t="s">
        <v>261</v>
      </c>
      <c r="H29" s="74" t="n">
        <v>505</v>
      </c>
      <c r="I29" s="75" t="n">
        <f aca="false">INDEX($C$5:$C$26,MATCH(G29,$A$5:$A$26,0))</f>
        <v>236.67</v>
      </c>
      <c r="J29" s="57" t="n">
        <f aca="false">H29*I29</f>
        <v>119518.35</v>
      </c>
    </row>
    <row r="30" customFormat="false" ht="15" hidden="false" customHeight="false" outlineLevel="0" collapsed="false">
      <c r="E30" s="46" t="s">
        <v>189</v>
      </c>
      <c r="F30" s="46" t="s">
        <v>91</v>
      </c>
      <c r="G30" s="46" t="s">
        <v>263</v>
      </c>
      <c r="H30" s="74" t="n">
        <v>475</v>
      </c>
      <c r="I30" s="75" t="n">
        <f aca="false">INDEX($C$5:$C$26,MATCH(G30,$A$5:$A$26,0))</f>
        <v>224.175</v>
      </c>
      <c r="J30" s="57" t="n">
        <f aca="false">H30*I30</f>
        <v>106483.125</v>
      </c>
    </row>
    <row r="31" customFormat="false" ht="15" hidden="false" customHeight="false" outlineLevel="0" collapsed="false">
      <c r="E31" s="46" t="s">
        <v>189</v>
      </c>
      <c r="F31" s="46" t="s">
        <v>91</v>
      </c>
      <c r="G31" s="46" t="s">
        <v>265</v>
      </c>
      <c r="H31" s="74" t="n">
        <v>130</v>
      </c>
      <c r="I31" s="75" t="n">
        <f aca="false">INDEX($C$5:$C$26,MATCH(G31,$A$5:$A$26,0))</f>
        <v>206.535</v>
      </c>
      <c r="J31" s="57" t="n">
        <f aca="false">H31*I31</f>
        <v>26849.55</v>
      </c>
    </row>
    <row r="32" customFormat="false" ht="15" hidden="false" customHeight="false" outlineLevel="0" collapsed="false">
      <c r="E32" s="46" t="s">
        <v>189</v>
      </c>
      <c r="F32" s="46" t="s">
        <v>93</v>
      </c>
      <c r="G32" s="46" t="s">
        <v>259</v>
      </c>
      <c r="H32" s="74" t="n">
        <v>210</v>
      </c>
      <c r="I32" s="75" t="n">
        <f aca="false">INDEX($C$5:$C$26,MATCH(G32,$A$5:$A$26,0))</f>
        <v>256.515</v>
      </c>
      <c r="J32" s="57" t="n">
        <f aca="false">H32*I32</f>
        <v>53868.15</v>
      </c>
    </row>
    <row r="33" customFormat="false" ht="15" hidden="false" customHeight="false" outlineLevel="0" collapsed="false">
      <c r="E33" s="46" t="s">
        <v>189</v>
      </c>
      <c r="F33" s="46" t="s">
        <v>93</v>
      </c>
      <c r="G33" s="46" t="s">
        <v>261</v>
      </c>
      <c r="H33" s="74" t="n">
        <v>370</v>
      </c>
      <c r="I33" s="75" t="n">
        <f aca="false">INDEX($C$5:$C$26,MATCH(G33,$A$5:$A$26,0))</f>
        <v>236.67</v>
      </c>
      <c r="J33" s="57" t="n">
        <f aca="false">H33*I33</f>
        <v>87567.9</v>
      </c>
    </row>
    <row r="34" customFormat="false" ht="15" hidden="false" customHeight="false" outlineLevel="0" collapsed="false">
      <c r="E34" s="46" t="s">
        <v>189</v>
      </c>
      <c r="F34" s="46" t="s">
        <v>93</v>
      </c>
      <c r="G34" s="46" t="s">
        <v>263</v>
      </c>
      <c r="H34" s="74" t="n">
        <v>360</v>
      </c>
      <c r="I34" s="75" t="n">
        <f aca="false">INDEX($C$5:$C$26,MATCH(G34,$A$5:$A$26,0))</f>
        <v>224.175</v>
      </c>
      <c r="J34" s="57" t="n">
        <f aca="false">H34*I34</f>
        <v>80703</v>
      </c>
    </row>
    <row r="35" customFormat="false" ht="15" hidden="false" customHeight="false" outlineLevel="0" collapsed="false">
      <c r="E35" s="46" t="s">
        <v>189</v>
      </c>
      <c r="F35" s="46" t="s">
        <v>93</v>
      </c>
      <c r="G35" s="46" t="s">
        <v>265</v>
      </c>
      <c r="H35" s="74" t="n">
        <v>75</v>
      </c>
      <c r="I35" s="75" t="n">
        <f aca="false">INDEX($C$5:$C$26,MATCH(G35,$A$5:$A$26,0))</f>
        <v>206.535</v>
      </c>
      <c r="J35" s="57" t="n">
        <f aca="false">H35*I35</f>
        <v>15490.125</v>
      </c>
    </row>
    <row r="36" customFormat="false" ht="15" hidden="false" customHeight="false" outlineLevel="0" collapsed="false">
      <c r="E36" s="46" t="s">
        <v>189</v>
      </c>
      <c r="F36" s="46" t="s">
        <v>97</v>
      </c>
      <c r="G36" s="46" t="s">
        <v>259</v>
      </c>
      <c r="H36" s="74" t="n">
        <v>130</v>
      </c>
      <c r="I36" s="75" t="n">
        <f aca="false">INDEX($C$5:$C$26,MATCH(G36,$A$5:$A$26,0))</f>
        <v>256.515</v>
      </c>
      <c r="J36" s="57" t="n">
        <f aca="false">H36*I36</f>
        <v>33346.95</v>
      </c>
    </row>
    <row r="37" customFormat="false" ht="15" hidden="false" customHeight="false" outlineLevel="0" collapsed="false">
      <c r="E37" s="46" t="s">
        <v>189</v>
      </c>
      <c r="F37" s="46" t="s">
        <v>97</v>
      </c>
      <c r="G37" s="46" t="s">
        <v>261</v>
      </c>
      <c r="H37" s="74" t="n">
        <v>120</v>
      </c>
      <c r="I37" s="75" t="n">
        <f aca="false">INDEX($C$5:$C$26,MATCH(G37,$A$5:$A$26,0))</f>
        <v>236.67</v>
      </c>
      <c r="J37" s="57" t="n">
        <f aca="false">H37*I37</f>
        <v>28400.4</v>
      </c>
    </row>
    <row r="38" customFormat="false" ht="15" hidden="false" customHeight="false" outlineLevel="0" collapsed="false">
      <c r="E38" s="46" t="s">
        <v>189</v>
      </c>
      <c r="F38" s="46" t="s">
        <v>97</v>
      </c>
      <c r="G38" s="46" t="s">
        <v>263</v>
      </c>
      <c r="H38" s="74" t="n">
        <v>105</v>
      </c>
      <c r="I38" s="75" t="n">
        <f aca="false">INDEX($C$5:$C$26,MATCH(G38,$A$5:$A$26,0))</f>
        <v>224.175</v>
      </c>
      <c r="J38" s="57" t="n">
        <f aca="false">H38*I38</f>
        <v>23538.375</v>
      </c>
    </row>
    <row r="39" customFormat="false" ht="15" hidden="false" customHeight="false" outlineLevel="0" collapsed="false">
      <c r="E39" s="46" t="s">
        <v>189</v>
      </c>
      <c r="F39" s="46" t="s">
        <v>97</v>
      </c>
      <c r="G39" s="46" t="s">
        <v>265</v>
      </c>
      <c r="H39" s="74" t="n">
        <v>35</v>
      </c>
      <c r="I39" s="75" t="n">
        <f aca="false">INDEX($C$5:$C$26,MATCH(G39,$A$5:$A$26,0))</f>
        <v>206.535</v>
      </c>
      <c r="J39" s="57" t="n">
        <f aca="false">H39*I39</f>
        <v>7228.725</v>
      </c>
    </row>
    <row r="40" customFormat="false" ht="15" hidden="false" customHeight="false" outlineLevel="0" collapsed="false">
      <c r="E40" s="46" t="s">
        <v>189</v>
      </c>
      <c r="F40" s="46" t="s">
        <v>99</v>
      </c>
      <c r="G40" s="46" t="s">
        <v>259</v>
      </c>
      <c r="H40" s="74" t="n">
        <v>65</v>
      </c>
      <c r="I40" s="75" t="n">
        <f aca="false">INDEX($C$5:$C$26,MATCH(G40,$A$5:$A$26,0))</f>
        <v>256.515</v>
      </c>
      <c r="J40" s="57" t="n">
        <f aca="false">H40*I40</f>
        <v>16673.475</v>
      </c>
    </row>
    <row r="41" customFormat="false" ht="15" hidden="false" customHeight="false" outlineLevel="0" collapsed="false">
      <c r="E41" s="46" t="s">
        <v>189</v>
      </c>
      <c r="F41" s="46" t="s">
        <v>99</v>
      </c>
      <c r="G41" s="46" t="s">
        <v>261</v>
      </c>
      <c r="H41" s="74" t="n">
        <v>75</v>
      </c>
      <c r="I41" s="75" t="n">
        <f aca="false">INDEX($C$5:$C$26,MATCH(G41,$A$5:$A$26,0))</f>
        <v>236.67</v>
      </c>
      <c r="J41" s="57" t="n">
        <f aca="false">H41*I41</f>
        <v>17750.25</v>
      </c>
    </row>
    <row r="42" customFormat="false" ht="15" hidden="false" customHeight="false" outlineLevel="0" collapsed="false">
      <c r="E42" s="46" t="s">
        <v>189</v>
      </c>
      <c r="F42" s="46" t="s">
        <v>99</v>
      </c>
      <c r="G42" s="46" t="s">
        <v>263</v>
      </c>
      <c r="H42" s="74" t="n">
        <v>65</v>
      </c>
      <c r="I42" s="75" t="n">
        <f aca="false">INDEX($C$5:$C$26,MATCH(G42,$A$5:$A$26,0))</f>
        <v>224.175</v>
      </c>
      <c r="J42" s="57" t="n">
        <f aca="false">H42*I42</f>
        <v>14571.375</v>
      </c>
    </row>
    <row r="43" customFormat="false" ht="15" hidden="false" customHeight="false" outlineLevel="0" collapsed="false">
      <c r="E43" s="46" t="s">
        <v>189</v>
      </c>
      <c r="F43" s="46" t="s">
        <v>99</v>
      </c>
      <c r="G43" s="46" t="s">
        <v>265</v>
      </c>
      <c r="H43" s="74" t="n">
        <v>40</v>
      </c>
      <c r="I43" s="75" t="n">
        <f aca="false">INDEX($C$5:$C$26,MATCH(G43,$A$5:$A$26,0))</f>
        <v>206.535</v>
      </c>
      <c r="J43" s="57" t="n">
        <f aca="false">H43*I43</f>
        <v>8261.4</v>
      </c>
    </row>
    <row r="44" customFormat="false" ht="15" hidden="false" customHeight="false" outlineLevel="0" collapsed="false">
      <c r="E44" s="46" t="s">
        <v>191</v>
      </c>
      <c r="F44" s="46" t="s">
        <v>93</v>
      </c>
      <c r="G44" s="46" t="s">
        <v>259</v>
      </c>
      <c r="H44" s="74" t="n">
        <v>180</v>
      </c>
      <c r="I44" s="75" t="n">
        <f aca="false">INDEX($C$5:$C$26,MATCH(G44,$A$5:$A$26,0))</f>
        <v>256.515</v>
      </c>
      <c r="J44" s="57" t="n">
        <f aca="false">H44*I44</f>
        <v>46172.7</v>
      </c>
    </row>
    <row r="45" customFormat="false" ht="15" hidden="false" customHeight="false" outlineLevel="0" collapsed="false">
      <c r="E45" s="46" t="s">
        <v>191</v>
      </c>
      <c r="F45" s="46" t="s">
        <v>93</v>
      </c>
      <c r="G45" s="46" t="s">
        <v>261</v>
      </c>
      <c r="H45" s="74" t="n">
        <v>380</v>
      </c>
      <c r="I45" s="75" t="n">
        <f aca="false">INDEX($C$5:$C$26,MATCH(G45,$A$5:$A$26,0))</f>
        <v>236.67</v>
      </c>
      <c r="J45" s="57" t="n">
        <f aca="false">H45*I45</f>
        <v>89934.6</v>
      </c>
    </row>
    <row r="46" customFormat="false" ht="15" hidden="false" customHeight="false" outlineLevel="0" collapsed="false">
      <c r="E46" s="46" t="s">
        <v>191</v>
      </c>
      <c r="F46" s="46" t="s">
        <v>93</v>
      </c>
      <c r="G46" s="46" t="s">
        <v>263</v>
      </c>
      <c r="H46" s="74" t="n">
        <v>315</v>
      </c>
      <c r="I46" s="75" t="n">
        <f aca="false">INDEX($C$5:$C$26,MATCH(G46,$A$5:$A$26,0))</f>
        <v>224.175</v>
      </c>
      <c r="J46" s="57" t="n">
        <f aca="false">H46*I46</f>
        <v>70615.125</v>
      </c>
    </row>
    <row r="47" customFormat="false" ht="15" hidden="false" customHeight="false" outlineLevel="0" collapsed="false">
      <c r="E47" s="46" t="s">
        <v>191</v>
      </c>
      <c r="F47" s="46" t="s">
        <v>93</v>
      </c>
      <c r="G47" s="46" t="s">
        <v>265</v>
      </c>
      <c r="H47" s="74" t="n">
        <v>75</v>
      </c>
      <c r="I47" s="75" t="n">
        <f aca="false">INDEX($C$5:$C$26,MATCH(G47,$A$5:$A$26,0))</f>
        <v>206.535</v>
      </c>
      <c r="J47" s="57" t="n">
        <f aca="false">H47*I47</f>
        <v>15490.125</v>
      </c>
    </row>
    <row r="48" customFormat="false" ht="15" hidden="false" customHeight="false" outlineLevel="0" collapsed="false">
      <c r="E48" s="46" t="s">
        <v>191</v>
      </c>
      <c r="F48" s="46" t="s">
        <v>97</v>
      </c>
      <c r="G48" s="46" t="s">
        <v>259</v>
      </c>
      <c r="H48" s="74" t="n">
        <v>40</v>
      </c>
      <c r="I48" s="75" t="n">
        <f aca="false">INDEX($C$5:$C$26,MATCH(G48,$A$5:$A$26,0))</f>
        <v>256.515</v>
      </c>
      <c r="J48" s="57" t="n">
        <f aca="false">H48*I48</f>
        <v>10260.6</v>
      </c>
    </row>
    <row r="49" customFormat="false" ht="15" hidden="false" customHeight="false" outlineLevel="0" collapsed="false">
      <c r="E49" s="46" t="s">
        <v>191</v>
      </c>
      <c r="F49" s="46" t="s">
        <v>97</v>
      </c>
      <c r="G49" s="46" t="s">
        <v>261</v>
      </c>
      <c r="H49" s="74" t="n">
        <v>65</v>
      </c>
      <c r="I49" s="75" t="n">
        <f aca="false">INDEX($C$5:$C$26,MATCH(G49,$A$5:$A$26,0))</f>
        <v>236.67</v>
      </c>
      <c r="J49" s="57" t="n">
        <f aca="false">H49*I49</f>
        <v>15383.55</v>
      </c>
    </row>
    <row r="50" customFormat="false" ht="15" hidden="false" customHeight="false" outlineLevel="0" collapsed="false">
      <c r="E50" s="46" t="s">
        <v>191</v>
      </c>
      <c r="F50" s="46" t="s">
        <v>97</v>
      </c>
      <c r="G50" s="46" t="s">
        <v>263</v>
      </c>
      <c r="H50" s="74" t="n">
        <v>60</v>
      </c>
      <c r="I50" s="75" t="n">
        <f aca="false">INDEX($C$5:$C$26,MATCH(G50,$A$5:$A$26,0))</f>
        <v>224.175</v>
      </c>
      <c r="J50" s="57" t="n">
        <f aca="false">H50*I50</f>
        <v>13450.5</v>
      </c>
    </row>
    <row r="51" customFormat="false" ht="15" hidden="false" customHeight="false" outlineLevel="0" collapsed="false">
      <c r="E51" s="46" t="s">
        <v>191</v>
      </c>
      <c r="F51" s="46" t="s">
        <v>97</v>
      </c>
      <c r="G51" s="46" t="s">
        <v>265</v>
      </c>
      <c r="H51" s="74" t="n">
        <v>15</v>
      </c>
      <c r="I51" s="75" t="n">
        <f aca="false">INDEX($C$5:$C$26,MATCH(G51,$A$5:$A$26,0))</f>
        <v>206.535</v>
      </c>
      <c r="J51" s="57" t="n">
        <f aca="false">H51*I51</f>
        <v>3098.025</v>
      </c>
    </row>
    <row r="52" customFormat="false" ht="15" hidden="false" customHeight="false" outlineLevel="0" collapsed="false">
      <c r="E52" s="46" t="s">
        <v>191</v>
      </c>
      <c r="F52" s="46" t="s">
        <v>99</v>
      </c>
      <c r="G52" s="46" t="s">
        <v>259</v>
      </c>
      <c r="H52" s="74" t="n">
        <v>30</v>
      </c>
      <c r="I52" s="75" t="n">
        <f aca="false">INDEX($C$5:$C$26,MATCH(G52,$A$5:$A$26,0))</f>
        <v>256.515</v>
      </c>
      <c r="J52" s="57" t="n">
        <f aca="false">H52*I52</f>
        <v>7695.45</v>
      </c>
    </row>
    <row r="53" customFormat="false" ht="15" hidden="false" customHeight="false" outlineLevel="0" collapsed="false">
      <c r="E53" s="46" t="s">
        <v>191</v>
      </c>
      <c r="F53" s="46" t="s">
        <v>99</v>
      </c>
      <c r="G53" s="46" t="s">
        <v>261</v>
      </c>
      <c r="H53" s="74" t="n">
        <v>40</v>
      </c>
      <c r="I53" s="75" t="n">
        <f aca="false">INDEX($C$5:$C$26,MATCH(G53,$A$5:$A$26,0))</f>
        <v>236.67</v>
      </c>
      <c r="J53" s="57" t="n">
        <f aca="false">H53*I53</f>
        <v>9466.8</v>
      </c>
    </row>
    <row r="54" customFormat="false" ht="15" hidden="false" customHeight="false" outlineLevel="0" collapsed="false">
      <c r="E54" s="46" t="s">
        <v>191</v>
      </c>
      <c r="F54" s="46" t="s">
        <v>99</v>
      </c>
      <c r="G54" s="46" t="s">
        <v>263</v>
      </c>
      <c r="H54" s="74" t="n">
        <v>30</v>
      </c>
      <c r="I54" s="75" t="n">
        <f aca="false">INDEX($C$5:$C$26,MATCH(G54,$A$5:$A$26,0))</f>
        <v>224.175</v>
      </c>
      <c r="J54" s="57" t="n">
        <f aca="false">H54*I54</f>
        <v>6725.25</v>
      </c>
    </row>
    <row r="55" customFormat="false" ht="15" hidden="false" customHeight="false" outlineLevel="0" collapsed="false">
      <c r="E55" s="46" t="s">
        <v>191</v>
      </c>
      <c r="F55" s="46" t="s">
        <v>99</v>
      </c>
      <c r="G55" s="46" t="s">
        <v>265</v>
      </c>
      <c r="H55" s="74" t="n">
        <v>15</v>
      </c>
      <c r="I55" s="75" t="n">
        <f aca="false">INDEX($C$5:$C$26,MATCH(G55,$A$5:$A$26,0))</f>
        <v>206.535</v>
      </c>
      <c r="J55" s="57" t="n">
        <f aca="false">H55*I55</f>
        <v>3098.025</v>
      </c>
    </row>
    <row r="56" customFormat="false" ht="15" hidden="false" customHeight="false" outlineLevel="0" collapsed="false">
      <c r="E56" s="46" t="s">
        <v>193</v>
      </c>
      <c r="F56" s="46" t="s">
        <v>89</v>
      </c>
      <c r="G56" s="46" t="s">
        <v>259</v>
      </c>
      <c r="H56" s="74" t="n">
        <v>95</v>
      </c>
      <c r="I56" s="75" t="n">
        <f aca="false">INDEX($C$5:$C$26,MATCH(G56,$A$5:$A$26,0))</f>
        <v>256.515</v>
      </c>
      <c r="J56" s="57" t="n">
        <f aca="false">H56*I56</f>
        <v>24368.925</v>
      </c>
    </row>
    <row r="57" customFormat="false" ht="15" hidden="false" customHeight="false" outlineLevel="0" collapsed="false">
      <c r="E57" s="46" t="s">
        <v>193</v>
      </c>
      <c r="F57" s="46" t="s">
        <v>89</v>
      </c>
      <c r="G57" s="46" t="s">
        <v>261</v>
      </c>
      <c r="H57" s="74" t="n">
        <v>140</v>
      </c>
      <c r="I57" s="75" t="n">
        <f aca="false">INDEX($C$5:$C$26,MATCH(G57,$A$5:$A$26,0))</f>
        <v>236.67</v>
      </c>
      <c r="J57" s="57" t="n">
        <f aca="false">H57*I57</f>
        <v>33133.8</v>
      </c>
    </row>
    <row r="58" customFormat="false" ht="15" hidden="false" customHeight="false" outlineLevel="0" collapsed="false">
      <c r="E58" s="46" t="s">
        <v>193</v>
      </c>
      <c r="F58" s="46" t="s">
        <v>89</v>
      </c>
      <c r="G58" s="46" t="s">
        <v>263</v>
      </c>
      <c r="H58" s="74" t="n">
        <v>105</v>
      </c>
      <c r="I58" s="75" t="n">
        <f aca="false">INDEX($C$5:$C$26,MATCH(G58,$A$5:$A$26,0))</f>
        <v>224.175</v>
      </c>
      <c r="J58" s="57" t="n">
        <f aca="false">H58*I58</f>
        <v>23538.375</v>
      </c>
    </row>
    <row r="59" customFormat="false" ht="15" hidden="false" customHeight="false" outlineLevel="0" collapsed="false">
      <c r="E59" s="46" t="s">
        <v>193</v>
      </c>
      <c r="F59" s="46" t="s">
        <v>89</v>
      </c>
      <c r="G59" s="46" t="s">
        <v>265</v>
      </c>
      <c r="H59" s="74" t="n">
        <v>45</v>
      </c>
      <c r="I59" s="75" t="n">
        <f aca="false">INDEX($C$5:$C$26,MATCH(G59,$A$5:$A$26,0))</f>
        <v>206.535</v>
      </c>
      <c r="J59" s="57" t="n">
        <f aca="false">H59*I59</f>
        <v>9294.075</v>
      </c>
    </row>
    <row r="60" customFormat="false" ht="15" hidden="false" customHeight="false" outlineLevel="0" collapsed="false">
      <c r="E60" s="46" t="s">
        <v>193</v>
      </c>
      <c r="F60" s="46" t="s">
        <v>91</v>
      </c>
      <c r="G60" s="46" t="s">
        <v>259</v>
      </c>
      <c r="H60" s="74" t="n">
        <v>130</v>
      </c>
      <c r="I60" s="75" t="n">
        <f aca="false">INDEX($C$5:$C$26,MATCH(G60,$A$5:$A$26,0))</f>
        <v>256.515</v>
      </c>
      <c r="J60" s="57" t="n">
        <f aca="false">H60*I60</f>
        <v>33346.95</v>
      </c>
    </row>
    <row r="61" customFormat="false" ht="15" hidden="false" customHeight="false" outlineLevel="0" collapsed="false">
      <c r="E61" s="46" t="s">
        <v>193</v>
      </c>
      <c r="F61" s="46" t="s">
        <v>91</v>
      </c>
      <c r="G61" s="46" t="s">
        <v>261</v>
      </c>
      <c r="H61" s="74" t="n">
        <v>245</v>
      </c>
      <c r="I61" s="75" t="n">
        <f aca="false">INDEX($C$5:$C$26,MATCH(G61,$A$5:$A$26,0))</f>
        <v>236.67</v>
      </c>
      <c r="J61" s="57" t="n">
        <f aca="false">H61*I61</f>
        <v>57984.15</v>
      </c>
    </row>
    <row r="62" customFormat="false" ht="15" hidden="false" customHeight="false" outlineLevel="0" collapsed="false">
      <c r="E62" s="46" t="s">
        <v>193</v>
      </c>
      <c r="F62" s="46" t="s">
        <v>91</v>
      </c>
      <c r="G62" s="46" t="s">
        <v>263</v>
      </c>
      <c r="H62" s="74" t="n">
        <v>200</v>
      </c>
      <c r="I62" s="75" t="n">
        <f aca="false">INDEX($C$5:$C$26,MATCH(G62,$A$5:$A$26,0))</f>
        <v>224.175</v>
      </c>
      <c r="J62" s="57" t="n">
        <f aca="false">H62*I62</f>
        <v>44835</v>
      </c>
    </row>
    <row r="63" customFormat="false" ht="15" hidden="false" customHeight="false" outlineLevel="0" collapsed="false">
      <c r="E63" s="46" t="s">
        <v>193</v>
      </c>
      <c r="F63" s="46" t="s">
        <v>91</v>
      </c>
      <c r="G63" s="46" t="s">
        <v>265</v>
      </c>
      <c r="H63" s="74" t="n">
        <v>75</v>
      </c>
      <c r="I63" s="75" t="n">
        <f aca="false">INDEX($C$5:$C$26,MATCH(G63,$A$5:$A$26,0))</f>
        <v>206.535</v>
      </c>
      <c r="J63" s="57" t="n">
        <f aca="false">H63*I63</f>
        <v>15490.125</v>
      </c>
    </row>
    <row r="64" customFormat="false" ht="15" hidden="false" customHeight="false" outlineLevel="0" collapsed="false">
      <c r="E64" s="46" t="s">
        <v>193</v>
      </c>
      <c r="F64" s="46" t="s">
        <v>93</v>
      </c>
      <c r="G64" s="46" t="s">
        <v>259</v>
      </c>
      <c r="H64" s="74" t="n">
        <v>190</v>
      </c>
      <c r="I64" s="75" t="n">
        <f aca="false">INDEX($C$5:$C$26,MATCH(G64,$A$5:$A$26,0))</f>
        <v>256.515</v>
      </c>
      <c r="J64" s="57" t="n">
        <f aca="false">H64*I64</f>
        <v>48737.85</v>
      </c>
    </row>
    <row r="65" customFormat="false" ht="15" hidden="false" customHeight="false" outlineLevel="0" collapsed="false">
      <c r="E65" s="46" t="s">
        <v>193</v>
      </c>
      <c r="F65" s="46" t="s">
        <v>93</v>
      </c>
      <c r="G65" s="46" t="s">
        <v>261</v>
      </c>
      <c r="H65" s="74" t="n">
        <v>350</v>
      </c>
      <c r="I65" s="75" t="n">
        <f aca="false">INDEX($C$5:$C$26,MATCH(G65,$A$5:$A$26,0))</f>
        <v>236.67</v>
      </c>
      <c r="J65" s="57" t="n">
        <f aca="false">H65*I65</f>
        <v>82834.5</v>
      </c>
    </row>
    <row r="66" customFormat="false" ht="15" hidden="false" customHeight="false" outlineLevel="0" collapsed="false">
      <c r="E66" s="46" t="s">
        <v>193</v>
      </c>
      <c r="F66" s="46" t="s">
        <v>93</v>
      </c>
      <c r="G66" s="46" t="s">
        <v>263</v>
      </c>
      <c r="H66" s="74" t="n">
        <v>280</v>
      </c>
      <c r="I66" s="75" t="n">
        <f aca="false">INDEX($C$5:$C$26,MATCH(G66,$A$5:$A$26,0))</f>
        <v>224.175</v>
      </c>
      <c r="J66" s="57" t="n">
        <f aca="false">H66*I66</f>
        <v>62769</v>
      </c>
    </row>
    <row r="67" customFormat="false" ht="15" hidden="false" customHeight="false" outlineLevel="0" collapsed="false">
      <c r="E67" s="46" t="s">
        <v>193</v>
      </c>
      <c r="F67" s="46" t="s">
        <v>93</v>
      </c>
      <c r="G67" s="46" t="s">
        <v>265</v>
      </c>
      <c r="H67" s="74" t="n">
        <v>85</v>
      </c>
      <c r="I67" s="75" t="n">
        <f aca="false">INDEX($C$5:$C$26,MATCH(G67,$A$5:$A$26,0))</f>
        <v>206.535</v>
      </c>
      <c r="J67" s="57" t="n">
        <f aca="false">H67*I67</f>
        <v>17555.475</v>
      </c>
    </row>
    <row r="68" customFormat="false" ht="15" hidden="false" customHeight="false" outlineLevel="0" collapsed="false">
      <c r="E68" s="46" t="s">
        <v>195</v>
      </c>
      <c r="F68" s="46" t="s">
        <v>93</v>
      </c>
      <c r="G68" s="46" t="s">
        <v>259</v>
      </c>
      <c r="H68" s="74" t="n">
        <v>140</v>
      </c>
      <c r="I68" s="75" t="n">
        <f aca="false">INDEX($C$5:$C$26,MATCH(G68,$A$5:$A$26,0))</f>
        <v>256.515</v>
      </c>
      <c r="J68" s="57" t="n">
        <f aca="false">H68*I68</f>
        <v>35912.1</v>
      </c>
    </row>
    <row r="69" customFormat="false" ht="15" hidden="false" customHeight="false" outlineLevel="0" collapsed="false">
      <c r="E69" s="46" t="s">
        <v>195</v>
      </c>
      <c r="F69" s="46" t="s">
        <v>93</v>
      </c>
      <c r="G69" s="46" t="s">
        <v>261</v>
      </c>
      <c r="H69" s="74" t="n">
        <v>225</v>
      </c>
      <c r="I69" s="75" t="n">
        <f aca="false">INDEX($C$5:$C$26,MATCH(G69,$A$5:$A$26,0))</f>
        <v>236.67</v>
      </c>
      <c r="J69" s="57" t="n">
        <f aca="false">H69*I69</f>
        <v>53250.75</v>
      </c>
    </row>
    <row r="70" customFormat="false" ht="15" hidden="false" customHeight="false" outlineLevel="0" collapsed="false">
      <c r="E70" s="46" t="s">
        <v>195</v>
      </c>
      <c r="F70" s="46" t="s">
        <v>93</v>
      </c>
      <c r="G70" s="46" t="s">
        <v>263</v>
      </c>
      <c r="H70" s="74" t="n">
        <v>180</v>
      </c>
      <c r="I70" s="75" t="n">
        <f aca="false">INDEX($C$5:$C$26,MATCH(G70,$A$5:$A$26,0))</f>
        <v>224.175</v>
      </c>
      <c r="J70" s="57" t="n">
        <f aca="false">H70*I70</f>
        <v>40351.5</v>
      </c>
    </row>
    <row r="71" customFormat="false" ht="15" hidden="false" customHeight="false" outlineLevel="0" collapsed="false">
      <c r="E71" s="46" t="s">
        <v>195</v>
      </c>
      <c r="F71" s="46" t="s">
        <v>93</v>
      </c>
      <c r="G71" s="46" t="s">
        <v>265</v>
      </c>
      <c r="H71" s="74" t="n">
        <v>65</v>
      </c>
      <c r="I71" s="75" t="n">
        <f aca="false">INDEX($C$5:$C$26,MATCH(G71,$A$5:$A$26,0))</f>
        <v>206.535</v>
      </c>
      <c r="J71" s="57" t="n">
        <f aca="false">H71*I71</f>
        <v>13424.775</v>
      </c>
    </row>
    <row r="72" customFormat="false" ht="15" hidden="false" customHeight="false" outlineLevel="0" collapsed="false">
      <c r="E72" s="46" t="s">
        <v>197</v>
      </c>
      <c r="F72" s="46" t="s">
        <v>93</v>
      </c>
      <c r="G72" s="46" t="s">
        <v>259</v>
      </c>
      <c r="H72" s="74" t="n">
        <v>65</v>
      </c>
      <c r="I72" s="75" t="n">
        <f aca="false">INDEX($C$5:$C$26,MATCH(G72,$A$5:$A$26,0))</f>
        <v>256.515</v>
      </c>
      <c r="J72" s="57" t="n">
        <f aca="false">H72*I72</f>
        <v>16673.475</v>
      </c>
    </row>
    <row r="73" customFormat="false" ht="15" hidden="false" customHeight="false" outlineLevel="0" collapsed="false">
      <c r="E73" s="46" t="s">
        <v>197</v>
      </c>
      <c r="F73" s="46" t="s">
        <v>93</v>
      </c>
      <c r="G73" s="46" t="s">
        <v>261</v>
      </c>
      <c r="H73" s="74" t="n">
        <v>180</v>
      </c>
      <c r="I73" s="75" t="n">
        <f aca="false">INDEX($C$5:$C$26,MATCH(G73,$A$5:$A$26,0))</f>
        <v>236.67</v>
      </c>
      <c r="J73" s="57" t="n">
        <f aca="false">H73*I73</f>
        <v>42600.6</v>
      </c>
    </row>
    <row r="74" customFormat="false" ht="15" hidden="false" customHeight="false" outlineLevel="0" collapsed="false">
      <c r="E74" s="46" t="s">
        <v>197</v>
      </c>
      <c r="F74" s="46" t="s">
        <v>93</v>
      </c>
      <c r="G74" s="46" t="s">
        <v>263</v>
      </c>
      <c r="H74" s="74" t="n">
        <v>225</v>
      </c>
      <c r="I74" s="75" t="n">
        <f aca="false">INDEX($C$5:$C$26,MATCH(G74,$A$5:$A$26,0))</f>
        <v>224.175</v>
      </c>
      <c r="J74" s="57" t="n">
        <f aca="false">H74*I74</f>
        <v>50439.375</v>
      </c>
    </row>
    <row r="75" customFormat="false" ht="15" hidden="false" customHeight="false" outlineLevel="0" collapsed="false">
      <c r="E75" s="46" t="s">
        <v>197</v>
      </c>
      <c r="F75" s="46" t="s">
        <v>93</v>
      </c>
      <c r="G75" s="46" t="s">
        <v>265</v>
      </c>
      <c r="H75" s="74" t="n">
        <v>95</v>
      </c>
      <c r="I75" s="75" t="n">
        <f aca="false">INDEX($C$5:$C$26,MATCH(G75,$A$5:$A$26,0))</f>
        <v>206.535</v>
      </c>
      <c r="J75" s="57" t="n">
        <f aca="false">H75*I75</f>
        <v>19620.825</v>
      </c>
    </row>
    <row r="76" customFormat="false" ht="15" hidden="false" customHeight="false" outlineLevel="0" collapsed="false">
      <c r="E76" s="46" t="s">
        <v>199</v>
      </c>
      <c r="F76" s="46" t="s">
        <v>91</v>
      </c>
      <c r="G76" s="46" t="s">
        <v>259</v>
      </c>
      <c r="H76" s="74" t="n">
        <v>55</v>
      </c>
      <c r="I76" s="75" t="n">
        <f aca="false">INDEX($C$5:$C$26,MATCH(G76,$A$5:$A$26,0))</f>
        <v>256.515</v>
      </c>
      <c r="J76" s="57" t="n">
        <f aca="false">H76*I76</f>
        <v>14108.325</v>
      </c>
    </row>
    <row r="77" customFormat="false" ht="15" hidden="false" customHeight="false" outlineLevel="0" collapsed="false">
      <c r="E77" s="46" t="s">
        <v>199</v>
      </c>
      <c r="F77" s="46" t="s">
        <v>91</v>
      </c>
      <c r="G77" s="46" t="s">
        <v>261</v>
      </c>
      <c r="H77" s="74" t="n">
        <v>155</v>
      </c>
      <c r="I77" s="75" t="n">
        <f aca="false">INDEX($C$5:$C$26,MATCH(G77,$A$5:$A$26,0))</f>
        <v>236.67</v>
      </c>
      <c r="J77" s="57" t="n">
        <f aca="false">H77*I77</f>
        <v>36683.85</v>
      </c>
    </row>
    <row r="78" customFormat="false" ht="15" hidden="false" customHeight="false" outlineLevel="0" collapsed="false">
      <c r="E78" s="46" t="s">
        <v>199</v>
      </c>
      <c r="F78" s="46" t="s">
        <v>91</v>
      </c>
      <c r="G78" s="46" t="s">
        <v>263</v>
      </c>
      <c r="H78" s="74" t="n">
        <v>130</v>
      </c>
      <c r="I78" s="75" t="n">
        <f aca="false">INDEX($C$5:$C$26,MATCH(G78,$A$5:$A$26,0))</f>
        <v>224.175</v>
      </c>
      <c r="J78" s="57" t="n">
        <f aca="false">H78*I78</f>
        <v>29142.75</v>
      </c>
    </row>
    <row r="79" customFormat="false" ht="15" hidden="false" customHeight="false" outlineLevel="0" collapsed="false">
      <c r="E79" s="46" t="s">
        <v>199</v>
      </c>
      <c r="F79" s="46" t="s">
        <v>91</v>
      </c>
      <c r="G79" s="46" t="s">
        <v>265</v>
      </c>
      <c r="H79" s="74" t="n">
        <v>45</v>
      </c>
      <c r="I79" s="75" t="n">
        <f aca="false">INDEX($C$5:$C$26,MATCH(G79,$A$5:$A$26,0))</f>
        <v>206.535</v>
      </c>
      <c r="J79" s="57" t="n">
        <f aca="false">H79*I79</f>
        <v>9294.075</v>
      </c>
    </row>
    <row r="80" customFormat="false" ht="15" hidden="false" customHeight="false" outlineLevel="0" collapsed="false">
      <c r="E80" s="46" t="s">
        <v>199</v>
      </c>
      <c r="F80" s="46" t="s">
        <v>93</v>
      </c>
      <c r="G80" s="46" t="s">
        <v>259</v>
      </c>
      <c r="H80" s="74" t="n">
        <v>65</v>
      </c>
      <c r="I80" s="75" t="n">
        <f aca="false">INDEX($C$5:$C$26,MATCH(G80,$A$5:$A$26,0))</f>
        <v>256.515</v>
      </c>
      <c r="J80" s="57" t="n">
        <f aca="false">H80*I80</f>
        <v>16673.475</v>
      </c>
    </row>
    <row r="81" customFormat="false" ht="15" hidden="false" customHeight="false" outlineLevel="0" collapsed="false">
      <c r="E81" s="46" t="s">
        <v>199</v>
      </c>
      <c r="F81" s="46" t="s">
        <v>93</v>
      </c>
      <c r="G81" s="46" t="s">
        <v>261</v>
      </c>
      <c r="H81" s="74" t="n">
        <v>190</v>
      </c>
      <c r="I81" s="75" t="n">
        <f aca="false">INDEX($C$5:$C$26,MATCH(G81,$A$5:$A$26,0))</f>
        <v>236.67</v>
      </c>
      <c r="J81" s="57" t="n">
        <f aca="false">H81*I81</f>
        <v>44967.3</v>
      </c>
    </row>
    <row r="82" customFormat="false" ht="15" hidden="false" customHeight="false" outlineLevel="0" collapsed="false">
      <c r="E82" s="46" t="s">
        <v>199</v>
      </c>
      <c r="F82" s="46" t="s">
        <v>93</v>
      </c>
      <c r="G82" s="46" t="s">
        <v>263</v>
      </c>
      <c r="H82" s="74" t="n">
        <v>160</v>
      </c>
      <c r="I82" s="75" t="n">
        <f aca="false">INDEX($C$5:$C$26,MATCH(G82,$A$5:$A$26,0))</f>
        <v>224.175</v>
      </c>
      <c r="J82" s="57" t="n">
        <f aca="false">H82*I82</f>
        <v>35868</v>
      </c>
    </row>
    <row r="83" customFormat="false" ht="15" hidden="false" customHeight="false" outlineLevel="0" collapsed="false">
      <c r="E83" s="46" t="s">
        <v>199</v>
      </c>
      <c r="F83" s="46" t="s">
        <v>93</v>
      </c>
      <c r="G83" s="46" t="s">
        <v>265</v>
      </c>
      <c r="H83" s="74" t="n">
        <v>50</v>
      </c>
      <c r="I83" s="75" t="n">
        <f aca="false">INDEX($C$5:$C$26,MATCH(G83,$A$5:$A$26,0))</f>
        <v>206.535</v>
      </c>
      <c r="J83" s="57" t="n">
        <f aca="false">H83*I83</f>
        <v>10326.75</v>
      </c>
    </row>
    <row r="84" customFormat="false" ht="15" hidden="false" customHeight="false" outlineLevel="0" collapsed="false">
      <c r="E84" s="46" t="s">
        <v>201</v>
      </c>
      <c r="F84" s="46" t="s">
        <v>91</v>
      </c>
      <c r="G84" s="46" t="s">
        <v>259</v>
      </c>
      <c r="H84" s="74" t="n">
        <v>75</v>
      </c>
      <c r="I84" s="75" t="n">
        <f aca="false">INDEX($C$5:$C$26,MATCH(G84,$A$5:$A$26,0))</f>
        <v>256.515</v>
      </c>
      <c r="J84" s="57" t="n">
        <f aca="false">H84*I84</f>
        <v>19238.625</v>
      </c>
    </row>
    <row r="85" customFormat="false" ht="15" hidden="false" customHeight="false" outlineLevel="0" collapsed="false">
      <c r="E85" s="46" t="s">
        <v>201</v>
      </c>
      <c r="F85" s="46" t="s">
        <v>91</v>
      </c>
      <c r="G85" s="46" t="s">
        <v>261</v>
      </c>
      <c r="H85" s="74" t="n">
        <v>210</v>
      </c>
      <c r="I85" s="75" t="n">
        <f aca="false">INDEX($C$5:$C$26,MATCH(G85,$A$5:$A$26,0))</f>
        <v>236.67</v>
      </c>
      <c r="J85" s="57" t="n">
        <f aca="false">H85*I85</f>
        <v>49700.7</v>
      </c>
    </row>
    <row r="86" customFormat="false" ht="15" hidden="false" customHeight="false" outlineLevel="0" collapsed="false">
      <c r="E86" s="46" t="s">
        <v>201</v>
      </c>
      <c r="F86" s="46" t="s">
        <v>91</v>
      </c>
      <c r="G86" s="46" t="s">
        <v>263</v>
      </c>
      <c r="H86" s="74" t="n">
        <v>315</v>
      </c>
      <c r="I86" s="75" t="n">
        <f aca="false">INDEX($C$5:$C$26,MATCH(G86,$A$5:$A$26,0))</f>
        <v>224.175</v>
      </c>
      <c r="J86" s="57" t="n">
        <f aca="false">H86*I86</f>
        <v>70615.125</v>
      </c>
    </row>
    <row r="87" customFormat="false" ht="15" hidden="false" customHeight="false" outlineLevel="0" collapsed="false">
      <c r="E87" s="46" t="s">
        <v>201</v>
      </c>
      <c r="F87" s="46" t="s">
        <v>91</v>
      </c>
      <c r="G87" s="46" t="s">
        <v>265</v>
      </c>
      <c r="H87" s="74" t="n">
        <v>75</v>
      </c>
      <c r="I87" s="75" t="n">
        <f aca="false">INDEX($C$5:$C$26,MATCH(G87,$A$5:$A$26,0))</f>
        <v>206.535</v>
      </c>
      <c r="J87" s="57" t="n">
        <f aca="false">H87*I87</f>
        <v>15490.125</v>
      </c>
    </row>
    <row r="88" customFormat="false" ht="15" hidden="false" customHeight="false" outlineLevel="0" collapsed="false">
      <c r="E88" s="46" t="s">
        <v>201</v>
      </c>
      <c r="F88" s="46" t="s">
        <v>93</v>
      </c>
      <c r="G88" s="46" t="s">
        <v>259</v>
      </c>
      <c r="H88" s="74" t="n">
        <v>140</v>
      </c>
      <c r="I88" s="75" t="n">
        <f aca="false">INDEX($C$5:$C$26,MATCH(G88,$A$5:$A$26,0))</f>
        <v>256.515</v>
      </c>
      <c r="J88" s="57" t="n">
        <f aca="false">H88*I88</f>
        <v>35912.1</v>
      </c>
    </row>
    <row r="89" customFormat="false" ht="15" hidden="false" customHeight="false" outlineLevel="0" collapsed="false">
      <c r="E89" s="46" t="s">
        <v>201</v>
      </c>
      <c r="F89" s="46" t="s">
        <v>93</v>
      </c>
      <c r="G89" s="46" t="s">
        <v>261</v>
      </c>
      <c r="H89" s="74" t="n">
        <v>410</v>
      </c>
      <c r="I89" s="75" t="n">
        <f aca="false">INDEX($C$5:$C$26,MATCH(G89,$A$5:$A$26,0))</f>
        <v>236.67</v>
      </c>
      <c r="J89" s="57" t="n">
        <f aca="false">H89*I89</f>
        <v>97034.7</v>
      </c>
    </row>
    <row r="90" customFormat="false" ht="15" hidden="false" customHeight="false" outlineLevel="0" collapsed="false">
      <c r="E90" s="46" t="s">
        <v>201</v>
      </c>
      <c r="F90" s="46" t="s">
        <v>93</v>
      </c>
      <c r="G90" s="46" t="s">
        <v>263</v>
      </c>
      <c r="H90" s="74" t="n">
        <v>610</v>
      </c>
      <c r="I90" s="75" t="n">
        <f aca="false">INDEX($C$5:$C$26,MATCH(G90,$A$5:$A$26,0))</f>
        <v>224.175</v>
      </c>
      <c r="J90" s="57" t="n">
        <f aca="false">H90*I90</f>
        <v>136746.75</v>
      </c>
    </row>
    <row r="91" customFormat="false" ht="15" hidden="false" customHeight="false" outlineLevel="0" collapsed="false">
      <c r="E91" s="46" t="s">
        <v>201</v>
      </c>
      <c r="F91" s="46" t="s">
        <v>93</v>
      </c>
      <c r="G91" s="46" t="s">
        <v>265</v>
      </c>
      <c r="H91" s="74" t="n">
        <v>140</v>
      </c>
      <c r="I91" s="75" t="n">
        <f aca="false">INDEX($C$5:$C$26,MATCH(G91,$A$5:$A$26,0))</f>
        <v>206.535</v>
      </c>
      <c r="J91" s="57" t="n">
        <f aca="false">H91*I91</f>
        <v>28914.9</v>
      </c>
    </row>
    <row r="92" customFormat="false" ht="15" hidden="false" customHeight="false" outlineLevel="0" collapsed="false">
      <c r="E92" s="46" t="s">
        <v>203</v>
      </c>
      <c r="F92" s="46" t="s">
        <v>91</v>
      </c>
      <c r="G92" s="46" t="s">
        <v>259</v>
      </c>
      <c r="H92" s="74" t="n">
        <v>55</v>
      </c>
      <c r="I92" s="75" t="n">
        <f aca="false">INDEX($C$5:$C$26,MATCH(G92,$A$5:$A$26,0))</f>
        <v>256.515</v>
      </c>
      <c r="J92" s="57" t="n">
        <f aca="false">H92*I92</f>
        <v>14108.325</v>
      </c>
    </row>
    <row r="93" customFormat="false" ht="15" hidden="false" customHeight="false" outlineLevel="0" collapsed="false">
      <c r="E93" s="46" t="s">
        <v>203</v>
      </c>
      <c r="F93" s="46" t="s">
        <v>91</v>
      </c>
      <c r="G93" s="46" t="s">
        <v>261</v>
      </c>
      <c r="H93" s="74" t="n">
        <v>170</v>
      </c>
      <c r="I93" s="75" t="n">
        <f aca="false">INDEX($C$5:$C$26,MATCH(G93,$A$5:$A$26,0))</f>
        <v>236.67</v>
      </c>
      <c r="J93" s="57" t="n">
        <f aca="false">H93*I93</f>
        <v>40233.9</v>
      </c>
    </row>
    <row r="94" customFormat="false" ht="15" hidden="false" customHeight="false" outlineLevel="0" collapsed="false">
      <c r="E94" s="46" t="s">
        <v>203</v>
      </c>
      <c r="F94" s="46" t="s">
        <v>91</v>
      </c>
      <c r="G94" s="46" t="s">
        <v>263</v>
      </c>
      <c r="H94" s="74" t="n">
        <v>200</v>
      </c>
      <c r="I94" s="75" t="n">
        <f aca="false">INDEX($C$5:$C$26,MATCH(G94,$A$5:$A$26,0))</f>
        <v>224.175</v>
      </c>
      <c r="J94" s="57" t="n">
        <f aca="false">H94*I94</f>
        <v>44835</v>
      </c>
    </row>
    <row r="95" customFormat="false" ht="15" hidden="false" customHeight="false" outlineLevel="0" collapsed="false">
      <c r="E95" s="46" t="s">
        <v>203</v>
      </c>
      <c r="F95" s="46" t="s">
        <v>91</v>
      </c>
      <c r="G95" s="46" t="s">
        <v>265</v>
      </c>
      <c r="H95" s="74" t="n">
        <v>55</v>
      </c>
      <c r="I95" s="75" t="n">
        <f aca="false">INDEX($C$5:$C$26,MATCH(G95,$A$5:$A$26,0))</f>
        <v>206.535</v>
      </c>
      <c r="J95" s="57" t="n">
        <f aca="false">H95*I95</f>
        <v>11359.425</v>
      </c>
    </row>
    <row r="96" customFormat="false" ht="15" hidden="false" customHeight="false" outlineLevel="0" collapsed="false">
      <c r="E96" s="46" t="s">
        <v>203</v>
      </c>
      <c r="F96" s="46" t="s">
        <v>93</v>
      </c>
      <c r="G96" s="46" t="s">
        <v>259</v>
      </c>
      <c r="H96" s="74" t="n">
        <v>85</v>
      </c>
      <c r="I96" s="75" t="n">
        <f aca="false">INDEX($C$5:$C$26,MATCH(G96,$A$5:$A$26,0))</f>
        <v>256.515</v>
      </c>
      <c r="J96" s="57" t="n">
        <f aca="false">H96*I96</f>
        <v>21803.775</v>
      </c>
    </row>
    <row r="97" customFormat="false" ht="15" hidden="false" customHeight="false" outlineLevel="0" collapsed="false">
      <c r="E97" s="46" t="s">
        <v>203</v>
      </c>
      <c r="F97" s="46" t="s">
        <v>93</v>
      </c>
      <c r="G97" s="46" t="s">
        <v>261</v>
      </c>
      <c r="H97" s="74" t="n">
        <v>235</v>
      </c>
      <c r="I97" s="75" t="n">
        <f aca="false">INDEX($C$5:$C$26,MATCH(G97,$A$5:$A$26,0))</f>
        <v>236.67</v>
      </c>
      <c r="J97" s="57" t="n">
        <f aca="false">H97*I97</f>
        <v>55617.45</v>
      </c>
    </row>
    <row r="98" customFormat="false" ht="15" hidden="false" customHeight="false" outlineLevel="0" collapsed="false">
      <c r="E98" s="46" t="s">
        <v>203</v>
      </c>
      <c r="F98" s="46" t="s">
        <v>93</v>
      </c>
      <c r="G98" s="46" t="s">
        <v>263</v>
      </c>
      <c r="H98" s="74" t="n">
        <v>265</v>
      </c>
      <c r="I98" s="75" t="n">
        <f aca="false">INDEX($C$5:$C$26,MATCH(G98,$A$5:$A$26,0))</f>
        <v>224.175</v>
      </c>
      <c r="J98" s="57" t="n">
        <f aca="false">H98*I98</f>
        <v>59406.375</v>
      </c>
    </row>
    <row r="99" customFormat="false" ht="15" hidden="false" customHeight="false" outlineLevel="0" collapsed="false">
      <c r="E99" s="46" t="s">
        <v>203</v>
      </c>
      <c r="F99" s="46" t="s">
        <v>93</v>
      </c>
      <c r="G99" s="46" t="s">
        <v>265</v>
      </c>
      <c r="H99" s="74" t="n">
        <v>85</v>
      </c>
      <c r="I99" s="75" t="n">
        <f aca="false">INDEX($C$5:$C$26,MATCH(G99,$A$5:$A$26,0))</f>
        <v>206.535</v>
      </c>
      <c r="J99" s="57" t="n">
        <f aca="false">H99*I99</f>
        <v>17555.475</v>
      </c>
    </row>
    <row r="100" customFormat="false" ht="15" hidden="false" customHeight="false" outlineLevel="0" collapsed="false">
      <c r="E100" s="46" t="s">
        <v>205</v>
      </c>
      <c r="F100" s="46" t="s">
        <v>89</v>
      </c>
      <c r="G100" s="46" t="s">
        <v>259</v>
      </c>
      <c r="H100" s="74" t="n">
        <v>40</v>
      </c>
      <c r="I100" s="75" t="n">
        <f aca="false">INDEX($C$5:$C$26,MATCH(G100,$A$5:$A$26,0))</f>
        <v>256.515</v>
      </c>
      <c r="J100" s="57" t="n">
        <f aca="false">H100*I100</f>
        <v>10260.6</v>
      </c>
    </row>
    <row r="101" customFormat="false" ht="15" hidden="false" customHeight="false" outlineLevel="0" collapsed="false">
      <c r="E101" s="46" t="s">
        <v>205</v>
      </c>
      <c r="F101" s="46" t="s">
        <v>89</v>
      </c>
      <c r="G101" s="46" t="s">
        <v>261</v>
      </c>
      <c r="H101" s="74" t="n">
        <v>95</v>
      </c>
      <c r="I101" s="75" t="n">
        <f aca="false">INDEX($C$5:$C$26,MATCH(G101,$A$5:$A$26,0))</f>
        <v>236.67</v>
      </c>
      <c r="J101" s="57" t="n">
        <f aca="false">H101*I101</f>
        <v>22483.65</v>
      </c>
    </row>
    <row r="102" customFormat="false" ht="15" hidden="false" customHeight="false" outlineLevel="0" collapsed="false">
      <c r="E102" s="46" t="s">
        <v>205</v>
      </c>
      <c r="F102" s="46" t="s">
        <v>89</v>
      </c>
      <c r="G102" s="46" t="s">
        <v>263</v>
      </c>
      <c r="H102" s="74" t="n">
        <v>100</v>
      </c>
      <c r="I102" s="75" t="n">
        <f aca="false">INDEX($C$5:$C$26,MATCH(G102,$A$5:$A$26,0))</f>
        <v>224.175</v>
      </c>
      <c r="J102" s="57" t="n">
        <f aca="false">H102*I102</f>
        <v>22417.5</v>
      </c>
    </row>
    <row r="103" customFormat="false" ht="15" hidden="false" customHeight="false" outlineLevel="0" collapsed="false">
      <c r="E103" s="46" t="s">
        <v>205</v>
      </c>
      <c r="F103" s="46" t="s">
        <v>89</v>
      </c>
      <c r="G103" s="46" t="s">
        <v>265</v>
      </c>
      <c r="H103" s="74" t="n">
        <v>45</v>
      </c>
      <c r="I103" s="75" t="n">
        <f aca="false">INDEX($C$5:$C$26,MATCH(G103,$A$5:$A$26,0))</f>
        <v>206.535</v>
      </c>
      <c r="J103" s="57" t="n">
        <f aca="false">H103*I103</f>
        <v>9294.075</v>
      </c>
    </row>
    <row r="104" customFormat="false" ht="15" hidden="false" customHeight="false" outlineLevel="0" collapsed="false">
      <c r="E104" s="46" t="s">
        <v>205</v>
      </c>
      <c r="F104" s="46" t="s">
        <v>91</v>
      </c>
      <c r="G104" s="46" t="s">
        <v>259</v>
      </c>
      <c r="H104" s="74" t="n">
        <v>55</v>
      </c>
      <c r="I104" s="75" t="n">
        <f aca="false">INDEX($C$5:$C$26,MATCH(G104,$A$5:$A$26,0))</f>
        <v>256.515</v>
      </c>
      <c r="J104" s="57" t="n">
        <f aca="false">H104*I104</f>
        <v>14108.325</v>
      </c>
    </row>
    <row r="105" customFormat="false" ht="15" hidden="false" customHeight="false" outlineLevel="0" collapsed="false">
      <c r="E105" s="46" t="s">
        <v>205</v>
      </c>
      <c r="F105" s="46" t="s">
        <v>91</v>
      </c>
      <c r="G105" s="46" t="s">
        <v>261</v>
      </c>
      <c r="H105" s="74" t="n">
        <v>160</v>
      </c>
      <c r="I105" s="75" t="n">
        <f aca="false">INDEX($C$5:$C$26,MATCH(G105,$A$5:$A$26,0))</f>
        <v>236.67</v>
      </c>
      <c r="J105" s="57" t="n">
        <f aca="false">H105*I105</f>
        <v>37867.2</v>
      </c>
    </row>
    <row r="106" customFormat="false" ht="15" hidden="false" customHeight="false" outlineLevel="0" collapsed="false">
      <c r="E106" s="46" t="s">
        <v>205</v>
      </c>
      <c r="F106" s="46" t="s">
        <v>91</v>
      </c>
      <c r="G106" s="46" t="s">
        <v>263</v>
      </c>
      <c r="H106" s="74" t="n">
        <v>200</v>
      </c>
      <c r="I106" s="75" t="n">
        <f aca="false">INDEX($C$5:$C$26,MATCH(G106,$A$5:$A$26,0))</f>
        <v>224.175</v>
      </c>
      <c r="J106" s="57" t="n">
        <f aca="false">H106*I106</f>
        <v>44835</v>
      </c>
    </row>
    <row r="107" customFormat="false" ht="15" hidden="false" customHeight="false" outlineLevel="0" collapsed="false">
      <c r="E107" s="46" t="s">
        <v>205</v>
      </c>
      <c r="F107" s="46" t="s">
        <v>91</v>
      </c>
      <c r="G107" s="46" t="s">
        <v>265</v>
      </c>
      <c r="H107" s="74" t="n">
        <v>75</v>
      </c>
      <c r="I107" s="75" t="n">
        <f aca="false">INDEX($C$5:$C$26,MATCH(G107,$A$5:$A$26,0))</f>
        <v>206.535</v>
      </c>
      <c r="J107" s="57" t="n">
        <f aca="false">H107*I107</f>
        <v>15490.125</v>
      </c>
    </row>
    <row r="108" customFormat="false" ht="15" hidden="false" customHeight="false" outlineLevel="0" collapsed="false">
      <c r="E108" s="46" t="s">
        <v>205</v>
      </c>
      <c r="F108" s="46" t="s">
        <v>93</v>
      </c>
      <c r="G108" s="46" t="s">
        <v>259</v>
      </c>
      <c r="H108" s="74" t="n">
        <v>85</v>
      </c>
      <c r="I108" s="75" t="n">
        <f aca="false">INDEX($C$5:$C$26,MATCH(G108,$A$5:$A$26,0))</f>
        <v>256.515</v>
      </c>
      <c r="J108" s="57" t="n">
        <f aca="false">H108*I108</f>
        <v>21803.775</v>
      </c>
    </row>
    <row r="109" customFormat="false" ht="15" hidden="false" customHeight="false" outlineLevel="0" collapsed="false">
      <c r="E109" s="46" t="s">
        <v>205</v>
      </c>
      <c r="F109" s="46" t="s">
        <v>93</v>
      </c>
      <c r="G109" s="46" t="s">
        <v>261</v>
      </c>
      <c r="H109" s="74" t="n">
        <v>210</v>
      </c>
      <c r="I109" s="75" t="n">
        <f aca="false">INDEX($C$5:$C$26,MATCH(G109,$A$5:$A$26,0))</f>
        <v>236.67</v>
      </c>
      <c r="J109" s="57" t="n">
        <f aca="false">H109*I109</f>
        <v>49700.7</v>
      </c>
    </row>
    <row r="110" customFormat="false" ht="15" hidden="false" customHeight="false" outlineLevel="0" collapsed="false">
      <c r="E110" s="46" t="s">
        <v>205</v>
      </c>
      <c r="F110" s="46" t="s">
        <v>93</v>
      </c>
      <c r="G110" s="46" t="s">
        <v>263</v>
      </c>
      <c r="H110" s="74" t="n">
        <v>295</v>
      </c>
      <c r="I110" s="75" t="n">
        <f aca="false">INDEX($C$5:$C$26,MATCH(G110,$A$5:$A$26,0))</f>
        <v>224.175</v>
      </c>
      <c r="J110" s="57" t="n">
        <f aca="false">H110*I110</f>
        <v>66131.625</v>
      </c>
    </row>
    <row r="111" customFormat="false" ht="15" hidden="false" customHeight="false" outlineLevel="0" collapsed="false">
      <c r="E111" s="46" t="s">
        <v>205</v>
      </c>
      <c r="F111" s="46" t="s">
        <v>93</v>
      </c>
      <c r="G111" s="46" t="s">
        <v>265</v>
      </c>
      <c r="H111" s="74" t="n">
        <v>105</v>
      </c>
      <c r="I111" s="75" t="n">
        <f aca="false">INDEX($C$5:$C$26,MATCH(G111,$A$5:$A$26,0))</f>
        <v>206.535</v>
      </c>
      <c r="J111" s="57" t="n">
        <f aca="false">H111*I111</f>
        <v>21686.175</v>
      </c>
    </row>
    <row r="112" customFormat="false" ht="15" hidden="false" customHeight="false" outlineLevel="0" collapsed="false">
      <c r="E112" s="46" t="s">
        <v>207</v>
      </c>
      <c r="F112" s="46" t="s">
        <v>93</v>
      </c>
      <c r="G112" s="46" t="s">
        <v>259</v>
      </c>
      <c r="H112" s="74" t="n">
        <v>65</v>
      </c>
      <c r="I112" s="75" t="n">
        <f aca="false">INDEX($C$5:$C$26,MATCH(G112,$A$5:$A$26,0))</f>
        <v>256.515</v>
      </c>
      <c r="J112" s="57" t="n">
        <f aca="false">H112*I112</f>
        <v>16673.475</v>
      </c>
    </row>
    <row r="113" customFormat="false" ht="15" hidden="false" customHeight="false" outlineLevel="0" collapsed="false">
      <c r="E113" s="46" t="s">
        <v>207</v>
      </c>
      <c r="F113" s="46" t="s">
        <v>93</v>
      </c>
      <c r="G113" s="46" t="s">
        <v>261</v>
      </c>
      <c r="H113" s="74" t="n">
        <v>235</v>
      </c>
      <c r="I113" s="75" t="n">
        <f aca="false">INDEX($C$5:$C$26,MATCH(G113,$A$5:$A$26,0))</f>
        <v>236.67</v>
      </c>
      <c r="J113" s="57" t="n">
        <f aca="false">H113*I113</f>
        <v>55617.45</v>
      </c>
    </row>
    <row r="114" customFormat="false" ht="15" hidden="false" customHeight="false" outlineLevel="0" collapsed="false">
      <c r="E114" s="46" t="s">
        <v>207</v>
      </c>
      <c r="F114" s="46" t="s">
        <v>93</v>
      </c>
      <c r="G114" s="46" t="s">
        <v>263</v>
      </c>
      <c r="H114" s="74" t="n">
        <v>280</v>
      </c>
      <c r="I114" s="75" t="n">
        <f aca="false">INDEX($C$5:$C$26,MATCH(G114,$A$5:$A$26,0))</f>
        <v>224.175</v>
      </c>
      <c r="J114" s="57" t="n">
        <f aca="false">H114*I114</f>
        <v>62769</v>
      </c>
    </row>
    <row r="115" customFormat="false" ht="15" hidden="false" customHeight="false" outlineLevel="0" collapsed="false">
      <c r="E115" s="46" t="s">
        <v>207</v>
      </c>
      <c r="F115" s="46" t="s">
        <v>93</v>
      </c>
      <c r="G115" s="46" t="s">
        <v>265</v>
      </c>
      <c r="H115" s="74" t="n">
        <v>85</v>
      </c>
      <c r="I115" s="75" t="n">
        <f aca="false">INDEX($C$5:$C$26,MATCH(G115,$A$5:$A$26,0))</f>
        <v>206.535</v>
      </c>
      <c r="J115" s="57" t="n">
        <f aca="false">H115*I115</f>
        <v>17555.475</v>
      </c>
    </row>
    <row r="116" customFormat="false" ht="15" hidden="false" customHeight="false" outlineLevel="0" collapsed="false">
      <c r="E116" s="46" t="s">
        <v>209</v>
      </c>
      <c r="F116" s="46" t="s">
        <v>89</v>
      </c>
      <c r="G116" s="46" t="s">
        <v>259</v>
      </c>
      <c r="H116" s="74" t="n">
        <v>45</v>
      </c>
      <c r="I116" s="75" t="n">
        <f aca="false">INDEX($C$5:$C$26,MATCH(G116,$A$5:$A$26,0))</f>
        <v>256.515</v>
      </c>
      <c r="J116" s="57" t="n">
        <f aca="false">H116*I116</f>
        <v>11543.175</v>
      </c>
    </row>
    <row r="117" customFormat="false" ht="15" hidden="false" customHeight="false" outlineLevel="0" collapsed="false">
      <c r="E117" s="46" t="s">
        <v>209</v>
      </c>
      <c r="F117" s="46" t="s">
        <v>89</v>
      </c>
      <c r="G117" s="46" t="s">
        <v>261</v>
      </c>
      <c r="H117" s="74" t="n">
        <v>95</v>
      </c>
      <c r="I117" s="75" t="n">
        <f aca="false">INDEX($C$5:$C$26,MATCH(G117,$A$5:$A$26,0))</f>
        <v>236.67</v>
      </c>
      <c r="J117" s="57" t="n">
        <f aca="false">H117*I117</f>
        <v>22483.65</v>
      </c>
    </row>
    <row r="118" customFormat="false" ht="15" hidden="false" customHeight="false" outlineLevel="0" collapsed="false">
      <c r="E118" s="46" t="s">
        <v>209</v>
      </c>
      <c r="F118" s="46" t="s">
        <v>89</v>
      </c>
      <c r="G118" s="46" t="s">
        <v>263</v>
      </c>
      <c r="H118" s="74" t="n">
        <v>95</v>
      </c>
      <c r="I118" s="75" t="n">
        <f aca="false">INDEX($C$5:$C$26,MATCH(G118,$A$5:$A$26,0))</f>
        <v>224.175</v>
      </c>
      <c r="J118" s="57" t="n">
        <f aca="false">H118*I118</f>
        <v>21296.625</v>
      </c>
    </row>
    <row r="119" customFormat="false" ht="15" hidden="false" customHeight="false" outlineLevel="0" collapsed="false">
      <c r="E119" s="46" t="s">
        <v>209</v>
      </c>
      <c r="F119" s="46" t="s">
        <v>89</v>
      </c>
      <c r="G119" s="46" t="s">
        <v>265</v>
      </c>
      <c r="H119" s="74" t="n">
        <v>35</v>
      </c>
      <c r="I119" s="75" t="n">
        <f aca="false">INDEX($C$5:$C$26,MATCH(G119,$A$5:$A$26,0))</f>
        <v>206.535</v>
      </c>
      <c r="J119" s="57" t="n">
        <f aca="false">H119*I119</f>
        <v>7228.725</v>
      </c>
    </row>
    <row r="120" customFormat="false" ht="15" hidden="false" customHeight="false" outlineLevel="0" collapsed="false">
      <c r="E120" s="46" t="s">
        <v>209</v>
      </c>
      <c r="F120" s="46" t="s">
        <v>91</v>
      </c>
      <c r="G120" s="46" t="s">
        <v>259</v>
      </c>
      <c r="H120" s="74" t="n">
        <v>75</v>
      </c>
      <c r="I120" s="75" t="n">
        <f aca="false">INDEX($C$5:$C$26,MATCH(G120,$A$5:$A$26,0))</f>
        <v>256.515</v>
      </c>
      <c r="J120" s="57" t="n">
        <f aca="false">H120*I120</f>
        <v>19238.625</v>
      </c>
    </row>
    <row r="121" customFormat="false" ht="15" hidden="false" customHeight="false" outlineLevel="0" collapsed="false">
      <c r="E121" s="46" t="s">
        <v>209</v>
      </c>
      <c r="F121" s="46" t="s">
        <v>91</v>
      </c>
      <c r="G121" s="46" t="s">
        <v>261</v>
      </c>
      <c r="H121" s="74" t="n">
        <v>170</v>
      </c>
      <c r="I121" s="75" t="n">
        <f aca="false">INDEX($C$5:$C$26,MATCH(G121,$A$5:$A$26,0))</f>
        <v>236.67</v>
      </c>
      <c r="J121" s="57" t="n">
        <f aca="false">H121*I121</f>
        <v>40233.9</v>
      </c>
    </row>
    <row r="122" customFormat="false" ht="15" hidden="false" customHeight="false" outlineLevel="0" collapsed="false">
      <c r="E122" s="46" t="s">
        <v>209</v>
      </c>
      <c r="F122" s="46" t="s">
        <v>91</v>
      </c>
      <c r="G122" s="46" t="s">
        <v>263</v>
      </c>
      <c r="H122" s="74" t="n">
        <v>170</v>
      </c>
      <c r="I122" s="75" t="n">
        <f aca="false">INDEX($C$5:$C$26,MATCH(G122,$A$5:$A$26,0))</f>
        <v>224.175</v>
      </c>
      <c r="J122" s="57" t="n">
        <f aca="false">H122*I122</f>
        <v>38109.75</v>
      </c>
    </row>
    <row r="123" customFormat="false" ht="15" hidden="false" customHeight="false" outlineLevel="0" collapsed="false">
      <c r="E123" s="46" t="s">
        <v>209</v>
      </c>
      <c r="F123" s="46" t="s">
        <v>91</v>
      </c>
      <c r="G123" s="46" t="s">
        <v>265</v>
      </c>
      <c r="H123" s="74" t="n">
        <v>55</v>
      </c>
      <c r="I123" s="75" t="n">
        <f aca="false">INDEX($C$5:$C$26,MATCH(G123,$A$5:$A$26,0))</f>
        <v>206.535</v>
      </c>
      <c r="J123" s="57" t="n">
        <f aca="false">H123*I123</f>
        <v>11359.425</v>
      </c>
    </row>
    <row r="124" customFormat="false" ht="15" hidden="false" customHeight="false" outlineLevel="0" collapsed="false">
      <c r="E124" s="46" t="s">
        <v>209</v>
      </c>
      <c r="F124" s="46" t="s">
        <v>93</v>
      </c>
      <c r="G124" s="46" t="s">
        <v>259</v>
      </c>
      <c r="H124" s="74" t="n">
        <v>120</v>
      </c>
      <c r="I124" s="75" t="n">
        <f aca="false">INDEX($C$5:$C$26,MATCH(G124,$A$5:$A$26,0))</f>
        <v>256.515</v>
      </c>
      <c r="J124" s="57" t="n">
        <f aca="false">H124*I124</f>
        <v>30781.8</v>
      </c>
    </row>
    <row r="125" customFormat="false" ht="15" hidden="false" customHeight="false" outlineLevel="0" collapsed="false">
      <c r="E125" s="46" t="s">
        <v>209</v>
      </c>
      <c r="F125" s="46" t="s">
        <v>93</v>
      </c>
      <c r="G125" s="46" t="s">
        <v>261</v>
      </c>
      <c r="H125" s="74" t="n">
        <v>265</v>
      </c>
      <c r="I125" s="75" t="n">
        <f aca="false">INDEX($C$5:$C$26,MATCH(G125,$A$5:$A$26,0))</f>
        <v>236.67</v>
      </c>
      <c r="J125" s="57" t="n">
        <f aca="false">H125*I125</f>
        <v>62717.55</v>
      </c>
    </row>
    <row r="126" customFormat="false" ht="15" hidden="false" customHeight="false" outlineLevel="0" collapsed="false">
      <c r="E126" s="46" t="s">
        <v>209</v>
      </c>
      <c r="F126" s="46" t="s">
        <v>93</v>
      </c>
      <c r="G126" s="46" t="s">
        <v>263</v>
      </c>
      <c r="H126" s="74" t="n">
        <v>265</v>
      </c>
      <c r="I126" s="75" t="n">
        <f aca="false">INDEX($C$5:$C$26,MATCH(G126,$A$5:$A$26,0))</f>
        <v>224.175</v>
      </c>
      <c r="J126" s="57" t="n">
        <f aca="false">H126*I126</f>
        <v>59406.375</v>
      </c>
    </row>
    <row r="127" customFormat="false" ht="15" hidden="false" customHeight="false" outlineLevel="0" collapsed="false">
      <c r="E127" s="46" t="s">
        <v>209</v>
      </c>
      <c r="F127" s="46" t="s">
        <v>93</v>
      </c>
      <c r="G127" s="46" t="s">
        <v>265</v>
      </c>
      <c r="H127" s="74" t="n">
        <v>85</v>
      </c>
      <c r="I127" s="75" t="n">
        <f aca="false">INDEX($C$5:$C$26,MATCH(G127,$A$5:$A$26,0))</f>
        <v>206.535</v>
      </c>
      <c r="J127" s="57" t="n">
        <f aca="false">H127*I127</f>
        <v>17555.475</v>
      </c>
    </row>
    <row r="128" customFormat="false" ht="15" hidden="false" customHeight="false" outlineLevel="0" collapsed="false">
      <c r="E128" s="46" t="s">
        <v>209</v>
      </c>
      <c r="F128" s="46" t="s">
        <v>95</v>
      </c>
      <c r="G128" s="46" t="s">
        <v>259</v>
      </c>
      <c r="H128" s="74" t="n">
        <v>45</v>
      </c>
      <c r="I128" s="75" t="n">
        <f aca="false">INDEX($C$5:$C$26,MATCH(G128,$A$5:$A$26,0))</f>
        <v>256.515</v>
      </c>
      <c r="J128" s="57" t="n">
        <f aca="false">H128*I128</f>
        <v>11543.175</v>
      </c>
    </row>
    <row r="129" customFormat="false" ht="15" hidden="false" customHeight="false" outlineLevel="0" collapsed="false">
      <c r="E129" s="46" t="s">
        <v>209</v>
      </c>
      <c r="F129" s="46" t="s">
        <v>95</v>
      </c>
      <c r="G129" s="46" t="s">
        <v>261</v>
      </c>
      <c r="H129" s="74" t="n">
        <v>85</v>
      </c>
      <c r="I129" s="75" t="n">
        <f aca="false">INDEX($C$5:$C$26,MATCH(G129,$A$5:$A$26,0))</f>
        <v>236.67</v>
      </c>
      <c r="J129" s="57" t="n">
        <f aca="false">H129*I129</f>
        <v>20116.95</v>
      </c>
    </row>
    <row r="130" customFormat="false" ht="15" hidden="false" customHeight="false" outlineLevel="0" collapsed="false">
      <c r="E130" s="46" t="s">
        <v>209</v>
      </c>
      <c r="F130" s="46" t="s">
        <v>95</v>
      </c>
      <c r="G130" s="46" t="s">
        <v>263</v>
      </c>
      <c r="H130" s="74" t="n">
        <v>75</v>
      </c>
      <c r="I130" s="75" t="n">
        <f aca="false">INDEX($C$5:$C$26,MATCH(G130,$A$5:$A$26,0))</f>
        <v>224.175</v>
      </c>
      <c r="J130" s="57" t="n">
        <f aca="false">H130*I130</f>
        <v>16813.125</v>
      </c>
    </row>
    <row r="131" customFormat="false" ht="15" hidden="false" customHeight="false" outlineLevel="0" collapsed="false">
      <c r="E131" s="46" t="s">
        <v>209</v>
      </c>
      <c r="F131" s="46" t="s">
        <v>95</v>
      </c>
      <c r="G131" s="46" t="s">
        <v>265</v>
      </c>
      <c r="H131" s="74" t="n">
        <v>35</v>
      </c>
      <c r="I131" s="75" t="n">
        <f aca="false">INDEX($C$5:$C$26,MATCH(G131,$A$5:$A$26,0))</f>
        <v>206.535</v>
      </c>
      <c r="J131" s="57" t="n">
        <f aca="false">H131*I131</f>
        <v>7228.725</v>
      </c>
    </row>
    <row r="132" customFormat="false" ht="15" hidden="false" customHeight="false" outlineLevel="0" collapsed="false">
      <c r="E132" s="46" t="s">
        <v>209</v>
      </c>
      <c r="F132" s="46" t="s">
        <v>97</v>
      </c>
      <c r="G132" s="46" t="s">
        <v>259</v>
      </c>
      <c r="H132" s="74" t="n">
        <v>40</v>
      </c>
      <c r="I132" s="75" t="n">
        <f aca="false">INDEX($C$5:$C$26,MATCH(G132,$A$5:$A$26,0))</f>
        <v>256.515</v>
      </c>
      <c r="J132" s="57" t="n">
        <f aca="false">H132*I132</f>
        <v>10260.6</v>
      </c>
    </row>
    <row r="133" customFormat="false" ht="15" hidden="false" customHeight="false" outlineLevel="0" collapsed="false">
      <c r="E133" s="46" t="s">
        <v>209</v>
      </c>
      <c r="F133" s="46" t="s">
        <v>97</v>
      </c>
      <c r="G133" s="46" t="s">
        <v>261</v>
      </c>
      <c r="H133" s="74" t="n">
        <v>75</v>
      </c>
      <c r="I133" s="75" t="n">
        <f aca="false">INDEX($C$5:$C$26,MATCH(G133,$A$5:$A$26,0))</f>
        <v>236.67</v>
      </c>
      <c r="J133" s="57" t="n">
        <f aca="false">H133*I133</f>
        <v>17750.25</v>
      </c>
    </row>
    <row r="134" customFormat="false" ht="15" hidden="false" customHeight="false" outlineLevel="0" collapsed="false">
      <c r="E134" s="46" t="s">
        <v>209</v>
      </c>
      <c r="F134" s="46" t="s">
        <v>97</v>
      </c>
      <c r="G134" s="46" t="s">
        <v>263</v>
      </c>
      <c r="H134" s="74" t="n">
        <v>65</v>
      </c>
      <c r="I134" s="75" t="n">
        <f aca="false">INDEX($C$5:$C$26,MATCH(G134,$A$5:$A$26,0))</f>
        <v>224.175</v>
      </c>
      <c r="J134" s="57" t="n">
        <f aca="false">H134*I134</f>
        <v>14571.375</v>
      </c>
    </row>
    <row r="135" customFormat="false" ht="15" hidden="false" customHeight="false" outlineLevel="0" collapsed="false">
      <c r="E135" s="46" t="s">
        <v>209</v>
      </c>
      <c r="F135" s="46" t="s">
        <v>97</v>
      </c>
      <c r="G135" s="46" t="s">
        <v>265</v>
      </c>
      <c r="H135" s="74" t="n">
        <v>35</v>
      </c>
      <c r="I135" s="75" t="n">
        <f aca="false">INDEX($C$5:$C$26,MATCH(G135,$A$5:$A$26,0))</f>
        <v>206.535</v>
      </c>
      <c r="J135" s="57" t="n">
        <f aca="false">H135*I135</f>
        <v>7228.725</v>
      </c>
    </row>
    <row r="136" customFormat="false" ht="15" hidden="false" customHeight="false" outlineLevel="0" collapsed="false">
      <c r="E136" s="46" t="s">
        <v>209</v>
      </c>
      <c r="F136" s="46" t="s">
        <v>99</v>
      </c>
      <c r="G136" s="46" t="s">
        <v>259</v>
      </c>
      <c r="H136" s="74" t="n">
        <v>30</v>
      </c>
      <c r="I136" s="75" t="n">
        <f aca="false">INDEX($C$5:$C$26,MATCH(G136,$A$5:$A$26,0))</f>
        <v>256.515</v>
      </c>
      <c r="J136" s="57" t="n">
        <f aca="false">H136*I136</f>
        <v>7695.45</v>
      </c>
    </row>
    <row r="137" customFormat="false" ht="15" hidden="false" customHeight="false" outlineLevel="0" collapsed="false">
      <c r="E137" s="46" t="s">
        <v>209</v>
      </c>
      <c r="F137" s="46" t="s">
        <v>99</v>
      </c>
      <c r="G137" s="46" t="s">
        <v>261</v>
      </c>
      <c r="H137" s="74" t="n">
        <v>40</v>
      </c>
      <c r="I137" s="75" t="n">
        <f aca="false">INDEX($C$5:$C$26,MATCH(G137,$A$5:$A$26,0))</f>
        <v>236.67</v>
      </c>
      <c r="J137" s="57" t="n">
        <f aca="false">H137*I137</f>
        <v>9466.8</v>
      </c>
    </row>
    <row r="138" customFormat="false" ht="15" hidden="false" customHeight="false" outlineLevel="0" collapsed="false">
      <c r="E138" s="46" t="s">
        <v>209</v>
      </c>
      <c r="F138" s="46" t="s">
        <v>99</v>
      </c>
      <c r="G138" s="46" t="s">
        <v>263</v>
      </c>
      <c r="H138" s="74" t="n">
        <v>40</v>
      </c>
      <c r="I138" s="75" t="n">
        <f aca="false">INDEX($C$5:$C$26,MATCH(G138,$A$5:$A$26,0))</f>
        <v>224.175</v>
      </c>
      <c r="J138" s="57" t="n">
        <f aca="false">H138*I138</f>
        <v>8967</v>
      </c>
    </row>
    <row r="139" customFormat="false" ht="15" hidden="false" customHeight="false" outlineLevel="0" collapsed="false">
      <c r="E139" s="46" t="s">
        <v>209</v>
      </c>
      <c r="F139" s="46" t="s">
        <v>99</v>
      </c>
      <c r="G139" s="46" t="s">
        <v>265</v>
      </c>
      <c r="H139" s="74" t="n">
        <v>30</v>
      </c>
      <c r="I139" s="75" t="n">
        <f aca="false">INDEX($C$5:$C$26,MATCH(G139,$A$5:$A$26,0))</f>
        <v>206.535</v>
      </c>
      <c r="J139" s="57" t="n">
        <f aca="false">H139*I139</f>
        <v>6196.05</v>
      </c>
    </row>
    <row r="140" customFormat="false" ht="15" hidden="false" customHeight="false" outlineLevel="0" collapsed="false">
      <c r="E140" s="46" t="s">
        <v>212</v>
      </c>
      <c r="F140" s="46" t="s">
        <v>89</v>
      </c>
      <c r="G140" s="46" t="s">
        <v>261</v>
      </c>
      <c r="H140" s="74" t="n">
        <v>65</v>
      </c>
      <c r="I140" s="75" t="n">
        <f aca="false">INDEX($C$5:$C$26,MATCH(G140,$A$5:$A$26,0))</f>
        <v>236.67</v>
      </c>
      <c r="J140" s="57" t="n">
        <f aca="false">H140*I140</f>
        <v>15383.55</v>
      </c>
    </row>
    <row r="141" customFormat="false" ht="15" hidden="false" customHeight="false" outlineLevel="0" collapsed="false">
      <c r="E141" s="46" t="s">
        <v>212</v>
      </c>
      <c r="F141" s="46" t="s">
        <v>89</v>
      </c>
      <c r="G141" s="46" t="s">
        <v>263</v>
      </c>
      <c r="H141" s="74" t="n">
        <v>65</v>
      </c>
      <c r="I141" s="75" t="n">
        <f aca="false">INDEX($C$5:$C$26,MATCH(G141,$A$5:$A$26,0))</f>
        <v>224.175</v>
      </c>
      <c r="J141" s="57" t="n">
        <f aca="false">H141*I141</f>
        <v>14571.375</v>
      </c>
    </row>
    <row r="142" customFormat="false" ht="15" hidden="false" customHeight="false" outlineLevel="0" collapsed="false">
      <c r="E142" s="46" t="s">
        <v>212</v>
      </c>
      <c r="F142" s="46" t="s">
        <v>89</v>
      </c>
      <c r="G142" s="46" t="s">
        <v>265</v>
      </c>
      <c r="H142" s="74" t="n">
        <v>35</v>
      </c>
      <c r="I142" s="75" t="n">
        <f aca="false">INDEX($C$5:$C$26,MATCH(G142,$A$5:$A$26,0))</f>
        <v>206.535</v>
      </c>
      <c r="J142" s="57" t="n">
        <f aca="false">H142*I142</f>
        <v>7228.725</v>
      </c>
    </row>
    <row r="143" customFormat="false" ht="15" hidden="false" customHeight="false" outlineLevel="0" collapsed="false">
      <c r="E143" s="46" t="s">
        <v>212</v>
      </c>
      <c r="F143" s="46" t="s">
        <v>91</v>
      </c>
      <c r="G143" s="46" t="s">
        <v>261</v>
      </c>
      <c r="H143" s="74" t="n">
        <v>150</v>
      </c>
      <c r="I143" s="75" t="n">
        <f aca="false">INDEX($C$5:$C$26,MATCH(G143,$A$5:$A$26,0))</f>
        <v>236.67</v>
      </c>
      <c r="J143" s="57" t="n">
        <f aca="false">H143*I143</f>
        <v>35500.5</v>
      </c>
    </row>
    <row r="144" customFormat="false" ht="15" hidden="false" customHeight="false" outlineLevel="0" collapsed="false">
      <c r="E144" s="46" t="s">
        <v>212</v>
      </c>
      <c r="F144" s="46" t="s">
        <v>91</v>
      </c>
      <c r="G144" s="46" t="s">
        <v>263</v>
      </c>
      <c r="H144" s="74" t="n">
        <v>170</v>
      </c>
      <c r="I144" s="75" t="n">
        <f aca="false">INDEX($C$5:$C$26,MATCH(G144,$A$5:$A$26,0))</f>
        <v>224.175</v>
      </c>
      <c r="J144" s="57" t="n">
        <f aca="false">H144*I144</f>
        <v>38109.75</v>
      </c>
    </row>
    <row r="145" customFormat="false" ht="15" hidden="false" customHeight="false" outlineLevel="0" collapsed="false">
      <c r="E145" s="46" t="s">
        <v>212</v>
      </c>
      <c r="F145" s="46" t="s">
        <v>91</v>
      </c>
      <c r="G145" s="46" t="s">
        <v>265</v>
      </c>
      <c r="H145" s="74" t="n">
        <v>75</v>
      </c>
      <c r="I145" s="75" t="n">
        <f aca="false">INDEX($C$5:$C$26,MATCH(G145,$A$5:$A$26,0))</f>
        <v>206.535</v>
      </c>
      <c r="J145" s="57" t="n">
        <f aca="false">H145*I145</f>
        <v>15490.125</v>
      </c>
    </row>
    <row r="146" customFormat="false" ht="15" hidden="false" customHeight="false" outlineLevel="0" collapsed="false">
      <c r="E146" s="46" t="s">
        <v>212</v>
      </c>
      <c r="F146" s="46" t="s">
        <v>93</v>
      </c>
      <c r="G146" s="46" t="s">
        <v>261</v>
      </c>
      <c r="H146" s="74" t="n">
        <v>235</v>
      </c>
      <c r="I146" s="75" t="n">
        <f aca="false">INDEX($C$5:$C$26,MATCH(G146,$A$5:$A$26,0))</f>
        <v>236.67</v>
      </c>
      <c r="J146" s="57" t="n">
        <f aca="false">H146*I146</f>
        <v>55617.45</v>
      </c>
    </row>
    <row r="147" customFormat="false" ht="15" hidden="false" customHeight="false" outlineLevel="0" collapsed="false">
      <c r="E147" s="46" t="s">
        <v>212</v>
      </c>
      <c r="F147" s="46" t="s">
        <v>93</v>
      </c>
      <c r="G147" s="46" t="s">
        <v>263</v>
      </c>
      <c r="H147" s="74" t="n">
        <v>235</v>
      </c>
      <c r="I147" s="75" t="n">
        <f aca="false">INDEX($C$5:$C$26,MATCH(G147,$A$5:$A$26,0))</f>
        <v>224.175</v>
      </c>
      <c r="J147" s="57" t="n">
        <f aca="false">H147*I147</f>
        <v>52681.125</v>
      </c>
    </row>
    <row r="148" customFormat="false" ht="15" hidden="false" customHeight="false" outlineLevel="0" collapsed="false">
      <c r="E148" s="46" t="s">
        <v>212</v>
      </c>
      <c r="F148" s="46" t="s">
        <v>93</v>
      </c>
      <c r="G148" s="46" t="s">
        <v>265</v>
      </c>
      <c r="H148" s="74" t="n">
        <v>105</v>
      </c>
      <c r="I148" s="75" t="n">
        <f aca="false">INDEX($C$5:$C$26,MATCH(G148,$A$5:$A$26,0))</f>
        <v>206.535</v>
      </c>
      <c r="J148" s="57" t="n">
        <f aca="false">H148*I148</f>
        <v>21686.175</v>
      </c>
    </row>
    <row r="149" customFormat="false" ht="15" hidden="false" customHeight="false" outlineLevel="0" collapsed="false">
      <c r="E149" s="46" t="s">
        <v>212</v>
      </c>
      <c r="F149" s="46" t="s">
        <v>95</v>
      </c>
      <c r="G149" s="46" t="s">
        <v>261</v>
      </c>
      <c r="H149" s="74" t="n">
        <v>60</v>
      </c>
      <c r="I149" s="75" t="n">
        <f aca="false">INDEX($C$5:$C$26,MATCH(G149,$A$5:$A$26,0))</f>
        <v>236.67</v>
      </c>
      <c r="J149" s="57" t="n">
        <f aca="false">H149*I149</f>
        <v>14200.2</v>
      </c>
    </row>
    <row r="150" customFormat="false" ht="15" hidden="false" customHeight="false" outlineLevel="0" collapsed="false">
      <c r="E150" s="46" t="s">
        <v>212</v>
      </c>
      <c r="F150" s="46" t="s">
        <v>95</v>
      </c>
      <c r="G150" s="46" t="s">
        <v>263</v>
      </c>
      <c r="H150" s="74" t="n">
        <v>60</v>
      </c>
      <c r="I150" s="75" t="n">
        <f aca="false">INDEX($C$5:$C$26,MATCH(G150,$A$5:$A$26,0))</f>
        <v>224.175</v>
      </c>
      <c r="J150" s="57" t="n">
        <f aca="false">H150*I150</f>
        <v>13450.5</v>
      </c>
    </row>
    <row r="151" customFormat="false" ht="15" hidden="false" customHeight="false" outlineLevel="0" collapsed="false">
      <c r="E151" s="46" t="s">
        <v>212</v>
      </c>
      <c r="F151" s="46" t="s">
        <v>95</v>
      </c>
      <c r="G151" s="46" t="s">
        <v>265</v>
      </c>
      <c r="H151" s="74" t="n">
        <v>45</v>
      </c>
      <c r="I151" s="75" t="n">
        <f aca="false">INDEX($C$5:$C$26,MATCH(G151,$A$5:$A$26,0))</f>
        <v>206.535</v>
      </c>
      <c r="J151" s="57" t="n">
        <f aca="false">H151*I151</f>
        <v>9294.075</v>
      </c>
    </row>
    <row r="152" customFormat="false" ht="15" hidden="false" customHeight="false" outlineLevel="0" collapsed="false">
      <c r="E152" s="46" t="s">
        <v>212</v>
      </c>
      <c r="F152" s="46" t="s">
        <v>97</v>
      </c>
      <c r="G152" s="46" t="s">
        <v>259</v>
      </c>
      <c r="H152" s="74" t="n">
        <v>45</v>
      </c>
      <c r="I152" s="75" t="n">
        <f aca="false">INDEX($C$5:$C$26,MATCH(G152,$A$5:$A$26,0))</f>
        <v>256.515</v>
      </c>
      <c r="J152" s="57" t="n">
        <f aca="false">H152*I152</f>
        <v>11543.175</v>
      </c>
    </row>
    <row r="153" customFormat="false" ht="15" hidden="false" customHeight="false" outlineLevel="0" collapsed="false">
      <c r="E153" s="46" t="s">
        <v>212</v>
      </c>
      <c r="F153" s="46" t="s">
        <v>97</v>
      </c>
      <c r="G153" s="46" t="s">
        <v>261</v>
      </c>
      <c r="H153" s="74" t="n">
        <v>75</v>
      </c>
      <c r="I153" s="75" t="n">
        <f aca="false">INDEX($C$5:$C$26,MATCH(G153,$A$5:$A$26,0))</f>
        <v>236.67</v>
      </c>
      <c r="J153" s="57" t="n">
        <f aca="false">H153*I153</f>
        <v>17750.25</v>
      </c>
    </row>
    <row r="154" customFormat="false" ht="15" hidden="false" customHeight="false" outlineLevel="0" collapsed="false">
      <c r="E154" s="46" t="s">
        <v>212</v>
      </c>
      <c r="F154" s="46" t="s">
        <v>97</v>
      </c>
      <c r="G154" s="46" t="s">
        <v>263</v>
      </c>
      <c r="H154" s="74" t="n">
        <v>75</v>
      </c>
      <c r="I154" s="75" t="n">
        <f aca="false">INDEX($C$5:$C$26,MATCH(G154,$A$5:$A$26,0))</f>
        <v>224.175</v>
      </c>
      <c r="J154" s="57" t="n">
        <f aca="false">H154*I154</f>
        <v>16813.125</v>
      </c>
    </row>
    <row r="155" customFormat="false" ht="15" hidden="false" customHeight="false" outlineLevel="0" collapsed="false">
      <c r="E155" s="46" t="s">
        <v>212</v>
      </c>
      <c r="F155" s="46" t="s">
        <v>97</v>
      </c>
      <c r="G155" s="46" t="s">
        <v>265</v>
      </c>
      <c r="H155" s="74" t="n">
        <v>45</v>
      </c>
      <c r="I155" s="75" t="n">
        <f aca="false">INDEX($C$5:$C$26,MATCH(G155,$A$5:$A$26,0))</f>
        <v>206.535</v>
      </c>
      <c r="J155" s="57" t="n">
        <f aca="false">H155*I155</f>
        <v>9294.075</v>
      </c>
    </row>
    <row r="156" customFormat="false" ht="15" hidden="false" customHeight="false" outlineLevel="0" collapsed="false">
      <c r="E156" s="46" t="s">
        <v>212</v>
      </c>
      <c r="F156" s="46" t="s">
        <v>99</v>
      </c>
      <c r="G156" s="46" t="s">
        <v>259</v>
      </c>
      <c r="H156" s="74" t="n">
        <v>40</v>
      </c>
      <c r="I156" s="75" t="n">
        <f aca="false">INDEX($C$5:$C$26,MATCH(G156,$A$5:$A$26,0))</f>
        <v>256.515</v>
      </c>
      <c r="J156" s="57" t="n">
        <f aca="false">H156*I156</f>
        <v>10260.6</v>
      </c>
    </row>
    <row r="157" customFormat="false" ht="15" hidden="false" customHeight="false" outlineLevel="0" collapsed="false">
      <c r="E157" s="46" t="s">
        <v>212</v>
      </c>
      <c r="F157" s="46" t="s">
        <v>99</v>
      </c>
      <c r="G157" s="46" t="s">
        <v>261</v>
      </c>
      <c r="H157" s="74" t="n">
        <v>55</v>
      </c>
      <c r="I157" s="75" t="n">
        <f aca="false">INDEX($C$5:$C$26,MATCH(G157,$A$5:$A$26,0))</f>
        <v>236.67</v>
      </c>
      <c r="J157" s="57" t="n">
        <f aca="false">H157*I157</f>
        <v>13016.85</v>
      </c>
    </row>
    <row r="158" customFormat="false" ht="15" hidden="false" customHeight="false" outlineLevel="0" collapsed="false">
      <c r="E158" s="46" t="s">
        <v>212</v>
      </c>
      <c r="F158" s="46" t="s">
        <v>99</v>
      </c>
      <c r="G158" s="46" t="s">
        <v>263</v>
      </c>
      <c r="H158" s="74" t="n">
        <v>55</v>
      </c>
      <c r="I158" s="75" t="n">
        <f aca="false">INDEX($C$5:$C$26,MATCH(G158,$A$5:$A$26,0))</f>
        <v>224.175</v>
      </c>
      <c r="J158" s="57" t="n">
        <f aca="false">H158*I158</f>
        <v>12329.625</v>
      </c>
    </row>
    <row r="159" customFormat="false" ht="15" hidden="false" customHeight="false" outlineLevel="0" collapsed="false">
      <c r="E159" s="46" t="s">
        <v>212</v>
      </c>
      <c r="F159" s="46" t="s">
        <v>99</v>
      </c>
      <c r="G159" s="46" t="s">
        <v>265</v>
      </c>
      <c r="H159" s="74" t="n">
        <v>40</v>
      </c>
      <c r="I159" s="75" t="n">
        <f aca="false">INDEX($C$5:$C$26,MATCH(G159,$A$5:$A$26,0))</f>
        <v>206.535</v>
      </c>
      <c r="J159" s="57" t="n">
        <f aca="false">H159*I159</f>
        <v>8261.4</v>
      </c>
    </row>
    <row r="160" customFormat="false" ht="15" hidden="false" customHeight="false" outlineLevel="0" collapsed="false">
      <c r="E160" s="46" t="s">
        <v>214</v>
      </c>
      <c r="F160" s="46" t="s">
        <v>93</v>
      </c>
      <c r="G160" s="46" t="s">
        <v>259</v>
      </c>
      <c r="H160" s="74" t="n">
        <v>75</v>
      </c>
      <c r="I160" s="75" t="n">
        <f aca="false">INDEX($C$5:$C$26,MATCH(G160,$A$5:$A$26,0))</f>
        <v>256.515</v>
      </c>
      <c r="J160" s="57" t="n">
        <f aca="false">H160*I160</f>
        <v>19238.625</v>
      </c>
    </row>
    <row r="161" customFormat="false" ht="15" hidden="false" customHeight="false" outlineLevel="0" collapsed="false">
      <c r="E161" s="46" t="s">
        <v>214</v>
      </c>
      <c r="F161" s="46" t="s">
        <v>93</v>
      </c>
      <c r="G161" s="46" t="s">
        <v>261</v>
      </c>
      <c r="H161" s="74" t="n">
        <v>210</v>
      </c>
      <c r="I161" s="75" t="n">
        <f aca="false">INDEX($C$5:$C$26,MATCH(G161,$A$5:$A$26,0))</f>
        <v>236.67</v>
      </c>
      <c r="J161" s="57" t="n">
        <f aca="false">H161*I161</f>
        <v>49700.7</v>
      </c>
    </row>
    <row r="162" customFormat="false" ht="15" hidden="false" customHeight="false" outlineLevel="0" collapsed="false">
      <c r="E162" s="46" t="s">
        <v>214</v>
      </c>
      <c r="F162" s="46" t="s">
        <v>93</v>
      </c>
      <c r="G162" s="46" t="s">
        <v>263</v>
      </c>
      <c r="H162" s="74" t="n">
        <v>235</v>
      </c>
      <c r="I162" s="75" t="n">
        <f aca="false">INDEX($C$5:$C$26,MATCH(G162,$A$5:$A$26,0))</f>
        <v>224.175</v>
      </c>
      <c r="J162" s="57" t="n">
        <f aca="false">H162*I162</f>
        <v>52681.125</v>
      </c>
    </row>
    <row r="163" customFormat="false" ht="15" hidden="false" customHeight="false" outlineLevel="0" collapsed="false">
      <c r="E163" s="46" t="s">
        <v>214</v>
      </c>
      <c r="F163" s="46" t="s">
        <v>93</v>
      </c>
      <c r="G163" s="46" t="s">
        <v>265</v>
      </c>
      <c r="H163" s="74" t="n">
        <v>75</v>
      </c>
      <c r="I163" s="75" t="n">
        <f aca="false">INDEX($C$5:$C$26,MATCH(G163,$A$5:$A$26,0))</f>
        <v>206.535</v>
      </c>
      <c r="J163" s="57" t="n">
        <f aca="false">H163*I163</f>
        <v>15490.125</v>
      </c>
    </row>
    <row r="164" customFormat="false" ht="15" hidden="false" customHeight="false" outlineLevel="0" collapsed="false">
      <c r="E164" s="46" t="s">
        <v>214</v>
      </c>
      <c r="F164" s="46" t="s">
        <v>95</v>
      </c>
      <c r="G164" s="46" t="s">
        <v>259</v>
      </c>
      <c r="H164" s="74" t="n">
        <v>40</v>
      </c>
      <c r="I164" s="75" t="n">
        <f aca="false">INDEX($C$5:$C$26,MATCH(G164,$A$5:$A$26,0))</f>
        <v>256.515</v>
      </c>
      <c r="J164" s="57" t="n">
        <f aca="false">H164*I164</f>
        <v>10260.6</v>
      </c>
    </row>
    <row r="165" customFormat="false" ht="15" hidden="false" customHeight="false" outlineLevel="0" collapsed="false">
      <c r="E165" s="46" t="s">
        <v>214</v>
      </c>
      <c r="F165" s="46" t="s">
        <v>95</v>
      </c>
      <c r="G165" s="46" t="s">
        <v>261</v>
      </c>
      <c r="H165" s="74" t="n">
        <v>100</v>
      </c>
      <c r="I165" s="75" t="n">
        <f aca="false">INDEX($C$5:$C$26,MATCH(G165,$A$5:$A$26,0))</f>
        <v>236.67</v>
      </c>
      <c r="J165" s="57" t="n">
        <f aca="false">H165*I165</f>
        <v>23667</v>
      </c>
    </row>
    <row r="166" customFormat="false" ht="15" hidden="false" customHeight="false" outlineLevel="0" collapsed="false">
      <c r="E166" s="46" t="s">
        <v>214</v>
      </c>
      <c r="F166" s="46" t="s">
        <v>95</v>
      </c>
      <c r="G166" s="46" t="s">
        <v>263</v>
      </c>
      <c r="H166" s="74" t="n">
        <v>120</v>
      </c>
      <c r="I166" s="75" t="n">
        <f aca="false">INDEX($C$5:$C$26,MATCH(G166,$A$5:$A$26,0))</f>
        <v>224.175</v>
      </c>
      <c r="J166" s="57" t="n">
        <f aca="false">H166*I166</f>
        <v>26901</v>
      </c>
    </row>
    <row r="167" customFormat="false" ht="15" hidden="false" customHeight="false" outlineLevel="0" collapsed="false">
      <c r="E167" s="46" t="s">
        <v>214</v>
      </c>
      <c r="F167" s="46" t="s">
        <v>95</v>
      </c>
      <c r="G167" s="46" t="s">
        <v>265</v>
      </c>
      <c r="H167" s="74" t="n">
        <v>45</v>
      </c>
      <c r="I167" s="75" t="n">
        <f aca="false">INDEX($C$5:$C$26,MATCH(G167,$A$5:$A$26,0))</f>
        <v>206.535</v>
      </c>
      <c r="J167" s="57" t="n">
        <f aca="false">H167*I167</f>
        <v>9294.075</v>
      </c>
    </row>
    <row r="168" customFormat="false" ht="15" hidden="false" customHeight="false" outlineLevel="0" collapsed="false">
      <c r="E168" s="46" t="s">
        <v>214</v>
      </c>
      <c r="F168" s="46" t="s">
        <v>97</v>
      </c>
      <c r="G168" s="46" t="s">
        <v>259</v>
      </c>
      <c r="H168" s="74" t="n">
        <v>45</v>
      </c>
      <c r="I168" s="75" t="n">
        <f aca="false">INDEX($C$5:$C$26,MATCH(G168,$A$5:$A$26,0))</f>
        <v>256.515</v>
      </c>
      <c r="J168" s="57" t="n">
        <f aca="false">H168*I168</f>
        <v>11543.175</v>
      </c>
    </row>
    <row r="169" customFormat="false" ht="15" hidden="false" customHeight="false" outlineLevel="0" collapsed="false">
      <c r="E169" s="46" t="s">
        <v>214</v>
      </c>
      <c r="F169" s="46" t="s">
        <v>97</v>
      </c>
      <c r="G169" s="46" t="s">
        <v>261</v>
      </c>
      <c r="H169" s="74" t="n">
        <v>105</v>
      </c>
      <c r="I169" s="75" t="n">
        <f aca="false">INDEX($C$5:$C$26,MATCH(G169,$A$5:$A$26,0))</f>
        <v>236.67</v>
      </c>
      <c r="J169" s="57" t="n">
        <f aca="false">H169*I169</f>
        <v>24850.35</v>
      </c>
    </row>
    <row r="170" customFormat="false" ht="15" hidden="false" customHeight="false" outlineLevel="0" collapsed="false">
      <c r="E170" s="46" t="s">
        <v>214</v>
      </c>
      <c r="F170" s="46" t="s">
        <v>97</v>
      </c>
      <c r="G170" s="46" t="s">
        <v>263</v>
      </c>
      <c r="H170" s="74" t="n">
        <v>130</v>
      </c>
      <c r="I170" s="75" t="n">
        <f aca="false">INDEX($C$5:$C$26,MATCH(G170,$A$5:$A$26,0))</f>
        <v>224.175</v>
      </c>
      <c r="J170" s="57" t="n">
        <f aca="false">H170*I170</f>
        <v>29142.75</v>
      </c>
    </row>
    <row r="171" customFormat="false" ht="15" hidden="false" customHeight="false" outlineLevel="0" collapsed="false">
      <c r="E171" s="46" t="s">
        <v>214</v>
      </c>
      <c r="F171" s="46" t="s">
        <v>97</v>
      </c>
      <c r="G171" s="46" t="s">
        <v>265</v>
      </c>
      <c r="H171" s="74" t="n">
        <v>65</v>
      </c>
      <c r="I171" s="75" t="n">
        <f aca="false">INDEX($C$5:$C$26,MATCH(G171,$A$5:$A$26,0))</f>
        <v>206.535</v>
      </c>
      <c r="J171" s="57" t="n">
        <f aca="false">H171*I171</f>
        <v>13424.775</v>
      </c>
    </row>
    <row r="172" customFormat="false" ht="15" hidden="false" customHeight="false" outlineLevel="0" collapsed="false">
      <c r="E172" s="46" t="s">
        <v>216</v>
      </c>
      <c r="F172" s="46" t="s">
        <v>91</v>
      </c>
      <c r="G172" s="46" t="s">
        <v>259</v>
      </c>
      <c r="H172" s="74" t="n">
        <v>45</v>
      </c>
      <c r="I172" s="75" t="n">
        <f aca="false">INDEX($C$5:$C$26,MATCH(G172,$A$5:$A$26,0))</f>
        <v>256.515</v>
      </c>
      <c r="J172" s="57" t="n">
        <f aca="false">H172*I172</f>
        <v>11543.175</v>
      </c>
    </row>
    <row r="173" customFormat="false" ht="15" hidden="false" customHeight="false" outlineLevel="0" collapsed="false">
      <c r="E173" s="46" t="s">
        <v>216</v>
      </c>
      <c r="F173" s="46" t="s">
        <v>91</v>
      </c>
      <c r="G173" s="46" t="s">
        <v>261</v>
      </c>
      <c r="H173" s="74" t="n">
        <v>120</v>
      </c>
      <c r="I173" s="75" t="n">
        <f aca="false">INDEX($C$5:$C$26,MATCH(G173,$A$5:$A$26,0))</f>
        <v>236.67</v>
      </c>
      <c r="J173" s="57" t="n">
        <f aca="false">H173*I173</f>
        <v>28400.4</v>
      </c>
    </row>
    <row r="174" customFormat="false" ht="15" hidden="false" customHeight="false" outlineLevel="0" collapsed="false">
      <c r="E174" s="46" t="s">
        <v>216</v>
      </c>
      <c r="F174" s="46" t="s">
        <v>91</v>
      </c>
      <c r="G174" s="46" t="s">
        <v>263</v>
      </c>
      <c r="H174" s="74" t="n">
        <v>130</v>
      </c>
      <c r="I174" s="75" t="n">
        <f aca="false">INDEX($C$5:$C$26,MATCH(G174,$A$5:$A$26,0))</f>
        <v>224.175</v>
      </c>
      <c r="J174" s="57" t="n">
        <f aca="false">H174*I174</f>
        <v>29142.75</v>
      </c>
    </row>
    <row r="175" customFormat="false" ht="15" hidden="false" customHeight="false" outlineLevel="0" collapsed="false">
      <c r="E175" s="46" t="s">
        <v>216</v>
      </c>
      <c r="F175" s="46" t="s">
        <v>91</v>
      </c>
      <c r="G175" s="46" t="s">
        <v>265</v>
      </c>
      <c r="H175" s="74" t="n">
        <v>55</v>
      </c>
      <c r="I175" s="75" t="n">
        <f aca="false">INDEX($C$5:$C$26,MATCH(G175,$A$5:$A$26,0))</f>
        <v>206.535</v>
      </c>
      <c r="J175" s="57" t="n">
        <f aca="false">H175*I175</f>
        <v>11359.425</v>
      </c>
    </row>
    <row r="176" customFormat="false" ht="15" hidden="false" customHeight="false" outlineLevel="0" collapsed="false">
      <c r="E176" s="46" t="s">
        <v>216</v>
      </c>
      <c r="F176" s="46" t="s">
        <v>93</v>
      </c>
      <c r="G176" s="46" t="s">
        <v>259</v>
      </c>
      <c r="H176" s="74" t="n">
        <v>105</v>
      </c>
      <c r="I176" s="75" t="n">
        <f aca="false">INDEX($C$5:$C$26,MATCH(G176,$A$5:$A$26,0))</f>
        <v>256.515</v>
      </c>
      <c r="J176" s="57" t="n">
        <f aca="false">H176*I176</f>
        <v>26934.075</v>
      </c>
    </row>
    <row r="177" customFormat="false" ht="15" hidden="false" customHeight="false" outlineLevel="0" collapsed="false">
      <c r="E177" s="46" t="s">
        <v>216</v>
      </c>
      <c r="F177" s="46" t="s">
        <v>93</v>
      </c>
      <c r="G177" s="46" t="s">
        <v>261</v>
      </c>
      <c r="H177" s="74" t="n">
        <v>265</v>
      </c>
      <c r="I177" s="75" t="n">
        <f aca="false">INDEX($C$5:$C$26,MATCH(G177,$A$5:$A$26,0))</f>
        <v>236.67</v>
      </c>
      <c r="J177" s="57" t="n">
        <f aca="false">H177*I177</f>
        <v>62717.55</v>
      </c>
    </row>
    <row r="178" customFormat="false" ht="15" hidden="false" customHeight="false" outlineLevel="0" collapsed="false">
      <c r="E178" s="46" t="s">
        <v>216</v>
      </c>
      <c r="F178" s="46" t="s">
        <v>93</v>
      </c>
      <c r="G178" s="46" t="s">
        <v>263</v>
      </c>
      <c r="H178" s="74" t="n">
        <v>325</v>
      </c>
      <c r="I178" s="75" t="n">
        <f aca="false">INDEX($C$5:$C$26,MATCH(G178,$A$5:$A$26,0))</f>
        <v>224.175</v>
      </c>
      <c r="J178" s="57" t="n">
        <f aca="false">H178*I178</f>
        <v>72856.875</v>
      </c>
    </row>
    <row r="179" customFormat="false" ht="15" hidden="false" customHeight="false" outlineLevel="0" collapsed="false">
      <c r="E179" s="46" t="s">
        <v>216</v>
      </c>
      <c r="F179" s="46" t="s">
        <v>93</v>
      </c>
      <c r="G179" s="46" t="s">
        <v>265</v>
      </c>
      <c r="H179" s="74" t="n">
        <v>120</v>
      </c>
      <c r="I179" s="75" t="n">
        <f aca="false">INDEX($C$5:$C$26,MATCH(G179,$A$5:$A$26,0))</f>
        <v>206.535</v>
      </c>
      <c r="J179" s="57" t="n">
        <f aca="false">H179*I179</f>
        <v>24784.2</v>
      </c>
    </row>
    <row r="180" customFormat="false" ht="15" hidden="false" customHeight="false" outlineLevel="0" collapsed="false">
      <c r="E180" s="46" t="s">
        <v>216</v>
      </c>
      <c r="F180" s="46" t="s">
        <v>95</v>
      </c>
      <c r="G180" s="46" t="s">
        <v>259</v>
      </c>
      <c r="H180" s="74" t="n">
        <v>45</v>
      </c>
      <c r="I180" s="75" t="n">
        <f aca="false">INDEX($C$5:$C$26,MATCH(G180,$A$5:$A$26,0))</f>
        <v>256.515</v>
      </c>
      <c r="J180" s="57" t="n">
        <f aca="false">H180*I180</f>
        <v>11543.175</v>
      </c>
    </row>
    <row r="181" customFormat="false" ht="15" hidden="false" customHeight="false" outlineLevel="0" collapsed="false">
      <c r="E181" s="46" t="s">
        <v>216</v>
      </c>
      <c r="F181" s="46" t="s">
        <v>95</v>
      </c>
      <c r="G181" s="46" t="s">
        <v>261</v>
      </c>
      <c r="H181" s="74" t="n">
        <v>125</v>
      </c>
      <c r="I181" s="75" t="n">
        <f aca="false">INDEX($C$5:$C$26,MATCH(G181,$A$5:$A$26,0))</f>
        <v>236.67</v>
      </c>
      <c r="J181" s="57" t="n">
        <f aca="false">H181*I181</f>
        <v>29583.75</v>
      </c>
    </row>
    <row r="182" customFormat="false" ht="15" hidden="false" customHeight="false" outlineLevel="0" collapsed="false">
      <c r="E182" s="46" t="s">
        <v>216</v>
      </c>
      <c r="F182" s="46" t="s">
        <v>95</v>
      </c>
      <c r="G182" s="46" t="s">
        <v>263</v>
      </c>
      <c r="H182" s="74" t="n">
        <v>135</v>
      </c>
      <c r="I182" s="75" t="n">
        <f aca="false">INDEX($C$5:$C$26,MATCH(G182,$A$5:$A$26,0))</f>
        <v>224.175</v>
      </c>
      <c r="J182" s="57" t="n">
        <f aca="false">H182*I182</f>
        <v>30263.625</v>
      </c>
    </row>
    <row r="183" customFormat="false" ht="15" hidden="false" customHeight="false" outlineLevel="0" collapsed="false">
      <c r="E183" s="46" t="s">
        <v>216</v>
      </c>
      <c r="F183" s="46" t="s">
        <v>95</v>
      </c>
      <c r="G183" s="46" t="s">
        <v>265</v>
      </c>
      <c r="H183" s="74" t="n">
        <v>65</v>
      </c>
      <c r="I183" s="75" t="n">
        <f aca="false">INDEX($C$5:$C$26,MATCH(G183,$A$5:$A$26,0))</f>
        <v>206.535</v>
      </c>
      <c r="J183" s="57" t="n">
        <f aca="false">H183*I183</f>
        <v>13424.775</v>
      </c>
    </row>
    <row r="184" customFormat="false" ht="15" hidden="false" customHeight="false" outlineLevel="0" collapsed="false">
      <c r="E184" s="46" t="s">
        <v>216</v>
      </c>
      <c r="F184" s="46" t="s">
        <v>97</v>
      </c>
      <c r="G184" s="46" t="s">
        <v>259</v>
      </c>
      <c r="H184" s="74" t="n">
        <v>45</v>
      </c>
      <c r="I184" s="75" t="n">
        <f aca="false">INDEX($C$5:$C$26,MATCH(G184,$A$5:$A$26,0))</f>
        <v>256.515</v>
      </c>
      <c r="J184" s="57" t="n">
        <f aca="false">H184*I184</f>
        <v>11543.175</v>
      </c>
    </row>
    <row r="185" customFormat="false" ht="15" hidden="false" customHeight="false" outlineLevel="0" collapsed="false">
      <c r="E185" s="46" t="s">
        <v>216</v>
      </c>
      <c r="F185" s="46" t="s">
        <v>97</v>
      </c>
      <c r="G185" s="46" t="s">
        <v>261</v>
      </c>
      <c r="H185" s="74" t="n">
        <v>105</v>
      </c>
      <c r="I185" s="75" t="n">
        <f aca="false">INDEX($C$5:$C$26,MATCH(G185,$A$5:$A$26,0))</f>
        <v>236.67</v>
      </c>
      <c r="J185" s="57" t="n">
        <f aca="false">H185*I185</f>
        <v>24850.35</v>
      </c>
    </row>
    <row r="186" customFormat="false" ht="15" hidden="false" customHeight="false" outlineLevel="0" collapsed="false">
      <c r="E186" s="46" t="s">
        <v>216</v>
      </c>
      <c r="F186" s="46" t="s">
        <v>97</v>
      </c>
      <c r="G186" s="46" t="s">
        <v>263</v>
      </c>
      <c r="H186" s="74" t="n">
        <v>140</v>
      </c>
      <c r="I186" s="75" t="n">
        <f aca="false">INDEX($C$5:$C$26,MATCH(G186,$A$5:$A$26,0))</f>
        <v>224.175</v>
      </c>
      <c r="J186" s="57" t="n">
        <f aca="false">H186*I186</f>
        <v>31384.5</v>
      </c>
    </row>
    <row r="187" customFormat="false" ht="15" hidden="false" customHeight="false" outlineLevel="0" collapsed="false">
      <c r="E187" s="46" t="s">
        <v>216</v>
      </c>
      <c r="F187" s="46" t="s">
        <v>97</v>
      </c>
      <c r="G187" s="46" t="s">
        <v>265</v>
      </c>
      <c r="H187" s="74" t="n">
        <v>65</v>
      </c>
      <c r="I187" s="75" t="n">
        <f aca="false">INDEX($C$5:$C$26,MATCH(G187,$A$5:$A$26,0))</f>
        <v>206.535</v>
      </c>
      <c r="J187" s="57" t="n">
        <f aca="false">H187*I187</f>
        <v>13424.775</v>
      </c>
    </row>
    <row r="188" customFormat="false" ht="15" hidden="false" customHeight="false" outlineLevel="0" collapsed="false">
      <c r="E188" s="46" t="s">
        <v>216</v>
      </c>
      <c r="F188" s="46" t="s">
        <v>99</v>
      </c>
      <c r="G188" s="46" t="s">
        <v>259</v>
      </c>
      <c r="H188" s="74" t="n">
        <v>45</v>
      </c>
      <c r="I188" s="75" t="n">
        <f aca="false">INDEX($C$5:$C$26,MATCH(G188,$A$5:$A$26,0))</f>
        <v>256.515</v>
      </c>
      <c r="J188" s="57" t="n">
        <f aca="false">H188*I188</f>
        <v>11543.175</v>
      </c>
    </row>
    <row r="189" customFormat="false" ht="15" hidden="false" customHeight="false" outlineLevel="0" collapsed="false">
      <c r="E189" s="46" t="s">
        <v>216</v>
      </c>
      <c r="F189" s="46" t="s">
        <v>99</v>
      </c>
      <c r="G189" s="46" t="s">
        <v>261</v>
      </c>
      <c r="H189" s="74" t="n">
        <v>85</v>
      </c>
      <c r="I189" s="75" t="n">
        <f aca="false">INDEX($C$5:$C$26,MATCH(G189,$A$5:$A$26,0))</f>
        <v>236.67</v>
      </c>
      <c r="J189" s="57" t="n">
        <f aca="false">H189*I189</f>
        <v>20116.95</v>
      </c>
    </row>
    <row r="190" customFormat="false" ht="15" hidden="false" customHeight="false" outlineLevel="0" collapsed="false">
      <c r="E190" s="46" t="s">
        <v>216</v>
      </c>
      <c r="F190" s="46" t="s">
        <v>99</v>
      </c>
      <c r="G190" s="46" t="s">
        <v>263</v>
      </c>
      <c r="H190" s="74" t="n">
        <v>90</v>
      </c>
      <c r="I190" s="75" t="n">
        <f aca="false">INDEX($C$5:$C$26,MATCH(G190,$A$5:$A$26,0))</f>
        <v>224.175</v>
      </c>
      <c r="J190" s="57" t="n">
        <f aca="false">H190*I190</f>
        <v>20175.75</v>
      </c>
    </row>
    <row r="191" customFormat="false" ht="15" hidden="false" customHeight="false" outlineLevel="0" collapsed="false">
      <c r="E191" s="46" t="s">
        <v>216</v>
      </c>
      <c r="F191" s="46" t="s">
        <v>99</v>
      </c>
      <c r="G191" s="46" t="s">
        <v>265</v>
      </c>
      <c r="H191" s="74" t="n">
        <v>40</v>
      </c>
      <c r="I191" s="75" t="n">
        <f aca="false">INDEX($C$5:$C$26,MATCH(G191,$A$5:$A$26,0))</f>
        <v>206.535</v>
      </c>
      <c r="J191" s="57" t="n">
        <f aca="false">H191*I191</f>
        <v>8261.4</v>
      </c>
    </row>
    <row r="192" customFormat="false" ht="15" hidden="false" customHeight="false" outlineLevel="0" collapsed="false">
      <c r="E192" s="46" t="s">
        <v>218</v>
      </c>
      <c r="F192" s="46" t="s">
        <v>93</v>
      </c>
      <c r="G192" s="46" t="s">
        <v>259</v>
      </c>
      <c r="H192" s="74" t="n">
        <v>65</v>
      </c>
      <c r="I192" s="75" t="n">
        <f aca="false">INDEX($C$5:$C$26,MATCH(G192,$A$5:$A$26,0))</f>
        <v>256.515</v>
      </c>
      <c r="J192" s="57" t="n">
        <f aca="false">H192*I192</f>
        <v>16673.475</v>
      </c>
    </row>
    <row r="193" customFormat="false" ht="15" hidden="false" customHeight="false" outlineLevel="0" collapsed="false">
      <c r="E193" s="46" t="s">
        <v>218</v>
      </c>
      <c r="F193" s="46" t="s">
        <v>93</v>
      </c>
      <c r="G193" s="46" t="s">
        <v>261</v>
      </c>
      <c r="H193" s="74" t="n">
        <v>140</v>
      </c>
      <c r="I193" s="75" t="n">
        <f aca="false">INDEX($C$5:$C$26,MATCH(G193,$A$5:$A$26,0))</f>
        <v>236.67</v>
      </c>
      <c r="J193" s="57" t="n">
        <f aca="false">H193*I193</f>
        <v>33133.8</v>
      </c>
    </row>
    <row r="194" customFormat="false" ht="15" hidden="false" customHeight="false" outlineLevel="0" collapsed="false">
      <c r="E194" s="46" t="s">
        <v>218</v>
      </c>
      <c r="F194" s="46" t="s">
        <v>93</v>
      </c>
      <c r="G194" s="46" t="s">
        <v>263</v>
      </c>
      <c r="H194" s="74" t="n">
        <v>150</v>
      </c>
      <c r="I194" s="75" t="n">
        <f aca="false">INDEX($C$5:$C$26,MATCH(G194,$A$5:$A$26,0))</f>
        <v>224.175</v>
      </c>
      <c r="J194" s="57" t="n">
        <f aca="false">H194*I194</f>
        <v>33626.25</v>
      </c>
    </row>
    <row r="195" customFormat="false" ht="15" hidden="false" customHeight="false" outlineLevel="0" collapsed="false">
      <c r="E195" s="46" t="s">
        <v>218</v>
      </c>
      <c r="F195" s="46" t="s">
        <v>93</v>
      </c>
      <c r="G195" s="46" t="s">
        <v>265</v>
      </c>
      <c r="H195" s="74" t="n">
        <v>45</v>
      </c>
      <c r="I195" s="75" t="n">
        <f aca="false">INDEX($C$5:$C$26,MATCH(G195,$A$5:$A$26,0))</f>
        <v>206.535</v>
      </c>
      <c r="J195" s="57" t="n">
        <f aca="false">H195*I195</f>
        <v>9294.075</v>
      </c>
    </row>
    <row r="196" customFormat="false" ht="15" hidden="false" customHeight="false" outlineLevel="0" collapsed="false">
      <c r="E196" s="46" t="s">
        <v>218</v>
      </c>
      <c r="F196" s="46" t="s">
        <v>95</v>
      </c>
      <c r="G196" s="46" t="s">
        <v>259</v>
      </c>
      <c r="H196" s="74" t="n">
        <v>40</v>
      </c>
      <c r="I196" s="75" t="n">
        <f aca="false">INDEX($C$5:$C$26,MATCH(G196,$A$5:$A$26,0))</f>
        <v>256.515</v>
      </c>
      <c r="J196" s="57" t="n">
        <f aca="false">H196*I196</f>
        <v>10260.6</v>
      </c>
    </row>
    <row r="197" customFormat="false" ht="15" hidden="false" customHeight="false" outlineLevel="0" collapsed="false">
      <c r="E197" s="46" t="s">
        <v>218</v>
      </c>
      <c r="F197" s="46" t="s">
        <v>95</v>
      </c>
      <c r="G197" s="46" t="s">
        <v>261</v>
      </c>
      <c r="H197" s="74" t="n">
        <v>85</v>
      </c>
      <c r="I197" s="75" t="n">
        <f aca="false">INDEX($C$5:$C$26,MATCH(G197,$A$5:$A$26,0))</f>
        <v>236.67</v>
      </c>
      <c r="J197" s="57" t="n">
        <f aca="false">H197*I197</f>
        <v>20116.95</v>
      </c>
    </row>
    <row r="198" customFormat="false" ht="15" hidden="false" customHeight="false" outlineLevel="0" collapsed="false">
      <c r="E198" s="46" t="s">
        <v>218</v>
      </c>
      <c r="F198" s="46" t="s">
        <v>95</v>
      </c>
      <c r="G198" s="46" t="s">
        <v>263</v>
      </c>
      <c r="H198" s="74" t="n">
        <v>95</v>
      </c>
      <c r="I198" s="75" t="n">
        <f aca="false">INDEX($C$5:$C$26,MATCH(G198,$A$5:$A$26,0))</f>
        <v>224.175</v>
      </c>
      <c r="J198" s="57" t="n">
        <f aca="false">H198*I198</f>
        <v>21296.625</v>
      </c>
    </row>
    <row r="199" customFormat="false" ht="15" hidden="false" customHeight="false" outlineLevel="0" collapsed="false">
      <c r="E199" s="46" t="s">
        <v>218</v>
      </c>
      <c r="F199" s="46" t="s">
        <v>95</v>
      </c>
      <c r="G199" s="46" t="s">
        <v>265</v>
      </c>
      <c r="H199" s="74" t="n">
        <v>45</v>
      </c>
      <c r="I199" s="75" t="n">
        <f aca="false">INDEX($C$5:$C$26,MATCH(G199,$A$5:$A$26,0))</f>
        <v>206.535</v>
      </c>
      <c r="J199" s="57" t="n">
        <f aca="false">H199*I199</f>
        <v>9294.075</v>
      </c>
    </row>
    <row r="200" customFormat="false" ht="15" hidden="false" customHeight="false" outlineLevel="0" collapsed="false">
      <c r="E200" s="46" t="s">
        <v>218</v>
      </c>
      <c r="F200" s="46" t="s">
        <v>97</v>
      </c>
      <c r="G200" s="46" t="s">
        <v>259</v>
      </c>
      <c r="H200" s="74" t="n">
        <v>45</v>
      </c>
      <c r="I200" s="75" t="n">
        <f aca="false">INDEX($C$5:$C$26,MATCH(G200,$A$5:$A$26,0))</f>
        <v>256.515</v>
      </c>
      <c r="J200" s="57" t="n">
        <f aca="false">H200*I200</f>
        <v>11543.175</v>
      </c>
    </row>
    <row r="201" customFormat="false" ht="15" hidden="false" customHeight="false" outlineLevel="0" collapsed="false">
      <c r="E201" s="46" t="s">
        <v>218</v>
      </c>
      <c r="F201" s="46" t="s">
        <v>97</v>
      </c>
      <c r="G201" s="46" t="s">
        <v>261</v>
      </c>
      <c r="H201" s="74" t="n">
        <v>105</v>
      </c>
      <c r="I201" s="75" t="n">
        <f aca="false">INDEX($C$5:$C$26,MATCH(G201,$A$5:$A$26,0))</f>
        <v>236.67</v>
      </c>
      <c r="J201" s="57" t="n">
        <f aca="false">H201*I201</f>
        <v>24850.35</v>
      </c>
    </row>
    <row r="202" customFormat="false" ht="15" hidden="false" customHeight="false" outlineLevel="0" collapsed="false">
      <c r="E202" s="46" t="s">
        <v>218</v>
      </c>
      <c r="F202" s="46" t="s">
        <v>97</v>
      </c>
      <c r="G202" s="46" t="s">
        <v>263</v>
      </c>
      <c r="H202" s="74" t="n">
        <v>105</v>
      </c>
      <c r="I202" s="75" t="n">
        <f aca="false">INDEX($C$5:$C$26,MATCH(G202,$A$5:$A$26,0))</f>
        <v>224.175</v>
      </c>
      <c r="J202" s="57" t="n">
        <f aca="false">H202*I202</f>
        <v>23538.375</v>
      </c>
    </row>
    <row r="203" customFormat="false" ht="15" hidden="false" customHeight="false" outlineLevel="0" collapsed="false">
      <c r="E203" s="46" t="s">
        <v>218</v>
      </c>
      <c r="F203" s="46" t="s">
        <v>97</v>
      </c>
      <c r="G203" s="46" t="s">
        <v>265</v>
      </c>
      <c r="H203" s="74" t="n">
        <v>45</v>
      </c>
      <c r="I203" s="75" t="n">
        <f aca="false">INDEX($C$5:$C$26,MATCH(G203,$A$5:$A$26,0))</f>
        <v>206.535</v>
      </c>
      <c r="J203" s="57" t="n">
        <f aca="false">H203*I203</f>
        <v>9294.075</v>
      </c>
    </row>
    <row r="204" customFormat="false" ht="15" hidden="false" customHeight="false" outlineLevel="0" collapsed="false">
      <c r="E204" s="46" t="s">
        <v>218</v>
      </c>
      <c r="F204" s="46" t="s">
        <v>99</v>
      </c>
      <c r="G204" s="46" t="s">
        <v>259</v>
      </c>
      <c r="H204" s="74" t="n">
        <v>45</v>
      </c>
      <c r="I204" s="75" t="n">
        <f aca="false">INDEX($C$5:$C$26,MATCH(G204,$A$5:$A$26,0))</f>
        <v>256.515</v>
      </c>
      <c r="J204" s="57" t="n">
        <f aca="false">H204*I204</f>
        <v>11543.175</v>
      </c>
    </row>
    <row r="205" customFormat="false" ht="15" hidden="false" customHeight="false" outlineLevel="0" collapsed="false">
      <c r="E205" s="46" t="s">
        <v>218</v>
      </c>
      <c r="F205" s="46" t="s">
        <v>99</v>
      </c>
      <c r="G205" s="46" t="s">
        <v>261</v>
      </c>
      <c r="H205" s="74" t="n">
        <v>85</v>
      </c>
      <c r="I205" s="75" t="n">
        <f aca="false">INDEX($C$5:$C$26,MATCH(G205,$A$5:$A$26,0))</f>
        <v>236.67</v>
      </c>
      <c r="J205" s="57" t="n">
        <f aca="false">H205*I205</f>
        <v>20116.95</v>
      </c>
    </row>
    <row r="206" customFormat="false" ht="15" hidden="false" customHeight="false" outlineLevel="0" collapsed="false">
      <c r="E206" s="46" t="s">
        <v>218</v>
      </c>
      <c r="F206" s="46" t="s">
        <v>99</v>
      </c>
      <c r="G206" s="46" t="s">
        <v>263</v>
      </c>
      <c r="H206" s="74" t="n">
        <v>75</v>
      </c>
      <c r="I206" s="75" t="n">
        <f aca="false">INDEX($C$5:$C$26,MATCH(G206,$A$5:$A$26,0))</f>
        <v>224.175</v>
      </c>
      <c r="J206" s="57" t="n">
        <f aca="false">H206*I206</f>
        <v>16813.125</v>
      </c>
    </row>
    <row r="207" customFormat="false" ht="15" hidden="false" customHeight="false" outlineLevel="0" collapsed="false">
      <c r="E207" s="46" t="s">
        <v>218</v>
      </c>
      <c r="F207" s="46" t="s">
        <v>99</v>
      </c>
      <c r="G207" s="46" t="s">
        <v>265</v>
      </c>
      <c r="H207" s="74" t="n">
        <v>40</v>
      </c>
      <c r="I207" s="75" t="n">
        <f aca="false">INDEX($C$5:$C$26,MATCH(G207,$A$5:$A$26,0))</f>
        <v>206.535</v>
      </c>
      <c r="J207" s="57" t="n">
        <f aca="false">H207*I207</f>
        <v>8261.4</v>
      </c>
    </row>
    <row r="208" customFormat="false" ht="15" hidden="false" customHeight="false" outlineLevel="0" collapsed="false">
      <c r="E208" s="46" t="s">
        <v>220</v>
      </c>
      <c r="F208" s="46" t="s">
        <v>97</v>
      </c>
      <c r="G208" s="46" t="s">
        <v>259</v>
      </c>
      <c r="H208" s="74" t="n">
        <v>45</v>
      </c>
      <c r="I208" s="75" t="n">
        <f aca="false">INDEX($C$5:$C$26,MATCH(G208,$A$5:$A$26,0))</f>
        <v>256.515</v>
      </c>
      <c r="J208" s="57" t="n">
        <f aca="false">H208*I208</f>
        <v>11543.175</v>
      </c>
    </row>
    <row r="209" customFormat="false" ht="15" hidden="false" customHeight="false" outlineLevel="0" collapsed="false">
      <c r="E209" s="46" t="s">
        <v>220</v>
      </c>
      <c r="F209" s="46" t="s">
        <v>97</v>
      </c>
      <c r="G209" s="46" t="s">
        <v>261</v>
      </c>
      <c r="H209" s="74" t="n">
        <v>105</v>
      </c>
      <c r="I209" s="75" t="n">
        <f aca="false">INDEX($C$5:$C$26,MATCH(G209,$A$5:$A$26,0))</f>
        <v>236.67</v>
      </c>
      <c r="J209" s="57" t="n">
        <f aca="false">H209*I209</f>
        <v>24850.35</v>
      </c>
    </row>
    <row r="210" customFormat="false" ht="15" hidden="false" customHeight="false" outlineLevel="0" collapsed="false">
      <c r="E210" s="46" t="s">
        <v>220</v>
      </c>
      <c r="F210" s="46" t="s">
        <v>97</v>
      </c>
      <c r="G210" s="46" t="s">
        <v>263</v>
      </c>
      <c r="H210" s="74" t="n">
        <v>140</v>
      </c>
      <c r="I210" s="75" t="n">
        <f aca="false">INDEX($C$5:$C$26,MATCH(G210,$A$5:$A$26,0))</f>
        <v>224.175</v>
      </c>
      <c r="J210" s="57" t="n">
        <f aca="false">H210*I210</f>
        <v>31384.5</v>
      </c>
    </row>
    <row r="211" customFormat="false" ht="15" hidden="false" customHeight="false" outlineLevel="0" collapsed="false">
      <c r="E211" s="46" t="s">
        <v>220</v>
      </c>
      <c r="F211" s="46" t="s">
        <v>97</v>
      </c>
      <c r="G211" s="46" t="s">
        <v>265</v>
      </c>
      <c r="H211" s="74" t="n">
        <v>65</v>
      </c>
      <c r="I211" s="75" t="n">
        <f aca="false">INDEX($C$5:$C$26,MATCH(G211,$A$5:$A$26,0))</f>
        <v>206.535</v>
      </c>
      <c r="J211" s="57" t="n">
        <f aca="false">H211*I211</f>
        <v>13424.775</v>
      </c>
    </row>
    <row r="212" customFormat="false" ht="15" hidden="false" customHeight="false" outlineLevel="0" collapsed="false">
      <c r="E212" s="46" t="s">
        <v>220</v>
      </c>
      <c r="F212" s="46" t="s">
        <v>99</v>
      </c>
      <c r="G212" s="46" t="s">
        <v>259</v>
      </c>
      <c r="H212" s="74" t="n">
        <v>55</v>
      </c>
      <c r="I212" s="75" t="n">
        <f aca="false">INDEX($C$5:$C$26,MATCH(G212,$A$5:$A$26,0))</f>
        <v>256.515</v>
      </c>
      <c r="J212" s="57" t="n">
        <f aca="false">H212*I212</f>
        <v>14108.325</v>
      </c>
    </row>
    <row r="213" customFormat="false" ht="15" hidden="false" customHeight="false" outlineLevel="0" collapsed="false">
      <c r="E213" s="46" t="s">
        <v>220</v>
      </c>
      <c r="F213" s="46" t="s">
        <v>99</v>
      </c>
      <c r="G213" s="46" t="s">
        <v>261</v>
      </c>
      <c r="H213" s="74" t="n">
        <v>155</v>
      </c>
      <c r="I213" s="75" t="n">
        <f aca="false">INDEX($C$5:$C$26,MATCH(G213,$A$5:$A$26,0))</f>
        <v>236.67</v>
      </c>
      <c r="J213" s="57" t="n">
        <f aca="false">H213*I213</f>
        <v>36683.85</v>
      </c>
    </row>
    <row r="214" customFormat="false" ht="15" hidden="false" customHeight="false" outlineLevel="0" collapsed="false">
      <c r="E214" s="46" t="s">
        <v>220</v>
      </c>
      <c r="F214" s="46" t="s">
        <v>99</v>
      </c>
      <c r="G214" s="46" t="s">
        <v>263</v>
      </c>
      <c r="H214" s="74" t="n">
        <v>190</v>
      </c>
      <c r="I214" s="75" t="n">
        <f aca="false">INDEX($C$5:$C$26,MATCH(G214,$A$5:$A$26,0))</f>
        <v>224.175</v>
      </c>
      <c r="J214" s="57" t="n">
        <f aca="false">H214*I214</f>
        <v>42593.25</v>
      </c>
    </row>
    <row r="215" customFormat="false" ht="15" hidden="false" customHeight="false" outlineLevel="0" collapsed="false">
      <c r="E215" s="46" t="s">
        <v>220</v>
      </c>
      <c r="F215" s="46" t="s">
        <v>99</v>
      </c>
      <c r="G215" s="46" t="s">
        <v>265</v>
      </c>
      <c r="H215" s="74" t="n">
        <v>75</v>
      </c>
      <c r="I215" s="75" t="n">
        <f aca="false">INDEX($C$5:$C$26,MATCH(G215,$A$5:$A$26,0))</f>
        <v>206.535</v>
      </c>
      <c r="J215" s="57" t="n">
        <f aca="false">H215*I215</f>
        <v>15490.125</v>
      </c>
    </row>
    <row r="216" customFormat="false" ht="15" hidden="false" customHeight="false" outlineLevel="0" collapsed="false">
      <c r="E216" s="46" t="s">
        <v>222</v>
      </c>
      <c r="F216" s="46" t="s">
        <v>93</v>
      </c>
      <c r="G216" s="46" t="s">
        <v>259</v>
      </c>
      <c r="H216" s="74" t="n">
        <v>80</v>
      </c>
      <c r="I216" s="75" t="n">
        <f aca="false">INDEX($C$5:$C$26,MATCH(G216,$A$5:$A$26,0))</f>
        <v>256.515</v>
      </c>
      <c r="J216" s="57" t="n">
        <f aca="false">H216*I216</f>
        <v>20521.2</v>
      </c>
    </row>
    <row r="217" customFormat="false" ht="15" hidden="false" customHeight="false" outlineLevel="0" collapsed="false">
      <c r="E217" s="46" t="s">
        <v>222</v>
      </c>
      <c r="F217" s="46" t="s">
        <v>93</v>
      </c>
      <c r="G217" s="46" t="s">
        <v>261</v>
      </c>
      <c r="H217" s="74" t="n">
        <v>230</v>
      </c>
      <c r="I217" s="75" t="n">
        <f aca="false">INDEX($C$5:$C$26,MATCH(G217,$A$5:$A$26,0))</f>
        <v>236.67</v>
      </c>
      <c r="J217" s="57" t="n">
        <f aca="false">H217*I217</f>
        <v>54434.1</v>
      </c>
    </row>
    <row r="218" customFormat="false" ht="15" hidden="false" customHeight="false" outlineLevel="0" collapsed="false">
      <c r="E218" s="46" t="s">
        <v>222</v>
      </c>
      <c r="F218" s="46" t="s">
        <v>93</v>
      </c>
      <c r="G218" s="46" t="s">
        <v>263</v>
      </c>
      <c r="H218" s="74" t="n">
        <v>190</v>
      </c>
      <c r="I218" s="75" t="n">
        <f aca="false">INDEX($C$5:$C$26,MATCH(G218,$A$5:$A$26,0))</f>
        <v>224.175</v>
      </c>
      <c r="J218" s="57" t="n">
        <f aca="false">H218*I218</f>
        <v>42593.25</v>
      </c>
    </row>
    <row r="219" customFormat="false" ht="15" hidden="false" customHeight="false" outlineLevel="0" collapsed="false">
      <c r="E219" s="46" t="s">
        <v>222</v>
      </c>
      <c r="F219" s="46" t="s">
        <v>93</v>
      </c>
      <c r="G219" s="46" t="s">
        <v>265</v>
      </c>
      <c r="H219" s="74" t="n">
        <v>65</v>
      </c>
      <c r="I219" s="75" t="n">
        <f aca="false">INDEX($C$5:$C$26,MATCH(G219,$A$5:$A$26,0))</f>
        <v>206.535</v>
      </c>
      <c r="J219" s="57" t="n">
        <f aca="false">H219*I219</f>
        <v>13424.775</v>
      </c>
    </row>
    <row r="220" customFormat="false" ht="15" hidden="false" customHeight="false" outlineLevel="0" collapsed="false">
      <c r="E220" s="46" t="s">
        <v>224</v>
      </c>
      <c r="F220" s="46" t="s">
        <v>95</v>
      </c>
      <c r="G220" s="46" t="s">
        <v>259</v>
      </c>
      <c r="H220" s="74" t="n">
        <v>45</v>
      </c>
      <c r="I220" s="75" t="n">
        <f aca="false">INDEX($C$5:$C$26,MATCH(G220,$A$5:$A$26,0))</f>
        <v>256.515</v>
      </c>
      <c r="J220" s="57" t="n">
        <f aca="false">H220*I220</f>
        <v>11543.175</v>
      </c>
    </row>
    <row r="221" customFormat="false" ht="15" hidden="false" customHeight="false" outlineLevel="0" collapsed="false">
      <c r="E221" s="46" t="s">
        <v>224</v>
      </c>
      <c r="F221" s="46" t="s">
        <v>95</v>
      </c>
      <c r="G221" s="46" t="s">
        <v>261</v>
      </c>
      <c r="H221" s="74" t="n">
        <v>180</v>
      </c>
      <c r="I221" s="75" t="n">
        <f aca="false">INDEX($C$5:$C$26,MATCH(G221,$A$5:$A$26,0))</f>
        <v>236.67</v>
      </c>
      <c r="J221" s="57" t="n">
        <f aca="false">H221*I221</f>
        <v>42600.6</v>
      </c>
    </row>
    <row r="222" customFormat="false" ht="15" hidden="false" customHeight="false" outlineLevel="0" collapsed="false">
      <c r="E222" s="46" t="s">
        <v>224</v>
      </c>
      <c r="F222" s="46" t="s">
        <v>95</v>
      </c>
      <c r="G222" s="46" t="s">
        <v>263</v>
      </c>
      <c r="H222" s="74" t="n">
        <v>165</v>
      </c>
      <c r="I222" s="75" t="n">
        <f aca="false">INDEX($C$5:$C$26,MATCH(G222,$A$5:$A$26,0))</f>
        <v>224.175</v>
      </c>
      <c r="J222" s="57" t="n">
        <f aca="false">H222*I222</f>
        <v>36988.875</v>
      </c>
    </row>
    <row r="223" customFormat="false" ht="15" hidden="false" customHeight="false" outlineLevel="0" collapsed="false">
      <c r="E223" s="46" t="s">
        <v>224</v>
      </c>
      <c r="F223" s="46" t="s">
        <v>95</v>
      </c>
      <c r="G223" s="46" t="s">
        <v>265</v>
      </c>
      <c r="H223" s="74" t="n">
        <v>60</v>
      </c>
      <c r="I223" s="75" t="n">
        <f aca="false">INDEX($C$5:$C$26,MATCH(G223,$A$5:$A$26,0))</f>
        <v>206.535</v>
      </c>
      <c r="J223" s="57" t="n">
        <f aca="false">H223*I223</f>
        <v>12392.1</v>
      </c>
    </row>
    <row r="224" customFormat="false" ht="15" hidden="false" customHeight="false" outlineLevel="0" collapsed="false">
      <c r="E224" s="46" t="s">
        <v>224</v>
      </c>
      <c r="F224" s="46" t="s">
        <v>97</v>
      </c>
      <c r="G224" s="46" t="s">
        <v>259</v>
      </c>
      <c r="H224" s="74" t="n">
        <v>40</v>
      </c>
      <c r="I224" s="75" t="n">
        <f aca="false">INDEX($C$5:$C$26,MATCH(G224,$A$5:$A$26,0))</f>
        <v>256.515</v>
      </c>
      <c r="J224" s="57" t="n">
        <f aca="false">H224*I224</f>
        <v>10260.6</v>
      </c>
    </row>
    <row r="225" customFormat="false" ht="15" hidden="false" customHeight="false" outlineLevel="0" collapsed="false">
      <c r="E225" s="46" t="s">
        <v>224</v>
      </c>
      <c r="F225" s="46" t="s">
        <v>97</v>
      </c>
      <c r="G225" s="46" t="s">
        <v>261</v>
      </c>
      <c r="H225" s="74" t="n">
        <v>105</v>
      </c>
      <c r="I225" s="75" t="n">
        <f aca="false">INDEX($C$5:$C$26,MATCH(G225,$A$5:$A$26,0))</f>
        <v>236.67</v>
      </c>
      <c r="J225" s="57" t="n">
        <f aca="false">H225*I225</f>
        <v>24850.35</v>
      </c>
    </row>
    <row r="226" customFormat="false" ht="15" hidden="false" customHeight="false" outlineLevel="0" collapsed="false">
      <c r="E226" s="46" t="s">
        <v>224</v>
      </c>
      <c r="F226" s="46" t="s">
        <v>97</v>
      </c>
      <c r="G226" s="46" t="s">
        <v>263</v>
      </c>
      <c r="H226" s="74" t="n">
        <v>130</v>
      </c>
      <c r="I226" s="75" t="n">
        <f aca="false">INDEX($C$5:$C$26,MATCH(G226,$A$5:$A$26,0))</f>
        <v>224.175</v>
      </c>
      <c r="J226" s="57" t="n">
        <f aca="false">H226*I226</f>
        <v>29142.75</v>
      </c>
    </row>
    <row r="227" customFormat="false" ht="15" hidden="false" customHeight="false" outlineLevel="0" collapsed="false">
      <c r="E227" s="46" t="s">
        <v>224</v>
      </c>
      <c r="F227" s="46" t="s">
        <v>97</v>
      </c>
      <c r="G227" s="46" t="s">
        <v>265</v>
      </c>
      <c r="H227" s="74" t="n">
        <v>65</v>
      </c>
      <c r="I227" s="75" t="n">
        <f aca="false">INDEX($C$5:$C$26,MATCH(G227,$A$5:$A$26,0))</f>
        <v>206.535</v>
      </c>
      <c r="J227" s="57" t="n">
        <f aca="false">H227*I227</f>
        <v>13424.775</v>
      </c>
    </row>
    <row r="228" customFormat="false" ht="15" hidden="false" customHeight="false" outlineLevel="0" collapsed="false">
      <c r="E228" s="46" t="s">
        <v>224</v>
      </c>
      <c r="F228" s="46" t="s">
        <v>99</v>
      </c>
      <c r="G228" s="46" t="s">
        <v>259</v>
      </c>
      <c r="H228" s="74" t="n">
        <v>30</v>
      </c>
      <c r="I228" s="75" t="n">
        <f aca="false">INDEX($C$5:$C$26,MATCH(G228,$A$5:$A$26,0))</f>
        <v>256.515</v>
      </c>
      <c r="J228" s="57" t="n">
        <f aca="false">H228*I228</f>
        <v>7695.45</v>
      </c>
    </row>
    <row r="229" customFormat="false" ht="15" hidden="false" customHeight="false" outlineLevel="0" collapsed="false">
      <c r="E229" s="46" t="s">
        <v>224</v>
      </c>
      <c r="F229" s="46" t="s">
        <v>99</v>
      </c>
      <c r="G229" s="46" t="s">
        <v>261</v>
      </c>
      <c r="H229" s="74" t="n">
        <v>70</v>
      </c>
      <c r="I229" s="75" t="n">
        <f aca="false">INDEX($C$5:$C$26,MATCH(G229,$A$5:$A$26,0))</f>
        <v>236.67</v>
      </c>
      <c r="J229" s="57" t="n">
        <f aca="false">H229*I229</f>
        <v>16566.9</v>
      </c>
    </row>
    <row r="230" customFormat="false" ht="15" hidden="false" customHeight="false" outlineLevel="0" collapsed="false">
      <c r="E230" s="46" t="s">
        <v>224</v>
      </c>
      <c r="F230" s="46" t="s">
        <v>99</v>
      </c>
      <c r="G230" s="46" t="s">
        <v>263</v>
      </c>
      <c r="H230" s="74" t="n">
        <v>70</v>
      </c>
      <c r="I230" s="75" t="n">
        <f aca="false">INDEX($C$5:$C$26,MATCH(G230,$A$5:$A$26,0))</f>
        <v>224.175</v>
      </c>
      <c r="J230" s="57" t="n">
        <f aca="false">H230*I230</f>
        <v>15692.25</v>
      </c>
    </row>
    <row r="231" customFormat="false" ht="15" hidden="false" customHeight="false" outlineLevel="0" collapsed="false">
      <c r="E231" s="46" t="s">
        <v>224</v>
      </c>
      <c r="F231" s="46" t="s">
        <v>99</v>
      </c>
      <c r="G231" s="46" t="s">
        <v>265</v>
      </c>
      <c r="H231" s="74" t="n">
        <v>55</v>
      </c>
      <c r="I231" s="75" t="n">
        <f aca="false">INDEX($C$5:$C$26,MATCH(G231,$A$5:$A$26,0))</f>
        <v>206.535</v>
      </c>
      <c r="J231" s="57" t="n">
        <f aca="false">H231*I231</f>
        <v>11359.425</v>
      </c>
    </row>
    <row r="232" customFormat="false" ht="15" hidden="false" customHeight="false" outlineLevel="0" collapsed="false">
      <c r="E232" s="46" t="s">
        <v>226</v>
      </c>
      <c r="F232" s="46" t="s">
        <v>87</v>
      </c>
      <c r="G232" s="46" t="s">
        <v>259</v>
      </c>
      <c r="H232" s="74" t="n">
        <v>45</v>
      </c>
      <c r="I232" s="75" t="n">
        <f aca="false">INDEX($C$5:$C$26,MATCH(G232,$A$5:$A$26,0))</f>
        <v>256.515</v>
      </c>
      <c r="J232" s="57" t="n">
        <f aca="false">H232*I232</f>
        <v>11543.175</v>
      </c>
    </row>
    <row r="233" customFormat="false" ht="15" hidden="false" customHeight="false" outlineLevel="0" collapsed="false">
      <c r="E233" s="46" t="s">
        <v>226</v>
      </c>
      <c r="F233" s="46" t="s">
        <v>87</v>
      </c>
      <c r="G233" s="46" t="s">
        <v>261</v>
      </c>
      <c r="H233" s="74" t="n">
        <v>95</v>
      </c>
      <c r="I233" s="75" t="n">
        <f aca="false">INDEX($C$5:$C$26,MATCH(G233,$A$5:$A$26,0))</f>
        <v>236.67</v>
      </c>
      <c r="J233" s="57" t="n">
        <f aca="false">H233*I233</f>
        <v>22483.65</v>
      </c>
    </row>
    <row r="234" customFormat="false" ht="15" hidden="false" customHeight="false" outlineLevel="0" collapsed="false">
      <c r="E234" s="46" t="s">
        <v>226</v>
      </c>
      <c r="F234" s="46" t="s">
        <v>87</v>
      </c>
      <c r="G234" s="46" t="s">
        <v>263</v>
      </c>
      <c r="H234" s="74" t="n">
        <v>140</v>
      </c>
      <c r="I234" s="75" t="n">
        <f aca="false">INDEX($C$5:$C$26,MATCH(G234,$A$5:$A$26,0))</f>
        <v>224.175</v>
      </c>
      <c r="J234" s="57" t="n">
        <f aca="false">H234*I234</f>
        <v>31384.5</v>
      </c>
    </row>
    <row r="235" customFormat="false" ht="15" hidden="false" customHeight="false" outlineLevel="0" collapsed="false">
      <c r="E235" s="46" t="s">
        <v>226</v>
      </c>
      <c r="F235" s="46" t="s">
        <v>87</v>
      </c>
      <c r="G235" s="46" t="s">
        <v>265</v>
      </c>
      <c r="H235" s="74" t="n">
        <v>65</v>
      </c>
      <c r="I235" s="75" t="n">
        <f aca="false">INDEX($C$5:$C$26,MATCH(G235,$A$5:$A$26,0))</f>
        <v>206.535</v>
      </c>
      <c r="J235" s="57" t="n">
        <f aca="false">H235*I235</f>
        <v>13424.775</v>
      </c>
    </row>
    <row r="236" customFormat="false" ht="15" hidden="false" customHeight="false" outlineLevel="0" collapsed="false">
      <c r="E236" s="46" t="s">
        <v>89</v>
      </c>
      <c r="F236" s="46" t="s">
        <v>87</v>
      </c>
      <c r="G236" s="46" t="s">
        <v>259</v>
      </c>
      <c r="H236" s="74" t="n">
        <v>55</v>
      </c>
      <c r="I236" s="75" t="n">
        <f aca="false">INDEX($C$5:$C$26,MATCH(G236,$A$5:$A$26,0))</f>
        <v>256.515</v>
      </c>
      <c r="J236" s="57" t="n">
        <f aca="false">H236*I236</f>
        <v>14108.325</v>
      </c>
    </row>
    <row r="237" customFormat="false" ht="15" hidden="false" customHeight="false" outlineLevel="0" collapsed="false">
      <c r="E237" s="46" t="s">
        <v>89</v>
      </c>
      <c r="F237" s="46" t="s">
        <v>87</v>
      </c>
      <c r="G237" s="46" t="s">
        <v>261</v>
      </c>
      <c r="H237" s="74" t="n">
        <v>95</v>
      </c>
      <c r="I237" s="75" t="n">
        <f aca="false">INDEX($C$5:$C$26,MATCH(G237,$A$5:$A$26,0))</f>
        <v>236.67</v>
      </c>
      <c r="J237" s="57" t="n">
        <f aca="false">H237*I237</f>
        <v>22483.65</v>
      </c>
    </row>
    <row r="238" customFormat="false" ht="15" hidden="false" customHeight="false" outlineLevel="0" collapsed="false">
      <c r="E238" s="46" t="s">
        <v>89</v>
      </c>
      <c r="F238" s="46" t="s">
        <v>87</v>
      </c>
      <c r="G238" s="46" t="s">
        <v>263</v>
      </c>
      <c r="H238" s="74" t="n">
        <v>85</v>
      </c>
      <c r="I238" s="75" t="n">
        <f aca="false">INDEX($C$5:$C$26,MATCH(G238,$A$5:$A$26,0))</f>
        <v>224.175</v>
      </c>
      <c r="J238" s="57" t="n">
        <f aca="false">H238*I238</f>
        <v>19054.875</v>
      </c>
    </row>
    <row r="239" customFormat="false" ht="15" hidden="false" customHeight="false" outlineLevel="0" collapsed="false">
      <c r="E239" s="46" t="s">
        <v>89</v>
      </c>
      <c r="F239" s="46" t="s">
        <v>87</v>
      </c>
      <c r="G239" s="46" t="s">
        <v>265</v>
      </c>
      <c r="H239" s="74" t="n">
        <v>35</v>
      </c>
      <c r="I239" s="75" t="n">
        <f aca="false">INDEX($C$5:$C$26,MATCH(G239,$A$5:$A$26,0))</f>
        <v>206.535</v>
      </c>
      <c r="J239" s="57" t="n">
        <f aca="false">H239*I239</f>
        <v>7228.725</v>
      </c>
    </row>
    <row r="240" customFormat="false" ht="15" hidden="false" customHeight="false" outlineLevel="0" collapsed="false">
      <c r="E240" s="46" t="s">
        <v>89</v>
      </c>
      <c r="F240" s="46" t="s">
        <v>89</v>
      </c>
      <c r="G240" s="46" t="s">
        <v>259</v>
      </c>
      <c r="H240" s="74" t="n">
        <v>65</v>
      </c>
      <c r="I240" s="75" t="n">
        <f aca="false">INDEX($C$5:$C$26,MATCH(G240,$A$5:$A$26,0))</f>
        <v>256.515</v>
      </c>
      <c r="J240" s="57" t="n">
        <f aca="false">H240*I240</f>
        <v>16673.475</v>
      </c>
    </row>
    <row r="241" customFormat="false" ht="15" hidden="false" customHeight="false" outlineLevel="0" collapsed="false">
      <c r="E241" s="46" t="s">
        <v>89</v>
      </c>
      <c r="F241" s="46" t="s">
        <v>89</v>
      </c>
      <c r="G241" s="46" t="s">
        <v>261</v>
      </c>
      <c r="H241" s="74" t="n">
        <v>140</v>
      </c>
      <c r="I241" s="75" t="n">
        <f aca="false">INDEX($C$5:$C$26,MATCH(G241,$A$5:$A$26,0))</f>
        <v>236.67</v>
      </c>
      <c r="J241" s="57" t="n">
        <f aca="false">H241*I241</f>
        <v>33133.8</v>
      </c>
    </row>
    <row r="242" customFormat="false" ht="15" hidden="false" customHeight="false" outlineLevel="0" collapsed="false">
      <c r="E242" s="46" t="s">
        <v>89</v>
      </c>
      <c r="F242" s="46" t="s">
        <v>89</v>
      </c>
      <c r="G242" s="46" t="s">
        <v>263</v>
      </c>
      <c r="H242" s="74" t="n">
        <v>130</v>
      </c>
      <c r="I242" s="75" t="n">
        <f aca="false">INDEX($C$5:$C$26,MATCH(G242,$A$5:$A$26,0))</f>
        <v>224.175</v>
      </c>
      <c r="J242" s="57" t="n">
        <f aca="false">H242*I242</f>
        <v>29142.75</v>
      </c>
    </row>
    <row r="243" customFormat="false" ht="15" hidden="false" customHeight="false" outlineLevel="0" collapsed="false">
      <c r="E243" s="46" t="s">
        <v>89</v>
      </c>
      <c r="F243" s="46" t="s">
        <v>89</v>
      </c>
      <c r="G243" s="46" t="s">
        <v>265</v>
      </c>
      <c r="H243" s="74" t="n">
        <v>45</v>
      </c>
      <c r="I243" s="75" t="n">
        <f aca="false">INDEX($C$5:$C$26,MATCH(G243,$A$5:$A$26,0))</f>
        <v>206.535</v>
      </c>
      <c r="J243" s="57" t="n">
        <f aca="false">H243*I243</f>
        <v>9294.075</v>
      </c>
    </row>
    <row r="244" customFormat="false" ht="15" hidden="false" customHeight="false" outlineLevel="0" collapsed="false">
      <c r="E244" s="46" t="s">
        <v>91</v>
      </c>
      <c r="F244" s="46" t="s">
        <v>87</v>
      </c>
      <c r="G244" s="46" t="s">
        <v>259</v>
      </c>
      <c r="H244" s="74" t="n">
        <v>35</v>
      </c>
      <c r="I244" s="75" t="n">
        <f aca="false">INDEX($C$5:$C$26,MATCH(G244,$A$5:$A$26,0))</f>
        <v>256.515</v>
      </c>
      <c r="J244" s="57" t="n">
        <f aca="false">H244*I244</f>
        <v>8978.025</v>
      </c>
    </row>
    <row r="245" customFormat="false" ht="15" hidden="false" customHeight="false" outlineLevel="0" collapsed="false">
      <c r="E245" s="46" t="s">
        <v>91</v>
      </c>
      <c r="F245" s="46" t="s">
        <v>87</v>
      </c>
      <c r="G245" s="46" t="s">
        <v>261</v>
      </c>
      <c r="H245" s="74" t="n">
        <v>70</v>
      </c>
      <c r="I245" s="75" t="n">
        <f aca="false">INDEX($C$5:$C$26,MATCH(G245,$A$5:$A$26,0))</f>
        <v>236.67</v>
      </c>
      <c r="J245" s="57" t="n">
        <f aca="false">H245*I245</f>
        <v>16566.9</v>
      </c>
    </row>
    <row r="246" customFormat="false" ht="15" hidden="false" customHeight="false" outlineLevel="0" collapsed="false">
      <c r="E246" s="46" t="s">
        <v>91</v>
      </c>
      <c r="F246" s="46" t="s">
        <v>87</v>
      </c>
      <c r="G246" s="46" t="s">
        <v>263</v>
      </c>
      <c r="H246" s="74" t="n">
        <v>60</v>
      </c>
      <c r="I246" s="75" t="n">
        <f aca="false">INDEX($C$5:$C$26,MATCH(G246,$A$5:$A$26,0))</f>
        <v>224.175</v>
      </c>
      <c r="J246" s="57" t="n">
        <f aca="false">H246*I246</f>
        <v>13450.5</v>
      </c>
    </row>
    <row r="247" customFormat="false" ht="15" hidden="false" customHeight="false" outlineLevel="0" collapsed="false">
      <c r="E247" s="46" t="s">
        <v>91</v>
      </c>
      <c r="F247" s="46" t="s">
        <v>87</v>
      </c>
      <c r="G247" s="46" t="s">
        <v>265</v>
      </c>
      <c r="H247" s="74" t="n">
        <v>30</v>
      </c>
      <c r="I247" s="75" t="n">
        <f aca="false">INDEX($C$5:$C$26,MATCH(G247,$A$5:$A$26,0))</f>
        <v>206.535</v>
      </c>
      <c r="J247" s="57" t="n">
        <f aca="false">H247*I247</f>
        <v>6196.05</v>
      </c>
    </row>
    <row r="248" customFormat="false" ht="15" hidden="false" customHeight="false" outlineLevel="0" collapsed="false">
      <c r="E248" s="46" t="s">
        <v>91</v>
      </c>
      <c r="F248" s="46" t="s">
        <v>89</v>
      </c>
      <c r="G248" s="46" t="s">
        <v>259</v>
      </c>
      <c r="H248" s="74" t="n">
        <v>45</v>
      </c>
      <c r="I248" s="75" t="n">
        <f aca="false">INDEX($C$5:$C$26,MATCH(G248,$A$5:$A$26,0))</f>
        <v>256.515</v>
      </c>
      <c r="J248" s="57" t="n">
        <f aca="false">H248*I248</f>
        <v>11543.175</v>
      </c>
    </row>
    <row r="249" customFormat="false" ht="15" hidden="false" customHeight="false" outlineLevel="0" collapsed="false">
      <c r="E249" s="46" t="s">
        <v>91</v>
      </c>
      <c r="F249" s="46" t="s">
        <v>89</v>
      </c>
      <c r="G249" s="46" t="s">
        <v>261</v>
      </c>
      <c r="H249" s="74" t="n">
        <v>120</v>
      </c>
      <c r="I249" s="75" t="n">
        <f aca="false">INDEX($C$5:$C$26,MATCH(G249,$A$5:$A$26,0))</f>
        <v>236.67</v>
      </c>
      <c r="J249" s="57" t="n">
        <f aca="false">H249*I249</f>
        <v>28400.4</v>
      </c>
    </row>
    <row r="250" customFormat="false" ht="15" hidden="false" customHeight="false" outlineLevel="0" collapsed="false">
      <c r="E250" s="46" t="s">
        <v>91</v>
      </c>
      <c r="F250" s="46" t="s">
        <v>89</v>
      </c>
      <c r="G250" s="46" t="s">
        <v>263</v>
      </c>
      <c r="H250" s="74" t="n">
        <v>100</v>
      </c>
      <c r="I250" s="75" t="n">
        <f aca="false">INDEX($C$5:$C$26,MATCH(G250,$A$5:$A$26,0))</f>
        <v>224.175</v>
      </c>
      <c r="J250" s="57" t="n">
        <f aca="false">H250*I250</f>
        <v>22417.5</v>
      </c>
    </row>
    <row r="251" customFormat="false" ht="15" hidden="false" customHeight="false" outlineLevel="0" collapsed="false">
      <c r="E251" s="46" t="s">
        <v>91</v>
      </c>
      <c r="F251" s="46" t="s">
        <v>89</v>
      </c>
      <c r="G251" s="46" t="s">
        <v>265</v>
      </c>
      <c r="H251" s="74" t="n">
        <v>40</v>
      </c>
      <c r="I251" s="75" t="n">
        <f aca="false">INDEX($C$5:$C$26,MATCH(G251,$A$5:$A$26,0))</f>
        <v>206.535</v>
      </c>
      <c r="J251" s="57" t="n">
        <f aca="false">H251*I251</f>
        <v>8261.4</v>
      </c>
    </row>
    <row r="252" customFormat="false" ht="15" hidden="false" customHeight="false" outlineLevel="0" collapsed="false">
      <c r="E252" s="46" t="s">
        <v>91</v>
      </c>
      <c r="F252" s="46" t="s">
        <v>91</v>
      </c>
      <c r="G252" s="46" t="s">
        <v>259</v>
      </c>
      <c r="H252" s="74" t="n">
        <v>75</v>
      </c>
      <c r="I252" s="75" t="n">
        <f aca="false">INDEX($C$5:$C$26,MATCH(G252,$A$5:$A$26,0))</f>
        <v>256.515</v>
      </c>
      <c r="J252" s="57" t="n">
        <f aca="false">H252*I252</f>
        <v>19238.625</v>
      </c>
    </row>
    <row r="253" customFormat="false" ht="15" hidden="false" customHeight="false" outlineLevel="0" collapsed="false">
      <c r="E253" s="46" t="s">
        <v>91</v>
      </c>
      <c r="F253" s="46" t="s">
        <v>91</v>
      </c>
      <c r="G253" s="46" t="s">
        <v>261</v>
      </c>
      <c r="H253" s="74" t="n">
        <v>190</v>
      </c>
      <c r="I253" s="75" t="n">
        <f aca="false">INDEX($C$5:$C$26,MATCH(G253,$A$5:$A$26,0))</f>
        <v>236.67</v>
      </c>
      <c r="J253" s="57" t="n">
        <f aca="false">H253*I253</f>
        <v>44967.3</v>
      </c>
    </row>
    <row r="254" customFormat="false" ht="15" hidden="false" customHeight="false" outlineLevel="0" collapsed="false">
      <c r="E254" s="46" t="s">
        <v>91</v>
      </c>
      <c r="F254" s="46" t="s">
        <v>91</v>
      </c>
      <c r="G254" s="46" t="s">
        <v>263</v>
      </c>
      <c r="H254" s="74" t="n">
        <v>200</v>
      </c>
      <c r="I254" s="75" t="n">
        <f aca="false">INDEX($C$5:$C$26,MATCH(G254,$A$5:$A$26,0))</f>
        <v>224.175</v>
      </c>
      <c r="J254" s="57" t="n">
        <f aca="false">H254*I254</f>
        <v>44835</v>
      </c>
    </row>
    <row r="255" customFormat="false" ht="15" hidden="false" customHeight="false" outlineLevel="0" collapsed="false">
      <c r="E255" s="46" t="s">
        <v>91</v>
      </c>
      <c r="F255" s="46" t="s">
        <v>91</v>
      </c>
      <c r="G255" s="46" t="s">
        <v>265</v>
      </c>
      <c r="H255" s="74" t="n">
        <v>75</v>
      </c>
      <c r="I255" s="75" t="n">
        <f aca="false">INDEX($C$5:$C$26,MATCH(G255,$A$5:$A$26,0))</f>
        <v>206.535</v>
      </c>
      <c r="J255" s="57" t="n">
        <f aca="false">H255*I255</f>
        <v>15490.125</v>
      </c>
    </row>
    <row r="256" customFormat="false" ht="15" hidden="false" customHeight="false" outlineLevel="0" collapsed="false">
      <c r="E256" s="46" t="s">
        <v>91</v>
      </c>
      <c r="F256" s="46" t="s">
        <v>93</v>
      </c>
      <c r="G256" s="46" t="s">
        <v>259</v>
      </c>
      <c r="H256" s="74" t="n">
        <v>85</v>
      </c>
      <c r="I256" s="75" t="n">
        <f aca="false">INDEX($C$5:$C$26,MATCH(G256,$A$5:$A$26,0))</f>
        <v>256.515</v>
      </c>
      <c r="J256" s="57" t="n">
        <f aca="false">H256*I256</f>
        <v>21803.775</v>
      </c>
    </row>
    <row r="257" customFormat="false" ht="15" hidden="false" customHeight="false" outlineLevel="0" collapsed="false">
      <c r="E257" s="46" t="s">
        <v>91</v>
      </c>
      <c r="F257" s="46" t="s">
        <v>93</v>
      </c>
      <c r="G257" s="46" t="s">
        <v>261</v>
      </c>
      <c r="H257" s="74" t="n">
        <v>235</v>
      </c>
      <c r="I257" s="75" t="n">
        <f aca="false">INDEX($C$5:$C$26,MATCH(G257,$A$5:$A$26,0))</f>
        <v>236.67</v>
      </c>
      <c r="J257" s="57" t="n">
        <f aca="false">H257*I257</f>
        <v>55617.45</v>
      </c>
    </row>
    <row r="258" customFormat="false" ht="15" hidden="false" customHeight="false" outlineLevel="0" collapsed="false">
      <c r="E258" s="46" t="s">
        <v>91</v>
      </c>
      <c r="F258" s="46" t="s">
        <v>93</v>
      </c>
      <c r="G258" s="46" t="s">
        <v>263</v>
      </c>
      <c r="H258" s="74" t="n">
        <v>225</v>
      </c>
      <c r="I258" s="75" t="n">
        <f aca="false">INDEX($C$5:$C$26,MATCH(G258,$A$5:$A$26,0))</f>
        <v>224.175</v>
      </c>
      <c r="J258" s="57" t="n">
        <f aca="false">H258*I258</f>
        <v>50439.375</v>
      </c>
    </row>
    <row r="259" customFormat="false" ht="15" hidden="false" customHeight="false" outlineLevel="0" collapsed="false">
      <c r="E259" s="46" t="s">
        <v>91</v>
      </c>
      <c r="F259" s="46" t="s">
        <v>93</v>
      </c>
      <c r="G259" s="46" t="s">
        <v>265</v>
      </c>
      <c r="H259" s="74" t="n">
        <v>85</v>
      </c>
      <c r="I259" s="75" t="n">
        <f aca="false">INDEX($C$5:$C$26,MATCH(G259,$A$5:$A$26,0))</f>
        <v>206.535</v>
      </c>
      <c r="J259" s="57" t="n">
        <f aca="false">H259*I259</f>
        <v>17555.475</v>
      </c>
    </row>
    <row r="260" customFormat="false" ht="15" hidden="false" customHeight="false" outlineLevel="0" collapsed="false">
      <c r="E260" s="46" t="s">
        <v>91</v>
      </c>
      <c r="F260" s="46" t="s">
        <v>95</v>
      </c>
      <c r="G260" s="46" t="s">
        <v>259</v>
      </c>
      <c r="H260" s="74" t="n">
        <v>45</v>
      </c>
      <c r="I260" s="75" t="n">
        <f aca="false">INDEX($C$5:$C$26,MATCH(G260,$A$5:$A$26,0))</f>
        <v>256.515</v>
      </c>
      <c r="J260" s="57" t="n">
        <f aca="false">H260*I260</f>
        <v>11543.175</v>
      </c>
    </row>
    <row r="261" customFormat="false" ht="15" hidden="false" customHeight="false" outlineLevel="0" collapsed="false">
      <c r="E261" s="46" t="s">
        <v>91</v>
      </c>
      <c r="F261" s="46" t="s">
        <v>95</v>
      </c>
      <c r="G261" s="46" t="s">
        <v>261</v>
      </c>
      <c r="H261" s="74" t="n">
        <v>85</v>
      </c>
      <c r="I261" s="75" t="n">
        <f aca="false">INDEX($C$5:$C$26,MATCH(G261,$A$5:$A$26,0))</f>
        <v>236.67</v>
      </c>
      <c r="J261" s="57" t="n">
        <f aca="false">H261*I261</f>
        <v>20116.95</v>
      </c>
    </row>
    <row r="262" customFormat="false" ht="15" hidden="false" customHeight="false" outlineLevel="0" collapsed="false">
      <c r="E262" s="46" t="s">
        <v>91</v>
      </c>
      <c r="F262" s="46" t="s">
        <v>95</v>
      </c>
      <c r="G262" s="46" t="s">
        <v>263</v>
      </c>
      <c r="H262" s="74" t="n">
        <v>90</v>
      </c>
      <c r="I262" s="75" t="n">
        <f aca="false">INDEX($C$5:$C$26,MATCH(G262,$A$5:$A$26,0))</f>
        <v>224.175</v>
      </c>
      <c r="J262" s="57" t="n">
        <f aca="false">H262*I262</f>
        <v>20175.75</v>
      </c>
    </row>
    <row r="263" customFormat="false" ht="15" hidden="false" customHeight="false" outlineLevel="0" collapsed="false">
      <c r="E263" s="46" t="s">
        <v>91</v>
      </c>
      <c r="F263" s="46" t="s">
        <v>95</v>
      </c>
      <c r="G263" s="46" t="s">
        <v>265</v>
      </c>
      <c r="H263" s="74" t="n">
        <v>55</v>
      </c>
      <c r="I263" s="75" t="n">
        <f aca="false">INDEX($C$5:$C$26,MATCH(G263,$A$5:$A$26,0))</f>
        <v>206.535</v>
      </c>
      <c r="J263" s="57" t="n">
        <f aca="false">H263*I263</f>
        <v>11359.425</v>
      </c>
    </row>
    <row r="264" customFormat="false" ht="15" hidden="false" customHeight="false" outlineLevel="0" collapsed="false">
      <c r="E264" s="46" t="s">
        <v>91</v>
      </c>
      <c r="F264" s="46" t="s">
        <v>97</v>
      </c>
      <c r="G264" s="46" t="s">
        <v>259</v>
      </c>
      <c r="H264" s="74" t="n">
        <v>45</v>
      </c>
      <c r="I264" s="75" t="n">
        <f aca="false">INDEX($C$5:$C$26,MATCH(G264,$A$5:$A$26,0))</f>
        <v>256.515</v>
      </c>
      <c r="J264" s="57" t="n">
        <f aca="false">H264*I264</f>
        <v>11543.175</v>
      </c>
    </row>
    <row r="265" customFormat="false" ht="15" hidden="false" customHeight="false" outlineLevel="0" collapsed="false">
      <c r="E265" s="46" t="s">
        <v>91</v>
      </c>
      <c r="F265" s="46" t="s">
        <v>97</v>
      </c>
      <c r="G265" s="46" t="s">
        <v>261</v>
      </c>
      <c r="H265" s="74" t="n">
        <v>90</v>
      </c>
      <c r="I265" s="75" t="n">
        <f aca="false">INDEX($C$5:$C$26,MATCH(G265,$A$5:$A$26,0))</f>
        <v>236.67</v>
      </c>
      <c r="J265" s="57" t="n">
        <f aca="false">H265*I265</f>
        <v>21300.3</v>
      </c>
    </row>
    <row r="266" customFormat="false" ht="15" hidden="false" customHeight="false" outlineLevel="0" collapsed="false">
      <c r="E266" s="46" t="s">
        <v>91</v>
      </c>
      <c r="F266" s="46" t="s">
        <v>97</v>
      </c>
      <c r="G266" s="46" t="s">
        <v>263</v>
      </c>
      <c r="H266" s="74" t="n">
        <v>90</v>
      </c>
      <c r="I266" s="75" t="n">
        <f aca="false">INDEX($C$5:$C$26,MATCH(G266,$A$5:$A$26,0))</f>
        <v>224.175</v>
      </c>
      <c r="J266" s="57" t="n">
        <f aca="false">H266*I266</f>
        <v>20175.75</v>
      </c>
    </row>
    <row r="267" customFormat="false" ht="15" hidden="false" customHeight="false" outlineLevel="0" collapsed="false">
      <c r="E267" s="46" t="s">
        <v>91</v>
      </c>
      <c r="F267" s="46" t="s">
        <v>97</v>
      </c>
      <c r="G267" s="46" t="s">
        <v>265</v>
      </c>
      <c r="H267" s="74" t="n">
        <v>60</v>
      </c>
      <c r="I267" s="75" t="n">
        <f aca="false">INDEX($C$5:$C$26,MATCH(G267,$A$5:$A$26,0))</f>
        <v>206.535</v>
      </c>
      <c r="J267" s="57" t="n">
        <f aca="false">H267*I267</f>
        <v>12392.1</v>
      </c>
    </row>
    <row r="268" customFormat="false" ht="15" hidden="false" customHeight="false" outlineLevel="0" collapsed="false">
      <c r="E268" s="46" t="s">
        <v>231</v>
      </c>
      <c r="F268" s="46" t="s">
        <v>93</v>
      </c>
      <c r="G268" s="46" t="s">
        <v>259</v>
      </c>
      <c r="H268" s="74" t="n">
        <v>7</v>
      </c>
      <c r="I268" s="75" t="n">
        <f aca="false">INDEX($C$5:$C$26,MATCH(G268,$A$5:$A$26,0))</f>
        <v>256.515</v>
      </c>
      <c r="J268" s="57" t="n">
        <f aca="false">H268*I268</f>
        <v>1795.605</v>
      </c>
    </row>
    <row r="269" customFormat="false" ht="15" hidden="false" customHeight="false" outlineLevel="0" collapsed="false">
      <c r="E269" s="46" t="s">
        <v>231</v>
      </c>
      <c r="F269" s="46" t="s">
        <v>93</v>
      </c>
      <c r="G269" s="46" t="s">
        <v>261</v>
      </c>
      <c r="H269" s="74" t="n">
        <v>235</v>
      </c>
      <c r="I269" s="75" t="n">
        <f aca="false">INDEX($C$5:$C$26,MATCH(G269,$A$5:$A$26,0))</f>
        <v>236.67</v>
      </c>
      <c r="J269" s="57" t="n">
        <f aca="false">H269*I269</f>
        <v>55617.45</v>
      </c>
    </row>
    <row r="270" customFormat="false" ht="15" hidden="false" customHeight="false" outlineLevel="0" collapsed="false">
      <c r="E270" s="46" t="s">
        <v>231</v>
      </c>
      <c r="F270" s="46" t="s">
        <v>93</v>
      </c>
      <c r="G270" s="46" t="s">
        <v>263</v>
      </c>
      <c r="H270" s="74" t="n">
        <v>280</v>
      </c>
      <c r="I270" s="75" t="n">
        <f aca="false">INDEX($C$5:$C$26,MATCH(G270,$A$5:$A$26,0))</f>
        <v>224.175</v>
      </c>
      <c r="J270" s="57" t="n">
        <f aca="false">H270*I270</f>
        <v>62769</v>
      </c>
    </row>
    <row r="271" customFormat="false" ht="15" hidden="false" customHeight="false" outlineLevel="0" collapsed="false">
      <c r="E271" s="46" t="s">
        <v>231</v>
      </c>
      <c r="F271" s="46" t="s">
        <v>93</v>
      </c>
      <c r="G271" s="46" t="s">
        <v>265</v>
      </c>
      <c r="H271" s="74" t="n">
        <v>75</v>
      </c>
      <c r="I271" s="75" t="n">
        <f aca="false">INDEX($C$5:$C$26,MATCH(G271,$A$5:$A$26,0))</f>
        <v>206.535</v>
      </c>
      <c r="J271" s="57" t="n">
        <f aca="false">H271*I271</f>
        <v>15490.125</v>
      </c>
    </row>
    <row r="272" customFormat="false" ht="15" hidden="false" customHeight="false" outlineLevel="0" collapsed="false">
      <c r="E272" s="46" t="s">
        <v>233</v>
      </c>
      <c r="F272" s="46" t="s">
        <v>91</v>
      </c>
      <c r="G272" s="46" t="s">
        <v>259</v>
      </c>
      <c r="H272" s="74" t="n">
        <v>40</v>
      </c>
      <c r="I272" s="75" t="n">
        <f aca="false">INDEX($C$5:$C$26,MATCH(G272,$A$5:$A$26,0))</f>
        <v>256.515</v>
      </c>
      <c r="J272" s="57" t="n">
        <f aca="false">H272*I272</f>
        <v>10260.6</v>
      </c>
    </row>
    <row r="273" customFormat="false" ht="15" hidden="false" customHeight="false" outlineLevel="0" collapsed="false">
      <c r="E273" s="46" t="s">
        <v>233</v>
      </c>
      <c r="F273" s="46" t="s">
        <v>91</v>
      </c>
      <c r="G273" s="46" t="s">
        <v>261</v>
      </c>
      <c r="H273" s="74" t="n">
        <v>85</v>
      </c>
      <c r="I273" s="75" t="n">
        <f aca="false">INDEX($C$5:$C$26,MATCH(G273,$A$5:$A$26,0))</f>
        <v>236.67</v>
      </c>
      <c r="J273" s="57" t="n">
        <f aca="false">H273*I273</f>
        <v>20116.95</v>
      </c>
    </row>
    <row r="274" customFormat="false" ht="15" hidden="false" customHeight="false" outlineLevel="0" collapsed="false">
      <c r="E274" s="46" t="s">
        <v>233</v>
      </c>
      <c r="F274" s="46" t="s">
        <v>91</v>
      </c>
      <c r="G274" s="46" t="s">
        <v>263</v>
      </c>
      <c r="H274" s="74" t="n">
        <v>105</v>
      </c>
      <c r="I274" s="75" t="n">
        <f aca="false">INDEX($C$5:$C$26,MATCH(G274,$A$5:$A$26,0))</f>
        <v>224.175</v>
      </c>
      <c r="J274" s="57" t="n">
        <f aca="false">H274*I274</f>
        <v>23538.375</v>
      </c>
    </row>
    <row r="275" customFormat="false" ht="15" hidden="false" customHeight="false" outlineLevel="0" collapsed="false">
      <c r="E275" s="46" t="s">
        <v>233</v>
      </c>
      <c r="F275" s="46" t="s">
        <v>91</v>
      </c>
      <c r="G275" s="46" t="s">
        <v>265</v>
      </c>
      <c r="H275" s="74" t="n">
        <v>55</v>
      </c>
      <c r="I275" s="75" t="n">
        <f aca="false">INDEX($C$5:$C$26,MATCH(G275,$A$5:$A$26,0))</f>
        <v>206.535</v>
      </c>
      <c r="J275" s="57" t="n">
        <f aca="false">H275*I275</f>
        <v>11359.425</v>
      </c>
    </row>
    <row r="276" customFormat="false" ht="15" hidden="false" customHeight="false" outlineLevel="0" collapsed="false">
      <c r="E276" s="46" t="s">
        <v>233</v>
      </c>
      <c r="F276" s="46" t="s">
        <v>93</v>
      </c>
      <c r="G276" s="46" t="s">
        <v>259</v>
      </c>
      <c r="H276" s="74" t="n">
        <v>85</v>
      </c>
      <c r="I276" s="75" t="n">
        <f aca="false">INDEX($C$5:$C$26,MATCH(G276,$A$5:$A$26,0))</f>
        <v>256.515</v>
      </c>
      <c r="J276" s="57" t="n">
        <f aca="false">H276*I276</f>
        <v>21803.775</v>
      </c>
    </row>
    <row r="277" customFormat="false" ht="15" hidden="false" customHeight="false" outlineLevel="0" collapsed="false">
      <c r="E277" s="46" t="s">
        <v>233</v>
      </c>
      <c r="F277" s="46" t="s">
        <v>93</v>
      </c>
      <c r="G277" s="46" t="s">
        <v>261</v>
      </c>
      <c r="H277" s="74" t="n">
        <v>225</v>
      </c>
      <c r="I277" s="75" t="n">
        <f aca="false">INDEX($C$5:$C$26,MATCH(G277,$A$5:$A$26,0))</f>
        <v>236.67</v>
      </c>
      <c r="J277" s="57" t="n">
        <f aca="false">H277*I277</f>
        <v>53250.75</v>
      </c>
    </row>
    <row r="278" customFormat="false" ht="15" hidden="false" customHeight="false" outlineLevel="0" collapsed="false">
      <c r="E278" s="46" t="s">
        <v>233</v>
      </c>
      <c r="F278" s="46" t="s">
        <v>93</v>
      </c>
      <c r="G278" s="46" t="s">
        <v>263</v>
      </c>
      <c r="H278" s="74" t="n">
        <v>265</v>
      </c>
      <c r="I278" s="75" t="n">
        <f aca="false">INDEX($C$5:$C$26,MATCH(G278,$A$5:$A$26,0))</f>
        <v>224.175</v>
      </c>
      <c r="J278" s="57" t="n">
        <f aca="false">H278*I278</f>
        <v>59406.375</v>
      </c>
    </row>
    <row r="279" customFormat="false" ht="15" hidden="false" customHeight="false" outlineLevel="0" collapsed="false">
      <c r="E279" s="46" t="s">
        <v>233</v>
      </c>
      <c r="F279" s="46" t="s">
        <v>93</v>
      </c>
      <c r="G279" s="46" t="s">
        <v>265</v>
      </c>
      <c r="H279" s="74" t="n">
        <v>85</v>
      </c>
      <c r="I279" s="75" t="n">
        <f aca="false">INDEX($C$5:$C$26,MATCH(G279,$A$5:$A$26,0))</f>
        <v>206.535</v>
      </c>
      <c r="J279" s="57" t="n">
        <f aca="false">H279*I279</f>
        <v>17555.475</v>
      </c>
    </row>
    <row r="280" customFormat="false" ht="15" hidden="false" customHeight="false" outlineLevel="0" collapsed="false">
      <c r="E280" s="46" t="s">
        <v>233</v>
      </c>
      <c r="F280" s="46" t="s">
        <v>95</v>
      </c>
      <c r="G280" s="46" t="s">
        <v>259</v>
      </c>
      <c r="H280" s="74" t="n">
        <v>40</v>
      </c>
      <c r="I280" s="75" t="n">
        <f aca="false">INDEX($C$5:$C$26,MATCH(G280,$A$5:$A$26,0))</f>
        <v>256.515</v>
      </c>
      <c r="J280" s="57" t="n">
        <f aca="false">H280*I280</f>
        <v>10260.6</v>
      </c>
    </row>
    <row r="281" customFormat="false" ht="15" hidden="false" customHeight="false" outlineLevel="0" collapsed="false">
      <c r="E281" s="46" t="s">
        <v>233</v>
      </c>
      <c r="F281" s="46" t="s">
        <v>95</v>
      </c>
      <c r="G281" s="46" t="s">
        <v>261</v>
      </c>
      <c r="H281" s="74" t="n">
        <v>90</v>
      </c>
      <c r="I281" s="75" t="n">
        <f aca="false">INDEX($C$5:$C$26,MATCH(G281,$A$5:$A$26,0))</f>
        <v>236.67</v>
      </c>
      <c r="J281" s="57" t="n">
        <f aca="false">H281*I281</f>
        <v>21300.3</v>
      </c>
    </row>
    <row r="282" customFormat="false" ht="15" hidden="false" customHeight="false" outlineLevel="0" collapsed="false">
      <c r="E282" s="46" t="s">
        <v>233</v>
      </c>
      <c r="F282" s="46" t="s">
        <v>95</v>
      </c>
      <c r="G282" s="46" t="s">
        <v>263</v>
      </c>
      <c r="H282" s="74" t="n">
        <v>100</v>
      </c>
      <c r="I282" s="75" t="n">
        <f aca="false">INDEX($C$5:$C$26,MATCH(G282,$A$5:$A$26,0))</f>
        <v>224.175</v>
      </c>
      <c r="J282" s="57" t="n">
        <f aca="false">H282*I282</f>
        <v>22417.5</v>
      </c>
    </row>
    <row r="283" customFormat="false" ht="15" hidden="false" customHeight="false" outlineLevel="0" collapsed="false">
      <c r="E283" s="46" t="s">
        <v>233</v>
      </c>
      <c r="F283" s="46" t="s">
        <v>95</v>
      </c>
      <c r="G283" s="46" t="s">
        <v>265</v>
      </c>
      <c r="H283" s="74" t="n">
        <v>55</v>
      </c>
      <c r="I283" s="75" t="n">
        <f aca="false">INDEX($C$5:$C$26,MATCH(G283,$A$5:$A$26,0))</f>
        <v>206.535</v>
      </c>
      <c r="J283" s="57" t="n">
        <f aca="false">H283*I283</f>
        <v>11359.425</v>
      </c>
    </row>
    <row r="284" customFormat="false" ht="15" hidden="false" customHeight="false" outlineLevel="0" collapsed="false">
      <c r="E284" s="46" t="s">
        <v>233</v>
      </c>
      <c r="F284" s="46" t="s">
        <v>97</v>
      </c>
      <c r="G284" s="46" t="s">
        <v>259</v>
      </c>
      <c r="H284" s="74" t="n">
        <v>45</v>
      </c>
      <c r="I284" s="75" t="n">
        <f aca="false">INDEX($C$5:$C$26,MATCH(G284,$A$5:$A$26,0))</f>
        <v>256.515</v>
      </c>
      <c r="J284" s="57" t="n">
        <f aca="false">H284*I284</f>
        <v>11543.175</v>
      </c>
    </row>
    <row r="285" customFormat="false" ht="15" hidden="false" customHeight="false" outlineLevel="0" collapsed="false">
      <c r="E285" s="46" t="s">
        <v>233</v>
      </c>
      <c r="F285" s="46" t="s">
        <v>97</v>
      </c>
      <c r="G285" s="46" t="s">
        <v>261</v>
      </c>
      <c r="H285" s="74" t="n">
        <v>120</v>
      </c>
      <c r="I285" s="75" t="n">
        <f aca="false">INDEX($C$5:$C$26,MATCH(G285,$A$5:$A$26,0))</f>
        <v>236.67</v>
      </c>
      <c r="J285" s="57" t="n">
        <f aca="false">H285*I285</f>
        <v>28400.4</v>
      </c>
    </row>
    <row r="286" customFormat="false" ht="15" hidden="false" customHeight="false" outlineLevel="0" collapsed="false">
      <c r="E286" s="46" t="s">
        <v>233</v>
      </c>
      <c r="F286" s="46" t="s">
        <v>97</v>
      </c>
      <c r="G286" s="46" t="s">
        <v>263</v>
      </c>
      <c r="H286" s="74" t="n">
        <v>130</v>
      </c>
      <c r="I286" s="75" t="n">
        <f aca="false">INDEX($C$5:$C$26,MATCH(G286,$A$5:$A$26,0))</f>
        <v>224.175</v>
      </c>
      <c r="J286" s="57" t="n">
        <f aca="false">H286*I286</f>
        <v>29142.75</v>
      </c>
    </row>
    <row r="287" customFormat="false" ht="15" hidden="false" customHeight="false" outlineLevel="0" collapsed="false">
      <c r="E287" s="46" t="s">
        <v>233</v>
      </c>
      <c r="F287" s="46" t="s">
        <v>97</v>
      </c>
      <c r="G287" s="46" t="s">
        <v>265</v>
      </c>
      <c r="H287" s="74" t="n">
        <v>60</v>
      </c>
      <c r="I287" s="75" t="n">
        <f aca="false">INDEX($C$5:$C$26,MATCH(G287,$A$5:$A$26,0))</f>
        <v>206.535</v>
      </c>
      <c r="J287" s="57" t="n">
        <f aca="false">H287*I287</f>
        <v>12392.1</v>
      </c>
    </row>
    <row r="288" customFormat="false" ht="15" hidden="false" customHeight="false" outlineLevel="0" collapsed="false">
      <c r="E288" s="46" t="s">
        <v>233</v>
      </c>
      <c r="F288" s="46" t="s">
        <v>99</v>
      </c>
      <c r="G288" s="46" t="s">
        <v>259</v>
      </c>
      <c r="H288" s="74" t="n">
        <v>40</v>
      </c>
      <c r="I288" s="75" t="n">
        <f aca="false">INDEX($C$5:$C$26,MATCH(G288,$A$5:$A$26,0))</f>
        <v>256.515</v>
      </c>
      <c r="J288" s="57" t="n">
        <f aca="false">H288*I288</f>
        <v>10260.6</v>
      </c>
    </row>
    <row r="289" customFormat="false" ht="15" hidden="false" customHeight="false" outlineLevel="0" collapsed="false">
      <c r="E289" s="46" t="s">
        <v>233</v>
      </c>
      <c r="F289" s="46" t="s">
        <v>99</v>
      </c>
      <c r="G289" s="46" t="s">
        <v>261</v>
      </c>
      <c r="H289" s="74" t="n">
        <v>75</v>
      </c>
      <c r="I289" s="75" t="n">
        <f aca="false">INDEX($C$5:$C$26,MATCH(G289,$A$5:$A$26,0))</f>
        <v>236.67</v>
      </c>
      <c r="J289" s="57" t="n">
        <f aca="false">H289*I289</f>
        <v>17750.25</v>
      </c>
    </row>
    <row r="290" customFormat="false" ht="15" hidden="false" customHeight="false" outlineLevel="0" collapsed="false">
      <c r="E290" s="46" t="s">
        <v>233</v>
      </c>
      <c r="F290" s="46" t="s">
        <v>99</v>
      </c>
      <c r="G290" s="46" t="s">
        <v>263</v>
      </c>
      <c r="H290" s="74" t="n">
        <v>90</v>
      </c>
      <c r="I290" s="75" t="n">
        <f aca="false">INDEX($C$5:$C$26,MATCH(G290,$A$5:$A$26,0))</f>
        <v>224.175</v>
      </c>
      <c r="J290" s="57" t="n">
        <f aca="false">H290*I290</f>
        <v>20175.75</v>
      </c>
    </row>
    <row r="291" customFormat="false" ht="15" hidden="false" customHeight="false" outlineLevel="0" collapsed="false">
      <c r="E291" s="46" t="s">
        <v>233</v>
      </c>
      <c r="F291" s="46" t="s">
        <v>99</v>
      </c>
      <c r="G291" s="46" t="s">
        <v>265</v>
      </c>
      <c r="H291" s="74" t="n">
        <v>40</v>
      </c>
      <c r="I291" s="75" t="n">
        <f aca="false">INDEX($C$5:$C$26,MATCH(G291,$A$5:$A$26,0))</f>
        <v>206.535</v>
      </c>
      <c r="J291" s="57" t="n">
        <f aca="false">H291*I291</f>
        <v>8261.4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2026-09-24T12:58:16Z</dcterms:created>
  <dc:creator>openpyxl</dc:creator>
  <dc:description/>
  <dc:language>en-US</dc:language>
  <cp:lastModifiedBy/>
  <dcterms:modified xsi:type="dcterms:W3CDTF">2026-09-24T12:58:16Z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