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ductions" sheetId="1" state="visible" r:id="rId3"/>
    <sheet name="Summary"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<sst xmlns="http://schemas.openxmlformats.org/spreadsheetml/2006/main" count="124" uniqueCount="73">
  <si>
    <t xml:space="preserve">Reductions on the NMMP offer — all amounts in AUD. Nuclear reductions are applied in sequence, without double counting: SSC descoping → S1 deliverable adjustment → rework → travel → management overlap adjustment (4%). Plan Safe applies to Scenario 2 only.</t>
  </si>
  <si>
    <t xml:space="preserve">Discipline</t>
  </si>
  <si>
    <t xml:space="preserve">Item</t>
  </si>
  <si>
    <t xml:space="preserve">Concept</t>
  </si>
  <si>
    <t xml:space="preserve">Value (AUD)</t>
  </si>
  <si>
    <t xml:space="preserve">Explanation</t>
  </si>
  <si>
    <t xml:space="preserve">Deliverables affected</t>
  </si>
  <si>
    <t xml:space="preserve">Stages affected</t>
  </si>
  <si>
    <t xml:space="preserve">Scenario</t>
  </si>
  <si>
    <t xml:space="preserve">Nuclear</t>
  </si>
  <si>
    <t xml:space="preserve">Rework allowance</t>
  </si>
  <si>
    <t xml:space="preserve">The original estimate included a specific allowance for potential rework during Concept Design, reflecting the risk associated with the completeness, accuracy and maturity of the design information and inputs available at tender stage. For the revised commercial position, this allowance has been removed on the basis that the information provided to IDOM will be complete, accurate and sufficiently mature to perform the agreed scope without redesign or rework of previously completed activities. Any material change, correction, late information or insufficient input requiring rework of completed activities will be treated as a change to the agreed scope and subject to prior agreement on the corresponding programme and commercial impact.</t>
  </si>
  <si>
    <t xml:space="preserve">n/a</t>
  </si>
  <si>
    <t xml:space="preserve">S2</t>
  </si>
  <si>
    <t xml:space="preserve">Scenarios 1 and 2</t>
  </si>
  <si>
    <t xml:space="preserve">SSC / Systems Engineering Scope (S26–S29)</t>
  </si>
  <si>
    <t xml:space="preserve">During the scope alignment discussions, Systems Engineering was identified by Synertec as an area of potential overlap between the parties. To eliminate duplication and establish clear accountability, IDOM is prepared to remove the full S26–S29 scope from its offer. These deliverables relate to facility-wide SSC categorisation, register management, safety controls V&amp;V and design substantiation, and are closely linked to the overall design integration and systems engineering activities performed across the PDDI. Consolidating ownership of this scope under Synertec therefore provides a clearer and more efficient interface model. Accordingly, S26–S29 will be transferred to Synertec’s scope.</t>
  </si>
  <si>
    <t xml:space="preserve">S26, S27, S28, S29</t>
  </si>
  <si>
    <t xml:space="preserve">S1-S7</t>
  </si>
  <si>
    <t xml:space="preserve">Management Overlap Adjustment – 4%</t>
  </si>
  <si>
    <t xml:space="preserve">Following receipt of Synertec’s organisational structure, IDOM identified potential overlap in certain management roles that was not visible at the time of the original submission. Based on this improved understanding of the proposed delivery model, IDOM has reviewed the management-related effort and is able to apply a 4% reduction to the Nuclear &amp; Radiological scope, reflecting the removal of potential duplicated management effort and improved alignment between the parties. The underlying technical scope remains unchanged.</t>
  </si>
  <si>
    <t xml:space="preserve">All</t>
  </si>
  <si>
    <t xml:space="preserve">S1 deliverable adjustment</t>
  </si>
  <si>
    <t xml:space="preserve">Safety Assurance Plan / Safety Integration Plan priced as two weeks of work: a single, unrevised issue in Stage 1 of 190 hours and 44,559 AUD (2.5 FTEs full time for two weeks). The Stage 2 update is removed. Original price 432,419 AUD − 44,559 AUD.</t>
  </si>
  <si>
    <t xml:space="preserve">S1</t>
  </si>
  <si>
    <t xml:space="preserve">S1, S2</t>
  </si>
  <si>
    <t xml:space="preserve">Travel</t>
  </si>
  <si>
    <t xml:space="preserve">Plan Safe</t>
  </si>
  <si>
    <t xml:space="preserve">S2, S3, S8, S30</t>
  </si>
  <si>
    <t xml:space="preserve">Scenario 2 only</t>
  </si>
  <si>
    <t xml:space="preserve">Pharma</t>
  </si>
  <si>
    <t xml:space="preserve">Pharma discount (to be completed)</t>
  </si>
  <si>
    <t xml:space="preserve">Pharma scenario</t>
  </si>
  <si>
    <t xml:space="preserve">Total nuclear reduction · Scenario 1</t>
  </si>
  <si>
    <t xml:space="preserve">Total nuclear reduction · Scenario 2</t>
  </si>
  <si>
    <t xml:space="preserve">Total Pharma reduction</t>
  </si>
  <si>
    <t xml:space="preserve">Pharma rows (light yellow): Pharma enters each discount with its concept, explanation and value in AUD. The split by stage is entered in the PHARMA table of the Summary tab.</t>
  </si>
  <si>
    <t xml:space="preserve">Source of the nuclear values: IDOM's bottom-up offer model (offer hours × offer sell rates, AUD). Original offer: 7,530,724 AUD.</t>
  </si>
  <si>
    <t xml:space="preserve">NUCLEAR (AUD)</t>
  </si>
  <si>
    <t xml:space="preserve">Stage</t>
  </si>
  <si>
    <t xml:space="preserve">Original offer</t>
  </si>
  <si>
    <t xml:space="preserve">Scenario 1: with Plan Safe</t>
  </si>
  <si>
    <t xml:space="preserve">Scenario 2: without Plan Safe</t>
  </si>
  <si>
    <t xml:space="preserve">Synertec benchmark</t>
  </si>
  <si>
    <t xml:space="preserve">% Reduction Sc. 1</t>
  </si>
  <si>
    <t xml:space="preserve">% Reduction Sc. 2</t>
  </si>
  <si>
    <t xml:space="preserve">% Difference vs Synertec Sc. 1</t>
  </si>
  <si>
    <t xml:space="preserve">% Difference vs Synertec Sc. 2</t>
  </si>
  <si>
    <t xml:space="preserve">S3</t>
  </si>
  <si>
    <t xml:space="preserve">S4</t>
  </si>
  <si>
    <t xml:space="preserve">S5</t>
  </si>
  <si>
    <t xml:space="preserve">S6</t>
  </si>
  <si>
    <t xml:space="preserve">S7</t>
  </si>
  <si>
    <t xml:space="preserve">TOTAL</t>
  </si>
  <si>
    <t xml:space="preserve">PHARMA (AUD) — to be completed by Pharma</t>
  </si>
  <si>
    <t xml:space="preserve">Pharma discounts</t>
  </si>
  <si>
    <t xml:space="preserve">Pharma benchmark</t>
  </si>
  <si>
    <t xml:space="preserve">% Reduction</t>
  </si>
  <si>
    <t xml:space="preserve">% Difference vs benchmark</t>
  </si>
  <si>
    <t xml:space="preserve">Pharma enters its original offer, its discounts and its benchmark by stage (light yellow). Single scenario.</t>
  </si>
  <si>
    <t xml:space="preserve">TOTAL NUCLEAR + PHARMA (AUD)</t>
  </si>
  <si>
    <t xml:space="preserve">Scenario 1 + Pharma</t>
  </si>
  <si>
    <t xml:space="preserve">Scenario 2 + Pharma</t>
  </si>
  <si>
    <t xml:space="preserve">Benchmark (Synertec + Pharma)</t>
  </si>
  <si>
    <t xml:space="preserve">% Difference vs benchmark Sc. 1</t>
  </si>
  <si>
    <t xml:space="preserve">% Difference vs benchmark Sc. 2</t>
  </si>
  <si>
    <t xml:space="preserve">NUCLEAR · split by company (AUD)</t>
  </si>
  <si>
    <t xml:space="preserve">Company</t>
  </si>
  <si>
    <t xml:space="preserve">Reduction Sc. 1</t>
  </si>
  <si>
    <t xml:space="preserve">Reduction Sc. 2</t>
  </si>
  <si>
    <t xml:space="preserve">IDOM</t>
  </si>
  <si>
    <t xml:space="preserve">INVAP</t>
  </si>
  <si>
    <t xml:space="preserve">% Reduction = 1 − scenario / original offer. % Difference = (benchmark − scenario) / scenario; negative = the benchmark is below the scenario price. All amounts in AUD.</t>
  </si>
</sst>
</file>

<file path=xl/styles.xml><?xml version="1.0" encoding="utf-8"?>
<styleSheet xmlns="http://schemas.openxmlformats.org/spreadsheetml/2006/main">
  <numFmts count="5">
    <numFmt numFmtId="164" formatCode="General"/>
    <numFmt numFmtId="165" formatCode="#,##0&quot; AUD&quot;;\-#,##0&quot; AUD&quot;;\-"/>
    <numFmt numFmtId="166" formatCode="#,##0;\-#,##0;\-"/>
    <numFmt numFmtId="167" formatCode="0.0%;\-0.0%;\-"/>
    <numFmt numFmtId="168" formatCode="0.00%;\-0.00%;\-"/>
  </numFmts>
  <fonts count="11">
    <font>
      <sz val="11"/>
      <color theme="1"/>
      <name val="Aptos Narrow"/>
      <family val="2"/>
      <charset val="1"/>
    </font>
    <font>
      <sz val="10"/>
      <name val="Arial"/>
      <family val="0"/>
    </font>
    <font>
      <sz val="10"/>
      <name val="Arial"/>
      <family val="0"/>
    </font>
    <font>
      <sz val="10"/>
      <name val="Arial"/>
      <family val="0"/>
    </font>
    <font>
      <i val="true"/>
      <sz val="9"/>
      <color rgb="FF000000"/>
      <name val="Aptos Narrow"/>
      <family val="0"/>
      <charset val="1"/>
    </font>
    <font>
      <b val="true"/>
      <sz val="11"/>
      <color rgb="FFFFFFFF"/>
      <name val="Aptos Narrow"/>
      <family val="0"/>
      <charset val="1"/>
    </font>
    <font>
      <sz val="11"/>
      <color rgb="FF000000"/>
      <name val="Aptos Narrow"/>
      <family val="0"/>
      <charset val="1"/>
    </font>
    <font>
      <b val="true"/>
      <sz val="11"/>
      <color rgb="FF000000"/>
      <name val="Aptos Narrow"/>
      <family val="0"/>
      <charset val="1"/>
    </font>
    <font>
      <sz val="11"/>
      <color rgb="FF0000FF"/>
      <name val="Aptos Narrow"/>
      <family val="0"/>
      <charset val="1"/>
    </font>
    <font>
      <b val="true"/>
      <sz val="12"/>
      <color rgb="FF0070C0"/>
      <name val="Aptos Narrow"/>
      <family val="0"/>
      <charset val="1"/>
    </font>
    <font>
      <b val="true"/>
      <sz val="11"/>
      <color rgb="FF2E75B6"/>
      <name val="Aptos Narrow"/>
      <family val="0"/>
      <charset val="1"/>
    </font>
  </fonts>
  <fills count="6">
    <fill>
      <patternFill patternType="none"/>
    </fill>
    <fill>
      <patternFill patternType="gray125"/>
    </fill>
    <fill>
      <patternFill patternType="solid">
        <fgColor rgb="FF0070C0"/>
        <bgColor rgb="FF008080"/>
      </patternFill>
    </fill>
    <fill>
      <patternFill patternType="solid">
        <fgColor theme="5" tint="0.7999"/>
        <bgColor rgb="FFFFF2CC"/>
      </patternFill>
    </fill>
    <fill>
      <patternFill patternType="solid">
        <fgColor rgb="FFFFF2CC"/>
        <bgColor rgb="FFFBE3D6"/>
      </patternFill>
    </fill>
    <fill>
      <patternFill patternType="solid">
        <fgColor rgb="FFF2F4F7"/>
        <bgColor rgb="FFFFFF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6"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8" fontId="7" fillId="5" borderId="1"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6" fontId="8" fillId="4"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4F7"/>
      <rgbColor rgb="FF660066"/>
      <rgbColor rgb="FFFF8080"/>
      <rgbColor rgb="FF0070C0"/>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D6"/>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F11" activeCellId="0" sqref="F11"/>
    </sheetView>
  </sheetViews>
  <sheetFormatPr defaultColWidth="10.5390625" defaultRowHeight="14.25" zeroHeight="false" outlineLevelRow="0" outlineLevelCol="0"/>
  <cols>
    <col collapsed="false" customWidth="true" hidden="false" outlineLevel="0" max="1" min="1" style="1" width="11"/>
    <col collapsed="false" customWidth="true" hidden="false" outlineLevel="0" max="2" min="2" style="1" width="6"/>
    <col collapsed="false" customWidth="true" hidden="false" outlineLevel="0" max="3" min="3" style="1" width="26"/>
    <col collapsed="false" customWidth="true" hidden="false" outlineLevel="0" max="4" min="4" style="1" width="16"/>
    <col collapsed="false" customWidth="true" hidden="false" outlineLevel="0" max="5" min="5" style="1" width="80"/>
    <col collapsed="false" customWidth="true" hidden="false" outlineLevel="0" max="6" min="6" style="1" width="20"/>
    <col collapsed="false" customWidth="true" hidden="false" outlineLevel="0" max="7" min="7" style="1" width="14"/>
    <col collapsed="false" customWidth="true" hidden="false" outlineLevel="0" max="8" min="8" style="1" width="18"/>
  </cols>
  <sheetData>
    <row r="1" customFormat="false" ht="14.25" hidden="false" customHeight="true" outlineLevel="0" collapsed="false">
      <c r="A1" s="2" t="s">
        <v>0</v>
      </c>
    </row>
    <row r="2" customFormat="false" ht="30" hidden="false" customHeight="true" outlineLevel="0" collapsed="false">
      <c r="A2" s="3" t="s">
        <v>1</v>
      </c>
      <c r="B2" s="3" t="s">
        <v>2</v>
      </c>
      <c r="C2" s="3" t="s">
        <v>3</v>
      </c>
      <c r="D2" s="3" t="s">
        <v>4</v>
      </c>
      <c r="E2" s="3" t="s">
        <v>5</v>
      </c>
      <c r="F2" s="3" t="s">
        <v>6</v>
      </c>
      <c r="G2" s="3" t="s">
        <v>7</v>
      </c>
      <c r="H2" s="3" t="s">
        <v>8</v>
      </c>
    </row>
    <row r="3" customFormat="false" ht="150" hidden="false" customHeight="true" outlineLevel="0" collapsed="false">
      <c r="A3" s="4" t="s">
        <v>9</v>
      </c>
      <c r="B3" s="4" t="n">
        <v>1</v>
      </c>
      <c r="C3" s="4" t="s">
        <v>10</v>
      </c>
      <c r="D3" s="5" t="n">
        <v>46916.5880555555</v>
      </c>
      <c r="E3" s="6" t="s">
        <v>11</v>
      </c>
      <c r="F3" s="7" t="s">
        <v>12</v>
      </c>
      <c r="G3" s="7" t="s">
        <v>13</v>
      </c>
      <c r="H3" s="7" t="s">
        <v>14</v>
      </c>
    </row>
    <row r="4" customFormat="false" ht="135" hidden="false" customHeight="true" outlineLevel="0" collapsed="false">
      <c r="A4" s="4" t="s">
        <v>9</v>
      </c>
      <c r="B4" s="4" t="n">
        <v>2</v>
      </c>
      <c r="C4" s="4" t="s">
        <v>15</v>
      </c>
      <c r="D4" s="5" t="n">
        <v>1652324.1</v>
      </c>
      <c r="E4" s="6" t="s">
        <v>16</v>
      </c>
      <c r="F4" s="7" t="s">
        <v>17</v>
      </c>
      <c r="G4" s="7" t="s">
        <v>18</v>
      </c>
      <c r="H4" s="7" t="s">
        <v>14</v>
      </c>
    </row>
    <row r="5" customFormat="false" ht="135" hidden="false" customHeight="true" outlineLevel="0" collapsed="false">
      <c r="A5" s="4" t="s">
        <v>9</v>
      </c>
      <c r="B5" s="4" t="n">
        <v>3</v>
      </c>
      <c r="C5" s="4" t="s">
        <v>19</v>
      </c>
      <c r="D5" s="5" t="n">
        <v>152716.325877778</v>
      </c>
      <c r="E5" s="6" t="s">
        <v>20</v>
      </c>
      <c r="F5" s="7" t="s">
        <v>12</v>
      </c>
      <c r="G5" s="7" t="s">
        <v>21</v>
      </c>
      <c r="H5" s="7" t="s">
        <v>14</v>
      </c>
    </row>
    <row r="6" customFormat="false" ht="61.5" hidden="false" customHeight="true" outlineLevel="0" collapsed="false">
      <c r="A6" s="4" t="s">
        <v>9</v>
      </c>
      <c r="B6" s="4" t="n">
        <v>4</v>
      </c>
      <c r="C6" s="4" t="s">
        <v>22</v>
      </c>
      <c r="D6" s="5" t="n">
        <v>387859.875</v>
      </c>
      <c r="E6" s="6" t="s">
        <v>23</v>
      </c>
      <c r="F6" s="7" t="s">
        <v>24</v>
      </c>
      <c r="G6" s="7" t="s">
        <v>25</v>
      </c>
      <c r="H6" s="7" t="s">
        <v>14</v>
      </c>
    </row>
    <row r="7" customFormat="false" ht="61.5" hidden="false" customHeight="true" outlineLevel="0" collapsed="false">
      <c r="A7" s="4" t="s">
        <v>9</v>
      </c>
      <c r="B7" s="4" t="n">
        <v>5</v>
      </c>
      <c r="C7" s="4" t="s">
        <v>26</v>
      </c>
      <c r="D7" s="5" t="n">
        <v>70000</v>
      </c>
      <c r="E7" s="6" t="str">
        <f aca="false">"Travel allowance removed: 70,000 AUD."</f>
        <v>Travel allowance removed: 70,000 AUD.</v>
      </c>
      <c r="F7" s="7" t="s">
        <v>12</v>
      </c>
      <c r="G7" s="7" t="s">
        <v>21</v>
      </c>
      <c r="H7" s="7" t="s">
        <v>14</v>
      </c>
    </row>
    <row r="8" customFormat="false" ht="61.5" hidden="false" customHeight="true" outlineLevel="0" collapsed="false">
      <c r="A8" s="7" t="s">
        <v>9</v>
      </c>
      <c r="B8" s="7" t="n">
        <v>6</v>
      </c>
      <c r="C8" s="7" t="s">
        <v>27</v>
      </c>
      <c r="D8" s="5" t="n">
        <v>1221715.53</v>
      </c>
      <c r="E8" s="6" t="str">
        <f aca="false">"Plan Safe's own human factors deliverables removed (HF Assurance / Integration Plan, HF Hazards Identification and Control Plan, HF Task Assessments, HF Substantiation Report). Value = their price in the original offer. Plan Safe keeps its share of the shared deliverables."</f>
        <v>Plan Safe's own human factors deliverables removed (HF Assurance / Integration Plan, HF Hazards Identification and Control Plan, HF Task Assessments, HF Substantiation Report). Value = their price in the original offer. Plan Safe keeps its share of the shared deliverables.</v>
      </c>
      <c r="F8" s="7" t="s">
        <v>28</v>
      </c>
      <c r="G8" s="7" t="s">
        <v>18</v>
      </c>
      <c r="H8" s="7" t="s">
        <v>29</v>
      </c>
    </row>
    <row r="9" customFormat="false" ht="14.25" hidden="false" customHeight="true" outlineLevel="0" collapsed="false">
      <c r="A9" s="7" t="s">
        <v>30</v>
      </c>
      <c r="B9" s="7" t="n">
        <v>7</v>
      </c>
      <c r="C9" s="8" t="s">
        <v>31</v>
      </c>
      <c r="D9" s="9"/>
      <c r="E9" s="8"/>
      <c r="F9" s="8"/>
      <c r="G9" s="8"/>
      <c r="H9" s="7" t="s">
        <v>32</v>
      </c>
    </row>
    <row r="10" customFormat="false" ht="14.25" hidden="false" customHeight="true" outlineLevel="0" collapsed="false">
      <c r="A10" s="7" t="s">
        <v>30</v>
      </c>
      <c r="B10" s="7" t="n">
        <v>8</v>
      </c>
      <c r="C10" s="8"/>
      <c r="D10" s="9"/>
      <c r="E10" s="8"/>
      <c r="F10" s="8"/>
      <c r="G10" s="8"/>
      <c r="H10" s="7" t="s">
        <v>32</v>
      </c>
    </row>
    <row r="11" customFormat="false" ht="14.25" hidden="false" customHeight="true" outlineLevel="0" collapsed="false">
      <c r="A11" s="7" t="s">
        <v>30</v>
      </c>
      <c r="B11" s="7" t="n">
        <v>9</v>
      </c>
      <c r="C11" s="8"/>
      <c r="D11" s="9"/>
      <c r="E11" s="8"/>
      <c r="F11" s="8"/>
      <c r="G11" s="8"/>
      <c r="H11" s="7" t="s">
        <v>32</v>
      </c>
    </row>
    <row r="12" customFormat="false" ht="14.25" hidden="false" customHeight="true" outlineLevel="0" collapsed="false">
      <c r="A12" s="7" t="s">
        <v>30</v>
      </c>
      <c r="B12" s="7" t="n">
        <v>10</v>
      </c>
      <c r="C12" s="8"/>
      <c r="D12" s="9"/>
      <c r="E12" s="8"/>
      <c r="F12" s="8"/>
      <c r="G12" s="8"/>
      <c r="H12" s="7" t="s">
        <v>32</v>
      </c>
    </row>
    <row r="13" customFormat="false" ht="14.25" hidden="false" customHeight="true" outlineLevel="0" collapsed="false">
      <c r="A13" s="7" t="s">
        <v>30</v>
      </c>
      <c r="B13" s="7" t="n">
        <v>11</v>
      </c>
      <c r="C13" s="8"/>
      <c r="D13" s="9"/>
      <c r="E13" s="8"/>
      <c r="F13" s="8"/>
      <c r="G13" s="8"/>
      <c r="H13" s="7" t="s">
        <v>32</v>
      </c>
    </row>
    <row r="15" customFormat="false" ht="14.25" hidden="false" customHeight="true" outlineLevel="0" collapsed="false">
      <c r="C15" s="10" t="s">
        <v>33</v>
      </c>
      <c r="D15" s="11" t="n">
        <f aca="false">SUM(D3:D7)</f>
        <v>2309816.88893333</v>
      </c>
    </row>
    <row r="16" customFormat="false" ht="14.25" hidden="false" customHeight="true" outlineLevel="0" collapsed="false">
      <c r="C16" s="10" t="s">
        <v>34</v>
      </c>
      <c r="D16" s="11" t="n">
        <f aca="false">SUM(D3:D8)</f>
        <v>3531532.41893333</v>
      </c>
    </row>
    <row r="17" customFormat="false" ht="14.25" hidden="false" customHeight="true" outlineLevel="0" collapsed="false">
      <c r="C17" s="10" t="s">
        <v>35</v>
      </c>
      <c r="D17" s="11" t="n">
        <f aca="false">SUM(D9:D13)</f>
        <v>0</v>
      </c>
    </row>
    <row r="19" customFormat="false" ht="14.25" hidden="false" customHeight="true" outlineLevel="0" collapsed="false">
      <c r="A19" s="2" t="s">
        <v>36</v>
      </c>
    </row>
    <row r="20" customFormat="false" ht="14.25" hidden="false" customHeight="true" outlineLevel="0" collapsed="false">
      <c r="A20" s="2" t="s">
        <v>37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4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F20" activeCellId="0" sqref="F20"/>
    </sheetView>
  </sheetViews>
  <sheetFormatPr defaultColWidth="10.5390625" defaultRowHeight="14.25" zeroHeight="false" outlineLevelRow="0" outlineLevelCol="0"/>
  <cols>
    <col collapsed="false" customWidth="true" hidden="false" outlineLevel="0" max="1" min="1" style="1" width="11"/>
    <col collapsed="false" customWidth="true" hidden="false" outlineLevel="0" max="2" min="2" style="1" width="15"/>
    <col collapsed="false" customWidth="true" hidden="false" outlineLevel="0" max="4" min="3" style="1" width="20"/>
    <col collapsed="false" customWidth="true" hidden="false" outlineLevel="0" max="5" min="5" style="1" width="18"/>
    <col collapsed="false" customWidth="true" hidden="false" outlineLevel="0" max="7" min="6" style="1" width="13"/>
    <col collapsed="false" customWidth="true" hidden="false" outlineLevel="0" max="9" min="8" style="1" width="17"/>
  </cols>
  <sheetData>
    <row r="2" customFormat="false" ht="15" hidden="false" customHeight="true" outlineLevel="0" collapsed="false">
      <c r="A2" s="12" t="s">
        <v>38</v>
      </c>
      <c r="B2" s="12"/>
      <c r="C2" s="12"/>
      <c r="D2" s="12"/>
      <c r="E2" s="12"/>
      <c r="F2" s="12"/>
      <c r="G2" s="12"/>
      <c r="H2" s="12"/>
      <c r="I2" s="12"/>
    </row>
    <row r="3" customFormat="false" ht="45" hidden="false" customHeight="true" outlineLevel="0" collapsed="false">
      <c r="A3" s="3" t="s">
        <v>39</v>
      </c>
      <c r="B3" s="3" t="s">
        <v>40</v>
      </c>
      <c r="C3" s="3" t="s">
        <v>41</v>
      </c>
      <c r="D3" s="3" t="s">
        <v>42</v>
      </c>
      <c r="E3" s="3" t="s">
        <v>43</v>
      </c>
      <c r="F3" s="3" t="s">
        <v>44</v>
      </c>
      <c r="G3" s="3" t="s">
        <v>45</v>
      </c>
      <c r="H3" s="3" t="s">
        <v>46</v>
      </c>
      <c r="I3" s="3" t="s">
        <v>47</v>
      </c>
    </row>
    <row r="4" customFormat="false" ht="14.25" hidden="false" customHeight="true" outlineLevel="0" collapsed="false">
      <c r="A4" s="13" t="s">
        <v>24</v>
      </c>
      <c r="B4" s="14" t="n">
        <v>335082.825</v>
      </c>
      <c r="C4" s="15" t="n">
        <v>229164.869624349</v>
      </c>
      <c r="D4" s="15" t="n">
        <v>121097.819624349</v>
      </c>
      <c r="E4" s="14" t="n">
        <v>106000</v>
      </c>
      <c r="F4" s="16" t="n">
        <f aca="false">IF(B4=0,0,1-C4/B4)</f>
        <v>0.316094850208008</v>
      </c>
      <c r="G4" s="16" t="n">
        <f aca="false">IF(B4=0,0,1-D4/B4)</f>
        <v>0.638603322553613</v>
      </c>
      <c r="H4" s="17" t="n">
        <f aca="false">IF(C4=0,0,(E4-C4)/C4)</f>
        <v>-0.537450918311533</v>
      </c>
      <c r="I4" s="17" t="n">
        <f aca="false">IF(D4=0,0,(E4-D4)/D4)</f>
        <v>-0.12467457854471</v>
      </c>
    </row>
    <row r="5" customFormat="false" ht="14.25" hidden="false" customHeight="true" outlineLevel="0" collapsed="false">
      <c r="A5" s="13" t="s">
        <v>13</v>
      </c>
      <c r="B5" s="14" t="n">
        <v>732839.1</v>
      </c>
      <c r="C5" s="15" t="n">
        <v>294268.667883964</v>
      </c>
      <c r="D5" s="15" t="n">
        <v>135402.092883964</v>
      </c>
      <c r="E5" s="14" t="n">
        <v>453000</v>
      </c>
      <c r="F5" s="16" t="n">
        <f aca="false">IF(B5=0,0,1-C5/B5)</f>
        <v>0.598453919988762</v>
      </c>
      <c r="G5" s="16" t="n">
        <f aca="false">IF(B5=0,0,1-D5/B5)</f>
        <v>0.815236260068596</v>
      </c>
      <c r="H5" s="17" t="n">
        <f aca="false">IF(C5=0,0,(E5-C5)/C5)</f>
        <v>0.539409558134225</v>
      </c>
      <c r="I5" s="17" t="n">
        <f aca="false">IF(D5=0,0,(E5-D5)/D5)</f>
        <v>2.34559082767065</v>
      </c>
    </row>
    <row r="6" customFormat="false" ht="14.25" hidden="false" customHeight="true" outlineLevel="0" collapsed="false">
      <c r="A6" s="13" t="s">
        <v>48</v>
      </c>
      <c r="B6" s="14" t="n">
        <v>1469323.8</v>
      </c>
      <c r="C6" s="15" t="n">
        <v>1136847.12664142</v>
      </c>
      <c r="D6" s="15" t="n">
        <v>947040.72664142</v>
      </c>
      <c r="E6" s="14" t="n">
        <v>1250000</v>
      </c>
      <c r="F6" s="16" t="n">
        <f aca="false">IF(B6=0,0,1-C6/B6)</f>
        <v>0.226278695927052</v>
      </c>
      <c r="G6" s="16" t="n">
        <f aca="false">IF(B6=0,0,1-D6/B6)</f>
        <v>0.355458118461417</v>
      </c>
      <c r="H6" s="17" t="n">
        <f aca="false">IF(C6=0,0,(E6-C6)/C6)</f>
        <v>0.0995321804549631</v>
      </c>
      <c r="I6" s="17" t="n">
        <f aca="false">IF(D6=0,0,(E6-D6)/D6)</f>
        <v>0.319900997745887</v>
      </c>
    </row>
    <row r="7" customFormat="false" ht="14.25" hidden="false" customHeight="true" outlineLevel="0" collapsed="false">
      <c r="A7" s="13" t="s">
        <v>49</v>
      </c>
      <c r="B7" s="14" t="n">
        <v>3183882.555</v>
      </c>
      <c r="C7" s="15" t="n">
        <v>2444083.52602817</v>
      </c>
      <c r="D7" s="15" t="n">
        <v>2010978.89602817</v>
      </c>
      <c r="E7" s="14" t="n">
        <v>1455000</v>
      </c>
      <c r="F7" s="16" t="n">
        <f aca="false">IF(B7=0,0,1-C7/B7)</f>
        <v>0.232357511997433</v>
      </c>
      <c r="G7" s="16" t="n">
        <f aca="false">IF(B7=0,0,1-D7/B7)</f>
        <v>0.368387853104032</v>
      </c>
      <c r="H7" s="17" t="n">
        <f aca="false">IF(C7=0,0,(E7-C7)/C7)</f>
        <v>-0.404684829914757</v>
      </c>
      <c r="I7" s="17" t="n">
        <f aca="false">IF(D7=0,0,(E7-D7)/D7)</f>
        <v>-0.276471770602003</v>
      </c>
    </row>
    <row r="8" customFormat="false" ht="14.25" hidden="false" customHeight="true" outlineLevel="0" collapsed="false">
      <c r="A8" s="13" t="s">
        <v>50</v>
      </c>
      <c r="B8" s="14" t="n">
        <v>540610.875</v>
      </c>
      <c r="C8" s="15" t="n">
        <v>284545.536548016</v>
      </c>
      <c r="D8" s="15" t="n">
        <v>156012.411548016</v>
      </c>
      <c r="E8" s="14" t="n">
        <v>370000</v>
      </c>
      <c r="F8" s="16" t="n">
        <f aca="false">IF(B8=0,0,1-C8/B8)</f>
        <v>0.473659244187391</v>
      </c>
      <c r="G8" s="16" t="n">
        <f aca="false">IF(B8=0,0,1-D8/B8)</f>
        <v>0.711414589009117</v>
      </c>
      <c r="H8" s="17" t="n">
        <f aca="false">IF(C8=0,0,(E8-C8)/C8)</f>
        <v>0.300319114081636</v>
      </c>
      <c r="I8" s="17" t="n">
        <f aca="false">IF(D8=0,0,(E8-D8)/D8)</f>
        <v>1.37160618394854</v>
      </c>
    </row>
    <row r="9" customFormat="false" ht="14.25" hidden="false" customHeight="true" outlineLevel="0" collapsed="false">
      <c r="A9" s="13" t="s">
        <v>51</v>
      </c>
      <c r="B9" s="14" t="n">
        <v>775079.55</v>
      </c>
      <c r="C9" s="15" t="n">
        <v>490533.729962928</v>
      </c>
      <c r="D9" s="15" t="n">
        <v>343643.979962928</v>
      </c>
      <c r="E9" s="14" t="n">
        <v>102000</v>
      </c>
      <c r="F9" s="16" t="n">
        <f aca="false">IF(B9=0,0,1-C9/B9)</f>
        <v>0.367118213913749</v>
      </c>
      <c r="G9" s="16" t="n">
        <f aca="false">IF(B9=0,0,1-D9/B9)</f>
        <v>0.556633922333613</v>
      </c>
      <c r="H9" s="17" t="n">
        <f aca="false">IF(C9=0,0,(E9-C9)/C9)</f>
        <v>-0.792063228745333</v>
      </c>
      <c r="I9" s="17" t="n">
        <f aca="false">IF(D9=0,0,(E9-D9)/D9)</f>
        <v>-0.703181181841149</v>
      </c>
    </row>
    <row r="10" customFormat="false" ht="14.25" hidden="false" customHeight="true" outlineLevel="0" collapsed="false">
      <c r="A10" s="13" t="s">
        <v>52</v>
      </c>
      <c r="B10" s="14" t="n">
        <v>493905.3</v>
      </c>
      <c r="C10" s="15" t="n">
        <v>341463.659377819</v>
      </c>
      <c r="D10" s="15" t="n">
        <v>285015.659377819</v>
      </c>
      <c r="E10" s="14" t="n">
        <v>73000</v>
      </c>
      <c r="F10" s="16" t="n">
        <f aca="false">IF(B10=0,0,1-C10/B10)</f>
        <v>0.308645484513288</v>
      </c>
      <c r="G10" s="16" t="n">
        <f aca="false">IF(B10=0,0,1-D10/B10)</f>
        <v>0.422934600260781</v>
      </c>
      <c r="H10" s="17" t="n">
        <f aca="false">IF(C10=0,0,(E10-C10)/C10)</f>
        <v>-0.786214438944943</v>
      </c>
      <c r="I10" s="17" t="n">
        <f aca="false">IF(D10=0,0,(E10-D10)/D10)</f>
        <v>-0.743873722028618</v>
      </c>
    </row>
    <row r="11" customFormat="false" ht="14.25" hidden="false" customHeight="true" outlineLevel="0" collapsed="false">
      <c r="A11" s="18" t="s">
        <v>53</v>
      </c>
      <c r="B11" s="19" t="n">
        <f aca="false">SUM(B4:B10)</f>
        <v>7530724.005</v>
      </c>
      <c r="C11" s="19" t="n">
        <f aca="false">SUM(C4:C10)</f>
        <v>5220907.11606667</v>
      </c>
      <c r="D11" s="19" t="n">
        <f aca="false">SUM(D4:D10)</f>
        <v>3999191.58606667</v>
      </c>
      <c r="E11" s="19" t="n">
        <f aca="false">SUM(E4:E10)</f>
        <v>3809000</v>
      </c>
      <c r="F11" s="20" t="n">
        <f aca="false">IF(B11=0,0,1-C11/B11)</f>
        <v>0.306719099969636</v>
      </c>
      <c r="G11" s="20" t="n">
        <f aca="false">IF(B11=0,0,1-D11/B11)</f>
        <v>0.468949919899944</v>
      </c>
      <c r="H11" s="21" t="n">
        <f aca="false">IF(C11=0,0,(E11-C11)/C11)</f>
        <v>-0.2704332953409</v>
      </c>
      <c r="I11" s="21" t="n">
        <f aca="false">IF(D11=0,0,(E11-D11)/D11)</f>
        <v>-0.047557508054703</v>
      </c>
    </row>
    <row r="12" customFormat="false" ht="14.25" hidden="false" customHeight="true" outlineLevel="0" collapsed="false">
      <c r="A12" s="22"/>
    </row>
    <row r="13" customFormat="false" ht="15" hidden="false" customHeight="true" outlineLevel="0" collapsed="false">
      <c r="A13" s="12" t="s">
        <v>54</v>
      </c>
      <c r="B13" s="12"/>
      <c r="C13" s="12"/>
      <c r="D13" s="12"/>
      <c r="E13" s="12"/>
      <c r="F13" s="12"/>
      <c r="G13" s="12"/>
      <c r="H13" s="12"/>
      <c r="I13" s="12"/>
    </row>
    <row r="14" customFormat="false" ht="31.5" hidden="false" customHeight="true" outlineLevel="0" collapsed="false">
      <c r="A14" s="3" t="s">
        <v>39</v>
      </c>
      <c r="B14" s="3" t="s">
        <v>40</v>
      </c>
      <c r="C14" s="3" t="s">
        <v>55</v>
      </c>
      <c r="D14" s="3" t="s">
        <v>32</v>
      </c>
      <c r="E14" s="3" t="s">
        <v>56</v>
      </c>
      <c r="F14" s="3" t="s">
        <v>57</v>
      </c>
      <c r="G14" s="3" t="s">
        <v>58</v>
      </c>
    </row>
    <row r="15" customFormat="false" ht="14.25" hidden="false" customHeight="true" outlineLevel="0" collapsed="false">
      <c r="A15" s="13" t="s">
        <v>24</v>
      </c>
      <c r="B15" s="23"/>
      <c r="C15" s="23"/>
      <c r="D15" s="15" t="n">
        <f aca="false">N(B15)-N(C15)</f>
        <v>0</v>
      </c>
      <c r="E15" s="23"/>
      <c r="F15" s="16" t="n">
        <f aca="false">IF(N(B15)=0,0,1-D15/B15)</f>
        <v>0</v>
      </c>
      <c r="G15" s="17" t="n">
        <f aca="false">IF(D15=0,0,(N(E15)-D15)/D15)</f>
        <v>0</v>
      </c>
    </row>
    <row r="16" customFormat="false" ht="14.25" hidden="false" customHeight="true" outlineLevel="0" collapsed="false">
      <c r="A16" s="13" t="s">
        <v>13</v>
      </c>
      <c r="B16" s="23"/>
      <c r="C16" s="23"/>
      <c r="D16" s="15" t="n">
        <f aca="false">N(B16)-N(C16)</f>
        <v>0</v>
      </c>
      <c r="E16" s="23"/>
      <c r="F16" s="16" t="n">
        <f aca="false">IF(N(B16)=0,0,1-D16/B16)</f>
        <v>0</v>
      </c>
      <c r="G16" s="17" t="n">
        <f aca="false">IF(D16=0,0,(N(E16)-D16)/D16)</f>
        <v>0</v>
      </c>
    </row>
    <row r="17" customFormat="false" ht="14.25" hidden="false" customHeight="true" outlineLevel="0" collapsed="false">
      <c r="A17" s="13" t="s">
        <v>48</v>
      </c>
      <c r="B17" s="23"/>
      <c r="C17" s="23"/>
      <c r="D17" s="15" t="n">
        <f aca="false">N(B17)-N(C17)</f>
        <v>0</v>
      </c>
      <c r="E17" s="23"/>
      <c r="F17" s="16" t="n">
        <f aca="false">IF(N(B17)=0,0,1-D17/B17)</f>
        <v>0</v>
      </c>
      <c r="G17" s="17" t="n">
        <f aca="false">IF(D17=0,0,(N(E17)-D17)/D17)</f>
        <v>0</v>
      </c>
    </row>
    <row r="18" customFormat="false" ht="14.25" hidden="false" customHeight="true" outlineLevel="0" collapsed="false">
      <c r="A18" s="13" t="s">
        <v>49</v>
      </c>
      <c r="B18" s="23"/>
      <c r="C18" s="23"/>
      <c r="D18" s="15" t="n">
        <f aca="false">N(B18)-N(C18)</f>
        <v>0</v>
      </c>
      <c r="E18" s="23"/>
      <c r="F18" s="16" t="n">
        <f aca="false">IF(N(B18)=0,0,1-D18/B18)</f>
        <v>0</v>
      </c>
      <c r="G18" s="17" t="n">
        <f aca="false">IF(D18=0,0,(N(E18)-D18)/D18)</f>
        <v>0</v>
      </c>
    </row>
    <row r="19" customFormat="false" ht="14.25" hidden="false" customHeight="true" outlineLevel="0" collapsed="false">
      <c r="A19" s="13" t="s">
        <v>50</v>
      </c>
      <c r="B19" s="23"/>
      <c r="C19" s="23"/>
      <c r="D19" s="15" t="n">
        <f aca="false">N(B19)-N(C19)</f>
        <v>0</v>
      </c>
      <c r="E19" s="23"/>
      <c r="F19" s="16" t="n">
        <f aca="false">IF(N(B19)=0,0,1-D19/B19)</f>
        <v>0</v>
      </c>
      <c r="G19" s="17" t="n">
        <f aca="false">IF(D19=0,0,(N(E19)-D19)/D19)</f>
        <v>0</v>
      </c>
    </row>
    <row r="20" customFormat="false" ht="14.25" hidden="false" customHeight="true" outlineLevel="0" collapsed="false">
      <c r="A20" s="13" t="s">
        <v>51</v>
      </c>
      <c r="B20" s="23"/>
      <c r="C20" s="23"/>
      <c r="D20" s="15" t="n">
        <f aca="false">N(B20)-N(C20)</f>
        <v>0</v>
      </c>
      <c r="E20" s="23"/>
      <c r="F20" s="16" t="n">
        <f aca="false">IF(N(B20)=0,0,1-D20/B20)</f>
        <v>0</v>
      </c>
      <c r="G20" s="17" t="n">
        <f aca="false">IF(D20=0,0,(N(E20)-D20)/D20)</f>
        <v>0</v>
      </c>
    </row>
    <row r="21" customFormat="false" ht="14.25" hidden="false" customHeight="true" outlineLevel="0" collapsed="false">
      <c r="A21" s="13" t="s">
        <v>52</v>
      </c>
      <c r="B21" s="23"/>
      <c r="C21" s="23"/>
      <c r="D21" s="15" t="n">
        <f aca="false">N(B21)-N(C21)</f>
        <v>0</v>
      </c>
      <c r="E21" s="23"/>
      <c r="F21" s="16" t="n">
        <f aca="false">IF(N(B21)=0,0,1-D21/B21)</f>
        <v>0</v>
      </c>
      <c r="G21" s="17" t="n">
        <f aca="false">IF(D21=0,0,(N(E21)-D21)/D21)</f>
        <v>0</v>
      </c>
    </row>
    <row r="22" customFormat="false" ht="14.25" hidden="false" customHeight="true" outlineLevel="0" collapsed="false">
      <c r="A22" s="18" t="s">
        <v>53</v>
      </c>
      <c r="B22" s="19" t="n">
        <f aca="false">SUM(B15:B21)</f>
        <v>0</v>
      </c>
      <c r="C22" s="19" t="n">
        <f aca="false">SUM(C15:C21)</f>
        <v>0</v>
      </c>
      <c r="D22" s="19" t="n">
        <f aca="false">SUM(D15:D21)</f>
        <v>0</v>
      </c>
      <c r="E22" s="19" t="n">
        <f aca="false">SUM(E15:E21)</f>
        <v>0</v>
      </c>
      <c r="F22" s="20" t="n">
        <f aca="false">IF(B22=0,0,1-D22/B22)</f>
        <v>0</v>
      </c>
      <c r="G22" s="21" t="n">
        <f aca="false">IF(D22=0,0,(E22-D22)/D22)</f>
        <v>0</v>
      </c>
    </row>
    <row r="23" customFormat="false" ht="14.25" hidden="false" customHeight="true" outlineLevel="0" collapsed="false">
      <c r="A23" s="2" t="str">
        <f aca="false">IF(ROUND(C22-Reductions!D17,0)=0,"Check: Pharma discounts match the total in the Reductions tab.","Check: Pharma discounts by stage ("&amp;TEXT(C22,"#,##0")&amp;") do not match the total in the Reductions tab ("&amp;TEXT(Reductions!D17,"#,##0")&amp;").")</f>
        <v>Check: Pharma discounts match the total in the Reductions tab.</v>
      </c>
    </row>
    <row r="24" customFormat="false" ht="14.25" hidden="false" customHeight="true" outlineLevel="0" collapsed="false">
      <c r="A24" s="2" t="s">
        <v>59</v>
      </c>
    </row>
    <row r="26" customFormat="false" ht="15" hidden="false" customHeight="true" outlineLevel="0" collapsed="false">
      <c r="A26" s="12" t="s">
        <v>60</v>
      </c>
      <c r="B26" s="12"/>
      <c r="C26" s="12"/>
      <c r="D26" s="12"/>
      <c r="E26" s="12"/>
      <c r="F26" s="12"/>
      <c r="G26" s="12"/>
      <c r="H26" s="12"/>
      <c r="I26" s="12"/>
    </row>
    <row r="27" customFormat="false" ht="45" hidden="false" customHeight="true" outlineLevel="0" collapsed="false">
      <c r="A27" s="3" t="s">
        <v>39</v>
      </c>
      <c r="B27" s="3" t="s">
        <v>40</v>
      </c>
      <c r="C27" s="3" t="s">
        <v>61</v>
      </c>
      <c r="D27" s="3" t="s">
        <v>62</v>
      </c>
      <c r="E27" s="3" t="s">
        <v>63</v>
      </c>
      <c r="F27" s="3" t="s">
        <v>44</v>
      </c>
      <c r="G27" s="3" t="s">
        <v>45</v>
      </c>
      <c r="H27" s="3" t="s">
        <v>64</v>
      </c>
      <c r="I27" s="3" t="s">
        <v>65</v>
      </c>
    </row>
    <row r="28" customFormat="false" ht="14.25" hidden="false" customHeight="true" outlineLevel="0" collapsed="false">
      <c r="A28" s="13" t="s">
        <v>24</v>
      </c>
      <c r="B28" s="14" t="n">
        <f aca="false">B4+N(B15)</f>
        <v>335082.825</v>
      </c>
      <c r="C28" s="15" t="n">
        <f aca="false">C4+D15</f>
        <v>229164.869624349</v>
      </c>
      <c r="D28" s="15" t="n">
        <f aca="false">D4+D15</f>
        <v>121097.819624349</v>
      </c>
      <c r="E28" s="14" t="n">
        <f aca="false">E4+N(E15)</f>
        <v>106000</v>
      </c>
      <c r="F28" s="16" t="n">
        <f aca="false">IF(B28=0,0,1-C28/B28)</f>
        <v>0.316094850208008</v>
      </c>
      <c r="G28" s="16" t="n">
        <f aca="false">IF(B28=0,0,1-D28/B28)</f>
        <v>0.638603322553613</v>
      </c>
      <c r="H28" s="17" t="n">
        <f aca="false">IF(C28=0,0,(E28-C28)/C28)</f>
        <v>-0.537450918311533</v>
      </c>
      <c r="I28" s="17" t="n">
        <f aca="false">IF(D28=0,0,(E28-D28)/D28)</f>
        <v>-0.12467457854471</v>
      </c>
    </row>
    <row r="29" customFormat="false" ht="14.25" hidden="false" customHeight="true" outlineLevel="0" collapsed="false">
      <c r="A29" s="13" t="s">
        <v>13</v>
      </c>
      <c r="B29" s="14" t="n">
        <f aca="false">B5+N(B16)</f>
        <v>732839.1</v>
      </c>
      <c r="C29" s="15" t="n">
        <f aca="false">C5+D16</f>
        <v>294268.667883964</v>
      </c>
      <c r="D29" s="15" t="n">
        <f aca="false">D5+D16</f>
        <v>135402.092883964</v>
      </c>
      <c r="E29" s="14" t="n">
        <f aca="false">E5+N(E16)</f>
        <v>453000</v>
      </c>
      <c r="F29" s="16" t="n">
        <f aca="false">IF(B29=0,0,1-C29/B29)</f>
        <v>0.598453919988762</v>
      </c>
      <c r="G29" s="16" t="n">
        <f aca="false">IF(B29=0,0,1-D29/B29)</f>
        <v>0.815236260068596</v>
      </c>
      <c r="H29" s="17" t="n">
        <f aca="false">IF(C29=0,0,(E29-C29)/C29)</f>
        <v>0.539409558134225</v>
      </c>
      <c r="I29" s="17" t="n">
        <f aca="false">IF(D29=0,0,(E29-D29)/D29)</f>
        <v>2.34559082767065</v>
      </c>
    </row>
    <row r="30" customFormat="false" ht="14.25" hidden="false" customHeight="true" outlineLevel="0" collapsed="false">
      <c r="A30" s="13" t="s">
        <v>48</v>
      </c>
      <c r="B30" s="14" t="n">
        <f aca="false">B6+N(B17)</f>
        <v>1469323.8</v>
      </c>
      <c r="C30" s="15" t="n">
        <f aca="false">C6+D17</f>
        <v>1136847.12664142</v>
      </c>
      <c r="D30" s="15" t="n">
        <f aca="false">D6+D17</f>
        <v>947040.72664142</v>
      </c>
      <c r="E30" s="14" t="n">
        <f aca="false">E6+N(E17)</f>
        <v>1250000</v>
      </c>
      <c r="F30" s="16" t="n">
        <f aca="false">IF(B30=0,0,1-C30/B30)</f>
        <v>0.226278695927052</v>
      </c>
      <c r="G30" s="16" t="n">
        <f aca="false">IF(B30=0,0,1-D30/B30)</f>
        <v>0.355458118461417</v>
      </c>
      <c r="H30" s="17" t="n">
        <f aca="false">IF(C30=0,0,(E30-C30)/C30)</f>
        <v>0.0995321804549631</v>
      </c>
      <c r="I30" s="17" t="n">
        <f aca="false">IF(D30=0,0,(E30-D30)/D30)</f>
        <v>0.319900997745887</v>
      </c>
    </row>
    <row r="31" customFormat="false" ht="14.25" hidden="false" customHeight="true" outlineLevel="0" collapsed="false">
      <c r="A31" s="13" t="s">
        <v>49</v>
      </c>
      <c r="B31" s="14" t="n">
        <f aca="false">B7+N(B18)</f>
        <v>3183882.555</v>
      </c>
      <c r="C31" s="15" t="n">
        <f aca="false">C7+D18</f>
        <v>2444083.52602817</v>
      </c>
      <c r="D31" s="15" t="n">
        <f aca="false">D7+D18</f>
        <v>2010978.89602817</v>
      </c>
      <c r="E31" s="14" t="n">
        <f aca="false">E7+N(E18)</f>
        <v>1455000</v>
      </c>
      <c r="F31" s="16" t="n">
        <f aca="false">IF(B31=0,0,1-C31/B31)</f>
        <v>0.232357511997433</v>
      </c>
      <c r="G31" s="16" t="n">
        <f aca="false">IF(B31=0,0,1-D31/B31)</f>
        <v>0.368387853104032</v>
      </c>
      <c r="H31" s="17" t="n">
        <f aca="false">IF(C31=0,0,(E31-C31)/C31)</f>
        <v>-0.404684829914757</v>
      </c>
      <c r="I31" s="17" t="n">
        <f aca="false">IF(D31=0,0,(E31-D31)/D31)</f>
        <v>-0.276471770602003</v>
      </c>
    </row>
    <row r="32" customFormat="false" ht="14.25" hidden="false" customHeight="true" outlineLevel="0" collapsed="false">
      <c r="A32" s="13" t="s">
        <v>50</v>
      </c>
      <c r="B32" s="14" t="n">
        <f aca="false">B8+N(B19)</f>
        <v>540610.875</v>
      </c>
      <c r="C32" s="15" t="n">
        <f aca="false">C8+D19</f>
        <v>284545.536548016</v>
      </c>
      <c r="D32" s="15" t="n">
        <f aca="false">D8+D19</f>
        <v>156012.411548016</v>
      </c>
      <c r="E32" s="14" t="n">
        <f aca="false">E8+N(E19)</f>
        <v>370000</v>
      </c>
      <c r="F32" s="16" t="n">
        <f aca="false">IF(B32=0,0,1-C32/B32)</f>
        <v>0.473659244187391</v>
      </c>
      <c r="G32" s="16" t="n">
        <f aca="false">IF(B32=0,0,1-D32/B32)</f>
        <v>0.711414589009117</v>
      </c>
      <c r="H32" s="17" t="n">
        <f aca="false">IF(C32=0,0,(E32-C32)/C32)</f>
        <v>0.300319114081636</v>
      </c>
      <c r="I32" s="17" t="n">
        <f aca="false">IF(D32=0,0,(E32-D32)/D32)</f>
        <v>1.37160618394854</v>
      </c>
    </row>
    <row r="33" customFormat="false" ht="14.25" hidden="false" customHeight="true" outlineLevel="0" collapsed="false">
      <c r="A33" s="13" t="s">
        <v>51</v>
      </c>
      <c r="B33" s="14" t="n">
        <f aca="false">B9+N(B20)</f>
        <v>775079.55</v>
      </c>
      <c r="C33" s="15" t="n">
        <f aca="false">C9+D20</f>
        <v>490533.729962928</v>
      </c>
      <c r="D33" s="15" t="n">
        <f aca="false">D9+D20</f>
        <v>343643.979962928</v>
      </c>
      <c r="E33" s="14" t="n">
        <f aca="false">E9+N(E20)</f>
        <v>102000</v>
      </c>
      <c r="F33" s="16" t="n">
        <f aca="false">IF(B33=0,0,1-C33/B33)</f>
        <v>0.367118213913749</v>
      </c>
      <c r="G33" s="16" t="n">
        <f aca="false">IF(B33=0,0,1-D33/B33)</f>
        <v>0.556633922333613</v>
      </c>
      <c r="H33" s="17" t="n">
        <f aca="false">IF(C33=0,0,(E33-C33)/C33)</f>
        <v>-0.792063228745333</v>
      </c>
      <c r="I33" s="17" t="n">
        <f aca="false">IF(D33=0,0,(E33-D33)/D33)</f>
        <v>-0.703181181841149</v>
      </c>
    </row>
    <row r="34" customFormat="false" ht="14.25" hidden="false" customHeight="true" outlineLevel="0" collapsed="false">
      <c r="A34" s="13" t="s">
        <v>52</v>
      </c>
      <c r="B34" s="14" t="n">
        <f aca="false">B10+N(B21)</f>
        <v>493905.3</v>
      </c>
      <c r="C34" s="15" t="n">
        <f aca="false">C10+D21</f>
        <v>341463.659377819</v>
      </c>
      <c r="D34" s="15" t="n">
        <f aca="false">D10+D21</f>
        <v>285015.659377819</v>
      </c>
      <c r="E34" s="14" t="n">
        <f aca="false">E10+N(E21)</f>
        <v>73000</v>
      </c>
      <c r="F34" s="16" t="n">
        <f aca="false">IF(B34=0,0,1-C34/B34)</f>
        <v>0.308645484513288</v>
      </c>
      <c r="G34" s="16" t="n">
        <f aca="false">IF(B34=0,0,1-D34/B34)</f>
        <v>0.422934600260781</v>
      </c>
      <c r="H34" s="17" t="n">
        <f aca="false">IF(C34=0,0,(E34-C34)/C34)</f>
        <v>-0.786214438944943</v>
      </c>
      <c r="I34" s="17" t="n">
        <f aca="false">IF(D34=0,0,(E34-D34)/D34)</f>
        <v>-0.743873722028618</v>
      </c>
    </row>
    <row r="35" customFormat="false" ht="14.25" hidden="false" customHeight="true" outlineLevel="0" collapsed="false">
      <c r="A35" s="18" t="s">
        <v>53</v>
      </c>
      <c r="B35" s="19" t="n">
        <f aca="false">SUM(B28:B34)</f>
        <v>7530724.005</v>
      </c>
      <c r="C35" s="19" t="n">
        <f aca="false">SUM(C28:C34)</f>
        <v>5220907.11606667</v>
      </c>
      <c r="D35" s="19" t="n">
        <f aca="false">SUM(D28:D34)</f>
        <v>3999191.58606667</v>
      </c>
      <c r="E35" s="19" t="n">
        <f aca="false">SUM(E28:E34)</f>
        <v>3809000</v>
      </c>
      <c r="F35" s="20" t="n">
        <f aca="false">IF(B35=0,0,1-C35/B35)</f>
        <v>0.306719099969636</v>
      </c>
      <c r="G35" s="20" t="n">
        <f aca="false">IF(B35=0,0,1-D35/B35)</f>
        <v>0.468949919899944</v>
      </c>
      <c r="H35" s="21" t="n">
        <f aca="false">IF(C35=0,0,(E35-C35)/C35)</f>
        <v>-0.2704332953409</v>
      </c>
      <c r="I35" s="21" t="n">
        <f aca="false">IF(D35=0,0,(E35-D35)/D35)</f>
        <v>-0.047557508054703</v>
      </c>
    </row>
    <row r="38" customFormat="false" ht="15" hidden="false" customHeight="true" outlineLevel="0" collapsed="false">
      <c r="A38" s="12" t="s">
        <v>66</v>
      </c>
      <c r="B38" s="12"/>
      <c r="C38" s="12"/>
      <c r="D38" s="12"/>
      <c r="E38" s="12"/>
      <c r="F38" s="12"/>
      <c r="G38" s="12"/>
      <c r="H38" s="12"/>
      <c r="I38" s="12"/>
    </row>
    <row r="39" customFormat="false" ht="31.5" hidden="false" customHeight="true" outlineLevel="0" collapsed="false">
      <c r="A39" s="3" t="s">
        <v>67</v>
      </c>
      <c r="B39" s="3" t="s">
        <v>40</v>
      </c>
      <c r="C39" s="3" t="s">
        <v>41</v>
      </c>
      <c r="D39" s="3" t="s">
        <v>42</v>
      </c>
      <c r="E39" s="3" t="s">
        <v>68</v>
      </c>
      <c r="F39" s="3" t="s">
        <v>69</v>
      </c>
    </row>
    <row r="40" customFormat="false" ht="14.25" hidden="false" customHeight="true" outlineLevel="0" collapsed="false">
      <c r="A40" s="24" t="s">
        <v>70</v>
      </c>
      <c r="B40" s="14" t="n">
        <v>5858217.9075</v>
      </c>
      <c r="C40" s="14" t="n">
        <v>3665191.82106667</v>
      </c>
      <c r="D40" s="14" t="n">
        <v>3665191.82106667</v>
      </c>
      <c r="E40" s="14" t="n">
        <f aca="false">B40-C40</f>
        <v>2193026.08643333</v>
      </c>
      <c r="F40" s="14" t="n">
        <f aca="false">B40-D40</f>
        <v>2193026.08643333</v>
      </c>
    </row>
    <row r="41" customFormat="false" ht="14.25" hidden="false" customHeight="true" outlineLevel="0" collapsed="false">
      <c r="A41" s="24" t="s">
        <v>27</v>
      </c>
      <c r="B41" s="14" t="n">
        <v>1593669.9975</v>
      </c>
      <c r="C41" s="14" t="n">
        <v>1476879.195</v>
      </c>
      <c r="D41" s="14" t="n">
        <v>255163.665</v>
      </c>
      <c r="E41" s="14" t="n">
        <f aca="false">B41-C41</f>
        <v>116790.8025</v>
      </c>
      <c r="F41" s="14" t="n">
        <f aca="false">B41-D41</f>
        <v>1338506.3325</v>
      </c>
    </row>
    <row r="42" customFormat="false" ht="14.25" hidden="false" customHeight="true" outlineLevel="0" collapsed="false">
      <c r="A42" s="24" t="s">
        <v>71</v>
      </c>
      <c r="B42" s="14" t="n">
        <v>78836.1</v>
      </c>
      <c r="C42" s="14" t="n">
        <v>78836.1</v>
      </c>
      <c r="D42" s="14" t="n">
        <v>78836.1</v>
      </c>
      <c r="E42" s="14" t="n">
        <f aca="false">B42-C42</f>
        <v>0</v>
      </c>
      <c r="F42" s="14" t="n">
        <f aca="false">B42-D42</f>
        <v>0</v>
      </c>
    </row>
    <row r="43" customFormat="false" ht="14.25" hidden="false" customHeight="true" outlineLevel="0" collapsed="false">
      <c r="A43" s="10" t="s">
        <v>53</v>
      </c>
      <c r="B43" s="19" t="n">
        <f aca="false">SUM(B40:B42)</f>
        <v>7530724.005</v>
      </c>
      <c r="C43" s="19" t="n">
        <f aca="false">SUM(C40:C42)</f>
        <v>5220907.11606667</v>
      </c>
      <c r="D43" s="19" t="n">
        <f aca="false">SUM(D40:D42)</f>
        <v>3999191.58606667</v>
      </c>
      <c r="E43" s="19" t="n">
        <f aca="false">SUM(E40:E42)</f>
        <v>2309816.88893333</v>
      </c>
      <c r="F43" s="19" t="n">
        <f aca="false">SUM(F40:F42)</f>
        <v>3531532.41893333</v>
      </c>
    </row>
    <row r="45" customFormat="false" ht="14.25" hidden="false" customHeight="true" outlineLevel="0" collapsed="false">
      <c r="A45" s="2" t="s">
        <v>72</v>
      </c>
    </row>
  </sheetData>
  <mergeCells count="4">
    <mergeCell ref="A2:I2"/>
    <mergeCell ref="A13:I13"/>
    <mergeCell ref="A26:I26"/>
    <mergeCell ref="A38:I3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2026-09-24T13:32:31Z</dcterms:created>
  <dc:creator>Teresa Ancochea Nodal</dc:creator>
  <dc:description/>
  <dc:language>en-US</dc:language>
  <cp:lastModifiedBy>Teresa Ancochea Nodal</cp:lastModifiedBy>
  <dcterms:modified xsi:type="dcterms:W3CDTF">2026-09-24T14:23:21Z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0x010100CF2FD4E27FC8FA4BB0E879FB9F3FC2AB</vt:lpwstr>
  </property>
</Properties>
</file>