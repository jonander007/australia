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duc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<sst xmlns="http://schemas.openxmlformats.org/spreadsheetml/2006/main" count="123" uniqueCount="73">
  <si>
    <t xml:space="preserve">Reductions on the NMMP offer — all amounts in AUD. Nuclear reductions are applied in sequence, without double counting: SSC descoping → S1 deliverable adjustment → rework → travel → commercial discount. Plan Safe applies to Scenario 2 only.</t>
  </si>
  <si>
    <t xml:space="preserve">Discipline</t>
  </si>
  <si>
    <t xml:space="preserve">Item</t>
  </si>
  <si>
    <t xml:space="preserve">Concept</t>
  </si>
  <si>
    <t xml:space="preserve">Value (AUD)</t>
  </si>
  <si>
    <t xml:space="preserve">Explanation</t>
  </si>
  <si>
    <t xml:space="preserve">Deliverables affected</t>
  </si>
  <si>
    <t xml:space="preserve">Stages affected</t>
  </si>
  <si>
    <t xml:space="preserve">Scenario</t>
  </si>
  <si>
    <t xml:space="preserve">Nuclear</t>
  </si>
  <si>
    <t xml:space="preserve">Rework</t>
  </si>
  <si>
    <t xml:space="preserve">The 35% rework allowance on IDOM's Stage 2 tasks is released in full: all deliverables are assumed right first time. Calculated on IDOM's Stage 2 amount remaining after the SSC descoping and the S1 deliverable adjustment (180,964 AUD × 35/135). On the original offer it would be 139,097 AUD.</t>
  </si>
  <si>
    <t xml:space="preserve">n/a</t>
  </si>
  <si>
    <t xml:space="preserve">S2</t>
  </si>
  <si>
    <t xml:space="preserve">Scenarios 1 and 2</t>
  </si>
  <si>
    <t xml:space="preserve">SSC descoping</t>
  </si>
  <si>
    <t xml:space="preserve">S26, S27, S28, S29</t>
  </si>
  <si>
    <t xml:space="preserve">S1-S5</t>
  </si>
  <si>
    <t xml:space="preserve">Commercial discount</t>
  </si>
  <si>
    <t xml:space="preserve">4% discount on everything IDOM invoices, applied after the other reductions (4,197,549 AUD × 4%). Not applied to Plan Safe or INVAP.</t>
  </si>
  <si>
    <t xml:space="preserve">All</t>
  </si>
  <si>
    <t xml:space="preserve">S1 deliverable adjustment</t>
  </si>
  <si>
    <t xml:space="preserve">Safety Assurance Plan / Safety Integration Plan priced as two weeks of work: a single, unrevised issue in Stage 1 of 190 hours and 44,559 AUD (2.5 FTEs full time for two weeks). The Stage 2 update is removed. Original price 432,419 AUD − 44,559 AUD.</t>
  </si>
  <si>
    <t xml:space="preserve">S1</t>
  </si>
  <si>
    <t xml:space="preserve">S1, S2</t>
  </si>
  <si>
    <t xml:space="preserve">Travel</t>
  </si>
  <si>
    <t xml:space="preserve">Plan Safe</t>
  </si>
  <si>
    <t xml:space="preserve">S2, S3, S8, S30</t>
  </si>
  <si>
    <t xml:space="preserve">S1-S7</t>
  </si>
  <si>
    <t xml:space="preserve">Scenario 2 only</t>
  </si>
  <si>
    <t xml:space="preserve">Pharma</t>
  </si>
  <si>
    <t xml:space="preserve">Pharma discount (to be completed)</t>
  </si>
  <si>
    <t xml:space="preserve">Pharma scenario</t>
  </si>
  <si>
    <t xml:space="preserve">Total nuclear reduction · Scenario 1</t>
  </si>
  <si>
    <t xml:space="preserve">Total nuclear reduction · Scenario 2</t>
  </si>
  <si>
    <t xml:space="preserve">Total Pharma reduction</t>
  </si>
  <si>
    <t xml:space="preserve">Pharma rows (light yellow): Pharma enters each discount with its concept, explanation and value in AUD. The split by stage is entered in the PHARMA table of the Summary tab.</t>
  </si>
  <si>
    <t xml:space="preserve">Source of the nuclear values: IDOM's bottom-up offer model (offer hours × offer sell rates, AUD). Original offer: 7,530,724 AUD.</t>
  </si>
  <si>
    <t xml:space="preserve">NUCLEAR (AUD)</t>
  </si>
  <si>
    <t xml:space="preserve">Stage</t>
  </si>
  <si>
    <t xml:space="preserve">Original offer</t>
  </si>
  <si>
    <t xml:space="preserve">Scenario 1: with Plan Safe</t>
  </si>
  <si>
    <t xml:space="preserve">Scenario 2: without Plan Safe</t>
  </si>
  <si>
    <t xml:space="preserve">Synertec benchmark</t>
  </si>
  <si>
    <t xml:space="preserve">% Reduction Sc. 1</t>
  </si>
  <si>
    <t xml:space="preserve">% Reduction Sc. 2</t>
  </si>
  <si>
    <t xml:space="preserve">% Difference vs Synertec Sc. 1</t>
  </si>
  <si>
    <t xml:space="preserve">% Difference vs Synertec Sc. 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</si>
  <si>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</si>
  <si>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</si>
  <si>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</si>
  <si>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</si>
  <si>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</si>
  <si>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TOTAL</t>
  </si>
  <si>
    <t xml:space="preserve">PHARMA (AUD) — to be completed by Pharma</t>
  </si>
  <si>
    <t xml:space="preserve">Pharma discounts</t>
  </si>
  <si>
    <t xml:space="preserve">Pharma benchmark</t>
  </si>
  <si>
    <t xml:space="preserve">% Reduction</t>
  </si>
  <si>
    <t xml:space="preserve">% Difference vs benchmark</t>
  </si>
  <si>
    <t xml:space="preserve">Pharma enters its original offer, its discounts and its benchmark by stage (light yellow). Single scenario.</t>
  </si>
  <si>
    <t xml:space="preserve">TOTAL NUCLEAR + PHARMA (AUD)</t>
  </si>
  <si>
    <t xml:space="preserve">Scenario 1 + Pharma</t>
  </si>
  <si>
    <t xml:space="preserve">Scenario 2 + Pharma</t>
  </si>
  <si>
    <t xml:space="preserve">Benchmark (Synertec + Pharma)</t>
  </si>
  <si>
    <t xml:space="preserve">% Difference vs benchmark Sc. 1</t>
  </si>
  <si>
    <t xml:space="preserve">% Difference vs benchmark Sc. 2</t>
  </si>
  <si>
    <t xml:space="preserve">NUCLEAR · split by company (AUD)</t>
  </si>
  <si>
    <t xml:space="preserve">Company</t>
  </si>
  <si>
    <t xml:space="preserve">Reduction Sc. 1</t>
  </si>
  <si>
    <t xml:space="preserve">Reduction Sc. 2</t>
  </si>
  <si>
    <t xml:space="preserve">IDOM</t>
  </si>
  <si>
    <t xml:space="preserve">INVAP</t>
  </si>
  <si>
    <t xml:space="preserve">% Reduction = 1 − scenario / original offer. % Difference = (benchmark − scenario) / scenario; negative = the benchmark is below the scenario price. All amounts in AUD.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</si>
</sst>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AUD&quot;;\-#,##0&quot; AUD&quot;;\-"/>
    <numFmt numFmtId="166" formatCode="#,##0;\-#,##0;\-"/>
    <numFmt numFmtId="167" formatCode="0.0%;\-0.0%;\-"/>
    <numFmt numFmtId="168" formatCode="0.00%;\-0.00%;\-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000000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FF"/>
      <name val="Aptos Narrow"/>
      <family val="0"/>
      <charset val="1"/>
    </font>
    <font>
      <b val="true"/>
      <sz val="12"/>
      <color rgb="FF0070C0"/>
      <name val="Aptos Narrow"/>
      <family val="0"/>
      <charset val="1"/>
    </font>
    <font>
      <b val="true"/>
      <sz val="11"/>
      <color rgb="FF2E75B6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5" tint="0.7999"/>
        <bgColor rgb="FFFFF2CC"/>
      </patternFill>
    </fill>
    <fill>
      <patternFill patternType="solid">
        <fgColor rgb="FFFFF2CC"/>
        <bgColor rgb="FFFBE3D6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4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11" activeCellId="0" sqref="F11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80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4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61.5" hidden="false" customHeight="true" outlineLevel="0" collapsed="false">
      <c r="A3" s="4" t="s">
        <v>9</v>
      </c>
      <c r="B3" s="4" t="n">
        <v>1</v>
      </c>
      <c r="C3" s="4" t="s">
        <v>10</v>
      </c>
      <c r="D3" s="5" t="n">
        <v>46916.5880555555</v>
      </c>
      <c r="E3" s="6" t="s">
        <v>11</v>
      </c>
      <c r="F3" s="7" t="s">
        <v>12</v>
      </c>
      <c r="G3" s="7" t="s">
        <v>13</v>
      </c>
      <c r="H3" s="7" t="s">
        <v>14</v>
      </c>
    </row>
    <row r="4" customFormat="false" ht="61.5" hidden="false" customHeight="true" outlineLevel="0" collapsed="false">
      <c r="A4" s="4" t="s">
        <v>9</v>
      </c>
      <c r="B4" s="4" t="n">
        <v>2</v>
      </c>
      <c r="C4" s="4" t="s">
        <v>15</v>
      </c>
      <c r="D4" s="5" t="n">
        <v>1250657.625</v>
      </c>
      <c r="E4" s="6" t="str">
        <f aca="false">"SSC Categorisation Report (S26), SSC Register (S27), Engineering Schedule &amp; V&amp;V Report for safety controls (S28) and Design Substantiation Report (S29) removed in Stages 1 to 5, including Plan Safe's share of S28 and S29. Value = their price in the original offer (offer hours × offer sell rates) in those stages."</f>
        <v>SSC Categorisation Report (S26), SSC Register (S27), Engineering Schedule &amp; V&amp;V Report for safety controls (S28) and Design Substantiation Report (S29) removed in Stages 1 to 5, including Plan Safe's share of S28 and S29. Value = their price in the original offer (offer hours × offer sell rates) in those stages.</v>
      </c>
      <c r="F4" s="7" t="s">
        <v>16</v>
      </c>
      <c r="G4" s="7" t="s">
        <v>17</v>
      </c>
      <c r="H4" s="7" t="s">
        <v>14</v>
      </c>
    </row>
    <row r="5" customFormat="false" ht="61.5" hidden="false" customHeight="true" outlineLevel="0" collapsed="false">
      <c r="A5" s="4" t="s">
        <v>9</v>
      </c>
      <c r="B5" s="4" t="n">
        <v>3</v>
      </c>
      <c r="C5" s="4" t="s">
        <v>18</v>
      </c>
      <c r="D5" s="5" t="n">
        <v>167901.940377778</v>
      </c>
      <c r="E5" s="6" t="s">
        <v>19</v>
      </c>
      <c r="F5" s="7" t="s">
        <v>12</v>
      </c>
      <c r="G5" s="7" t="s">
        <v>20</v>
      </c>
      <c r="H5" s="7" t="s">
        <v>14</v>
      </c>
    </row>
    <row r="6" customFormat="false" ht="61.5" hidden="false" customHeight="true" outlineLevel="0" collapsed="false">
      <c r="A6" s="4" t="s">
        <v>9</v>
      </c>
      <c r="B6" s="4" t="n">
        <v>4</v>
      </c>
      <c r="C6" s="4" t="s">
        <v>21</v>
      </c>
      <c r="D6" s="5" t="n">
        <v>387859.875</v>
      </c>
      <c r="E6" s="6" t="s">
        <v>22</v>
      </c>
      <c r="F6" s="7" t="s">
        <v>23</v>
      </c>
      <c r="G6" s="7" t="s">
        <v>24</v>
      </c>
      <c r="H6" s="7" t="s">
        <v>14</v>
      </c>
    </row>
    <row r="7" customFormat="false" ht="61.5" hidden="false" customHeight="true" outlineLevel="0" collapsed="false">
      <c r="A7" s="4" t="s">
        <v>9</v>
      </c>
      <c r="B7" s="4" t="n">
        <v>5</v>
      </c>
      <c r="C7" s="4" t="s">
        <v>25</v>
      </c>
      <c r="D7" s="5" t="n">
        <v>70000</v>
      </c>
      <c r="E7" s="6" t="str">
        <f aca="false">"Travel allowance removed: 70,000 AUD."</f>
        <v>Travel allowance removed: 70,000 AUD.</v>
      </c>
      <c r="F7" s="7" t="s">
        <v>12</v>
      </c>
      <c r="G7" s="7" t="s">
        <v>20</v>
      </c>
      <c r="H7" s="7" t="s">
        <v>14</v>
      </c>
    </row>
    <row r="8" customFormat="false" ht="61.5" hidden="false" customHeight="true" outlineLevel="0" collapsed="false">
      <c r="A8" s="7" t="s">
        <v>9</v>
      </c>
      <c r="B8" s="7" t="n">
        <v>6</v>
      </c>
      <c r="C8" s="7" t="s">
        <v>26</v>
      </c>
      <c r="D8" s="5" t="n">
        <v>1221715.53</v>
      </c>
      <c r="E8" s="6" t="str">
        <f aca="false">"Plan Safe's own human factors deliverables removed (HF Assurance / Integration Plan, HF Hazards Identification and Control Plan, HF Task Assessments, HF Substantiation Report). Value = their price in the original offer. Plan Safe keeps its share of the shared deliverables."</f>
        <v>Plan Safe's own human factors deliverables removed (HF Assurance / Integration Plan, HF Hazards Identification and Control Plan, HF Task Assessments, HF Substantiation Report). Value = their price in the original offer. Plan Safe keeps its share of the shared deliverables.</v>
      </c>
      <c r="F8" s="7" t="s">
        <v>27</v>
      </c>
      <c r="G8" s="7" t="s">
        <v>28</v>
      </c>
      <c r="H8" s="7" t="s">
        <v>29</v>
      </c>
    </row>
    <row r="9" customFormat="false" ht="14.25" hidden="false" customHeight="true" outlineLevel="0" collapsed="false">
      <c r="A9" s="7" t="s">
        <v>30</v>
      </c>
      <c r="B9" s="7" t="n">
        <v>7</v>
      </c>
      <c r="C9" s="8" t="s">
        <v>31</v>
      </c>
      <c r="D9" s="9"/>
      <c r="E9" s="8"/>
      <c r="F9" s="8"/>
      <c r="G9" s="8"/>
      <c r="H9" s="7" t="s">
        <v>32</v>
      </c>
    </row>
    <row r="10" customFormat="false" ht="14.25" hidden="false" customHeight="true" outlineLevel="0" collapsed="false">
      <c r="A10" s="7" t="s">
        <v>30</v>
      </c>
      <c r="B10" s="7" t="n">
        <v>8</v>
      </c>
      <c r="C10" s="8"/>
      <c r="D10" s="9"/>
      <c r="E10" s="8"/>
      <c r="F10" s="8"/>
      <c r="G10" s="8"/>
      <c r="H10" s="7" t="s">
        <v>32</v>
      </c>
    </row>
    <row r="11" customFormat="false" ht="14.25" hidden="false" customHeight="true" outlineLevel="0" collapsed="false">
      <c r="A11" s="7" t="s">
        <v>30</v>
      </c>
      <c r="B11" s="7" t="n">
        <v>9</v>
      </c>
      <c r="C11" s="8"/>
      <c r="D11" s="9"/>
      <c r="E11" s="8"/>
      <c r="F11" s="8"/>
      <c r="G11" s="8"/>
      <c r="H11" s="7" t="s">
        <v>32</v>
      </c>
    </row>
    <row r="12" customFormat="false" ht="14.25" hidden="false" customHeight="true" outlineLevel="0" collapsed="false">
      <c r="A12" s="7" t="s">
        <v>30</v>
      </c>
      <c r="B12" s="7" t="n">
        <v>10</v>
      </c>
      <c r="C12" s="8"/>
      <c r="D12" s="9"/>
      <c r="E12" s="8"/>
      <c r="F12" s="8"/>
      <c r="G12" s="8"/>
      <c r="H12" s="7" t="s">
        <v>32</v>
      </c>
    </row>
    <row r="13" customFormat="false" ht="14.25" hidden="false" customHeight="true" outlineLevel="0" collapsed="false">
      <c r="A13" s="7" t="s">
        <v>30</v>
      </c>
      <c r="B13" s="7" t="n">
        <v>11</v>
      </c>
      <c r="C13" s="8"/>
      <c r="D13" s="9"/>
      <c r="E13" s="8"/>
      <c r="F13" s="8"/>
      <c r="G13" s="8"/>
      <c r="H13" s="7" t="s">
        <v>32</v>
      </c>
    </row>
    <row r="15" customFormat="false" ht="14.25" hidden="false" customHeight="true" outlineLevel="0" collapsed="false">
      <c r="C15" s="10" t="s">
        <v>33</v>
      </c>
      <c r="D15" s="11" t="n">
        <f aca="false">SUM(D3:D7)</f>
        <v>1923336.02843333</v>
      </c>
    </row>
    <row r="16" customFormat="false" ht="14.25" hidden="false" customHeight="true" outlineLevel="0" collapsed="false">
      <c r="C16" s="10" t="s">
        <v>34</v>
      </c>
      <c r="D16" s="11" t="n">
        <f aca="false">SUM(D3:D8)</f>
        <v>3145051.55843333</v>
      </c>
    </row>
    <row r="17" customFormat="false" ht="14.25" hidden="false" customHeight="true" outlineLevel="0" collapsed="false">
      <c r="C17" s="10" t="s">
        <v>35</v>
      </c>
      <c r="D17" s="11" t="n">
        <f aca="false">SUM(D9:D13)</f>
        <v>0</v>
      </c>
    </row>
    <row r="19" customFormat="false" ht="14.25" hidden="false" customHeight="true" outlineLevel="0" collapsed="false">
      <c r="A19" s="2" t="s">
        <v>36</v>
      </c>
    </row>
    <row r="20" customFormat="false" ht="14.25" hidden="false" customHeight="true" outlineLevel="0" collapsed="false">
      <c r="A20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20" activeCellId="0" sqref="F20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4" min="3" style="1" width="20"/>
    <col collapsed="false" customWidth="true" hidden="false" outlineLevel="0" max="5" min="5" style="1" width="18"/>
    <col collapsed="false" customWidth="true" hidden="false" outlineLevel="0" max="7" min="6" style="1" width="13"/>
    <col collapsed="false" customWidth="true" hidden="false" outlineLevel="0" max="9" min="8" style="1" width="17"/>
  </cols>
  <sheetData>
    <row r="2" customFormat="false" ht="15" hidden="false" customHeight="true" outlineLevel="0" collapsed="false">
      <c r="A2" s="12" t="s">
        <v>38</v>
      </c>
      <c r="B2" s="12"/>
      <c r="C2" s="12"/>
      <c r="D2" s="12"/>
      <c r="E2" s="12"/>
      <c r="F2" s="12"/>
      <c r="G2" s="12"/>
      <c r="H2" s="12"/>
      <c r="I2" s="12"/>
    </row>
    <row r="3" customFormat="false" ht="45" hidden="false" customHeight="true" outlineLevel="0" collapsed="false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</row>
    <row r="4" customFormat="false" ht="14.25" hidden="false" customHeight="true" outlineLevel="0" collapsed="false">
      <c r="A4" s="13" t="s">
        <v>23</v>
      </c>
      <c r="B4" s="14" t="n">
        <v>335082.825</v>
      </c>
      <c r="C4" s="15" t="n">
        <v>229226.532693237</v>
      </c>
      <c r="D4" s="15" t="n">
        <v>121159.482693237</v>
      </c>
      <c r="E4" s="14" t="n">
        <v>106000</v>
      </c>
      <c r="F4" s="16" t="n">
        <f aca="false">IF(B4=0,0,1-C4/B4)</f>
        <v>0.315910826843372</v>
      </c>
      <c r="G4" s="16" t="n">
        <f aca="false">IF(B4=0,0,1-D4/B4)</f>
        <v>0.638419299188978</v>
      </c>
      <c r="H4" s="17" t="n">
        <f aca="false">IF(C4=0,0,(E4-C4)/C4)</f>
        <v>-0.537575346297914</v>
      </c>
      <c r="I4" s="17" t="n">
        <f aca="false">IF(D4=0,0,(E4-D4)/D4)</f>
        <v>-0.125120067833396</v>
      </c>
    </row>
    <row r="5" customFormat="false" ht="14.25" hidden="false" customHeight="true" outlineLevel="0" collapsed="false">
      <c r="A5" s="13" t="s">
        <v>13</v>
      </c>
      <c r="B5" s="14" t="n">
        <v>732839.1</v>
      </c>
      <c r="C5" s="15" t="n">
        <v>294474.780970431</v>
      </c>
      <c r="D5" s="15" t="n">
        <v>135608.205970431</v>
      </c>
      <c r="E5" s="14" t="n">
        <v>453000</v>
      </c>
      <c r="F5" s="16" t="n">
        <f aca="false">IF(B5=0,0,1-C5/B5)</f>
        <v>0.598172667137396</v>
      </c>
      <c r="G5" s="16" t="n">
        <f aca="false">IF(B5=0,0,1-D5/B5)</f>
        <v>0.814955007217231</v>
      </c>
      <c r="H5" s="17" t="n">
        <f aca="false">IF(C5=0,0,(E5-C5)/C5)</f>
        <v>0.53833207212908</v>
      </c>
      <c r="I5" s="17" t="n">
        <f aca="false">IF(D5=0,0,(E5-D5)/D5)</f>
        <v>2.34050581053167</v>
      </c>
    </row>
    <row r="6" customFormat="false" ht="14.25" hidden="false" customHeight="true" outlineLevel="0" collapsed="false">
      <c r="A6" s="13" t="s">
        <v>48</v>
      </c>
      <c r="B6" s="14" t="n">
        <v>1469323.8</v>
      </c>
      <c r="C6" s="15" t="n">
        <v>1138296.28283098</v>
      </c>
      <c r="D6" s="15" t="n">
        <v>948489.882830978</v>
      </c>
      <c r="E6" s="14" t="n">
        <v>1250000</v>
      </c>
      <c r="F6" s="16" t="n">
        <f aca="false">IF(B6=0,0,1-C6/B6)</f>
        <v>0.225292421703793</v>
      </c>
      <c r="G6" s="16" t="n">
        <f aca="false">IF(B6=0,0,1-D6/B6)</f>
        <v>0.35447184423816</v>
      </c>
      <c r="H6" s="17" t="n">
        <f aca="false">IF(C6=0,0,(E6-C6)/C6)</f>
        <v>0.0981323745441822</v>
      </c>
      <c r="I6" s="17" t="n">
        <f aca="false">IF(D6=0,0,(E6-D6)/D6)</f>
        <v>0.317884378765431</v>
      </c>
    </row>
    <row r="7" customFormat="false" ht="14.25" hidden="false" customHeight="true" outlineLevel="0" collapsed="false">
      <c r="A7" s="13" t="s">
        <v>49</v>
      </c>
      <c r="B7" s="14" t="n">
        <v>3183882.555</v>
      </c>
      <c r="C7" s="15" t="n">
        <v>2447168.9820988</v>
      </c>
      <c r="D7" s="15" t="n">
        <v>2014064.3520988</v>
      </c>
      <c r="E7" s="14" t="n">
        <v>1455000</v>
      </c>
      <c r="F7" s="16" t="n">
        <f aca="false">IF(B7=0,0,1-C7/B7)</f>
        <v>0.231388425978294</v>
      </c>
      <c r="G7" s="16" t="n">
        <f aca="false">IF(B7=0,0,1-D7/B7)</f>
        <v>0.367418767084893</v>
      </c>
      <c r="H7" s="17" t="n">
        <f aca="false">IF(C7=0,0,(E7-C7)/C7)</f>
        <v>-0.405435419195234</v>
      </c>
      <c r="I7" s="17" t="n">
        <f aca="false">IF(D7=0,0,(E7-D7)/D7)</f>
        <v>-0.277580183332382</v>
      </c>
    </row>
    <row r="8" customFormat="false" ht="14.25" hidden="false" customHeight="true" outlineLevel="0" collapsed="false">
      <c r="A8" s="13" t="s">
        <v>50</v>
      </c>
      <c r="B8" s="14" t="n">
        <v>540610.875</v>
      </c>
      <c r="C8" s="15" t="n">
        <v>284773.170543182</v>
      </c>
      <c r="D8" s="15" t="n">
        <v>156240.045543182</v>
      </c>
      <c r="E8" s="14" t="n">
        <v>370000</v>
      </c>
      <c r="F8" s="16" t="n">
        <f aca="false">IF(B8=0,0,1-C8/B8)</f>
        <v>0.473238176085189</v>
      </c>
      <c r="G8" s="16" t="n">
        <f aca="false">IF(B8=0,0,1-D8/B8)</f>
        <v>0.710993520906915</v>
      </c>
      <c r="H8" s="17" t="n">
        <f aca="false">IF(C8=0,0,(E8-C8)/C8)</f>
        <v>0.299279701434846</v>
      </c>
      <c r="I8" s="17" t="n">
        <f aca="false">IF(D8=0,0,(E8-D8)/D8)</f>
        <v>1.36815087139576</v>
      </c>
    </row>
    <row r="9" customFormat="false" ht="14.25" hidden="false" customHeight="true" outlineLevel="0" collapsed="false">
      <c r="A9" s="13" t="s">
        <v>51</v>
      </c>
      <c r="B9" s="14" t="n">
        <v>775079.55</v>
      </c>
      <c r="C9" s="15" t="n">
        <v>742522.76735156</v>
      </c>
      <c r="D9" s="15" t="n">
        <v>595633.01735156</v>
      </c>
      <c r="E9" s="14" t="n">
        <v>102000</v>
      </c>
      <c r="F9" s="16" t="n">
        <f aca="false">IF(B9=0,0,1-C9/B9)</f>
        <v>0.0420044402518943</v>
      </c>
      <c r="G9" s="16" t="n">
        <f aca="false">IF(B9=0,0,1-D9/B9)</f>
        <v>0.231520148671759</v>
      </c>
      <c r="H9" s="17" t="n">
        <f aca="false">IF(C9=0,0,(E9-C9)/C9)</f>
        <v>-0.862630474801716</v>
      </c>
      <c r="I9" s="17" t="n">
        <f aca="false">IF(D9=0,0,(E9-D9)/D9)</f>
        <v>-0.82875361669248</v>
      </c>
    </row>
    <row r="10" customFormat="false" ht="14.25" hidden="false" customHeight="true" outlineLevel="0" collapsed="false">
      <c r="A10" s="13" t="s">
        <v>52</v>
      </c>
      <c r="B10" s="14" t="n">
        <v>493905.3</v>
      </c>
      <c r="C10" s="15" t="n">
        <v>470925.460078476</v>
      </c>
      <c r="D10" s="15" t="n">
        <v>414477.460078476</v>
      </c>
      <c r="E10" s="14" t="n">
        <v>73000</v>
      </c>
      <c r="F10" s="16" t="n">
        <f aca="false">IF(B10=0,0,1-C10/B10)</f>
        <v>0.0465268137870235</v>
      </c>
      <c r="G10" s="16" t="n">
        <f aca="false">IF(B10=0,0,1-D10/B10)</f>
        <v>0.160815929534516</v>
      </c>
      <c r="H10" s="17" t="n">
        <f aca="false">IF(C10=0,0,(E10-C10)/C10)</f>
        <v>-0.844986083386031</v>
      </c>
      <c r="I10" s="17" t="n">
        <f aca="false">IF(D10=0,0,(E10-D10)/D10)</f>
        <v>-0.823874620380615</v>
      </c>
    </row>
    <row r="11" customFormat="false" ht="14.25" hidden="false" customHeight="true" outlineLevel="0" collapsed="false">
      <c r="A11" s="18" t="s">
        <v>53</v>
      </c>
      <c r="B11" s="19" t="n">
        <f aca="false">SUM(B4:B10)</f>
        <v>7530724.005</v>
      </c>
      <c r="C11" s="19" t="n">
        <f aca="false">SUM(C4:C10)</f>
        <v>5607387.97656667</v>
      </c>
      <c r="D11" s="19" t="n">
        <f aca="false">SUM(D4:D10)</f>
        <v>4385672.44656666</v>
      </c>
      <c r="E11" s="19" t="n">
        <f aca="false">SUM(E4:E10)</f>
        <v>3809000</v>
      </c>
      <c r="F11" s="20" t="n">
        <f aca="false">IF(B11=0,0,1-C11/B11)</f>
        <v>0.255398554927301</v>
      </c>
      <c r="G11" s="20" t="n">
        <f aca="false">IF(B11=0,0,1-D11/B11)</f>
        <v>0.417629374857609</v>
      </c>
      <c r="H11" s="21" t="n">
        <f aca="false">IF(C11=0,0,(E11-C11)/C11)</f>
        <v>-0.320717593304075</v>
      </c>
      <c r="I11" s="21" t="n">
        <f aca="false">IF(D11=0,0,(E11-D11)/D11)</f>
        <v>-0.131490085863141</v>
      </c>
    </row>
    <row r="12" customFormat="false" ht="14.25" hidden="false" customHeight="true" outlineLevel="0" collapsed="false">
      <c r="A12" s="22"/>
    </row>
    <row r="13" customFormat="false" ht="15" hidden="false" customHeight="true" outlineLevel="0" collapsed="false">
      <c r="A13" s="12" t="s">
        <v>54</v>
      </c>
      <c r="B13" s="12"/>
      <c r="C13" s="12"/>
      <c r="D13" s="12"/>
      <c r="E13" s="12"/>
      <c r="F13" s="12"/>
      <c r="G13" s="12"/>
      <c r="H13" s="12"/>
      <c r="I13" s="12"/>
    </row>
    <row r="14" customFormat="false" ht="31.5" hidden="false" customHeight="true" outlineLevel="0" collapsed="false">
      <c r="A14" s="3" t="s">
        <v>39</v>
      </c>
      <c r="B14" s="3" t="s">
        <v>40</v>
      </c>
      <c r="C14" s="3" t="s">
        <v>55</v>
      </c>
      <c r="D14" s="3" t="s">
        <v>32</v>
      </c>
      <c r="E14" s="3" t="s">
        <v>56</v>
      </c>
      <c r="F14" s="3" t="s">
        <v>57</v>
      </c>
      <c r="G14" s="3" t="s">
        <v>58</v>
      </c>
    </row>
    <row r="15" customFormat="false" ht="14.25" hidden="false" customHeight="true" outlineLevel="0" collapsed="false">
      <c r="A15" s="13" t="s">
        <v>23</v>
      </c>
      <c r="B15" s="23"/>
      <c r="C15" s="23"/>
      <c r="D15" s="15" t="n">
        <f aca="false">N(B15)-N(C15)</f>
        <v>0</v>
      </c>
      <c r="E15" s="23"/>
      <c r="F15" s="16" t="n">
        <f aca="false">IF(N(B15)=0,0,1-D15/B15)</f>
        <v>0</v>
      </c>
      <c r="G15" s="17" t="n">
        <f aca="false">IF(D15=0,0,(N(E15)-D15)/D15)</f>
        <v>0</v>
      </c>
    </row>
    <row r="16" customFormat="false" ht="14.25" hidden="false" customHeight="true" outlineLevel="0" collapsed="false">
      <c r="A16" s="13" t="s">
        <v>13</v>
      </c>
      <c r="B16" s="23"/>
      <c r="C16" s="23"/>
      <c r="D16" s="15" t="n">
        <f aca="false">N(B16)-N(C16)</f>
        <v>0</v>
      </c>
      <c r="E16" s="23"/>
      <c r="F16" s="16" t="n">
        <f aca="false">IF(N(B16)=0,0,1-D16/B16)</f>
        <v>0</v>
      </c>
      <c r="G16" s="17" t="n">
        <f aca="false">IF(D16=0,0,(N(E16)-D16)/D16)</f>
        <v>0</v>
      </c>
    </row>
    <row r="17" customFormat="false" ht="14.25" hidden="false" customHeight="true" outlineLevel="0" collapsed="false">
      <c r="A17" s="13" t="s">
        <v>48</v>
      </c>
      <c r="B17" s="23"/>
      <c r="C17" s="23"/>
      <c r="D17" s="15" t="n">
        <f aca="false">N(B17)-N(C17)</f>
        <v>0</v>
      </c>
      <c r="E17" s="23"/>
      <c r="F17" s="16" t="n">
        <f aca="false">IF(N(B17)=0,0,1-D17/B17)</f>
        <v>0</v>
      </c>
      <c r="G17" s="17" t="n">
        <f aca="false">IF(D17=0,0,(N(E17)-D17)/D17)</f>
        <v>0</v>
      </c>
    </row>
    <row r="18" customFormat="false" ht="14.25" hidden="false" customHeight="true" outlineLevel="0" collapsed="false">
      <c r="A18" s="13" t="s">
        <v>49</v>
      </c>
      <c r="B18" s="23"/>
      <c r="C18" s="23"/>
      <c r="D18" s="15" t="n">
        <f aca="false">N(B18)-N(C18)</f>
        <v>0</v>
      </c>
      <c r="E18" s="23"/>
      <c r="F18" s="16" t="n">
        <f aca="false">IF(N(B18)=0,0,1-D18/B18)</f>
        <v>0</v>
      </c>
      <c r="G18" s="17" t="n">
        <f aca="false">IF(D18=0,0,(N(E18)-D18)/D18)</f>
        <v>0</v>
      </c>
    </row>
    <row r="19" customFormat="false" ht="14.25" hidden="false" customHeight="true" outlineLevel="0" collapsed="false">
      <c r="A19" s="13" t="s">
        <v>50</v>
      </c>
      <c r="B19" s="23"/>
      <c r="C19" s="23"/>
      <c r="D19" s="15" t="n">
        <f aca="false">N(B19)-N(C19)</f>
        <v>0</v>
      </c>
      <c r="E19" s="23"/>
      <c r="F19" s="16" t="n">
        <f aca="false">IF(N(B19)=0,0,1-D19/B19)</f>
        <v>0</v>
      </c>
      <c r="G19" s="17" t="n">
        <f aca="false">IF(D19=0,0,(N(E19)-D19)/D19)</f>
        <v>0</v>
      </c>
    </row>
    <row r="20" customFormat="false" ht="14.25" hidden="false" customHeight="true" outlineLevel="0" collapsed="false">
      <c r="A20" s="13" t="s">
        <v>51</v>
      </c>
      <c r="B20" s="23"/>
      <c r="C20" s="23"/>
      <c r="D20" s="15" t="n">
        <f aca="false">N(B20)-N(C20)</f>
        <v>0</v>
      </c>
      <c r="E20" s="23"/>
      <c r="F20" s="16" t="n">
        <f aca="false">IF(N(B20)=0,0,1-D20/B20)</f>
        <v>0</v>
      </c>
      <c r="G20" s="17" t="n">
        <f aca="false">IF(D20=0,0,(N(E20)-D20)/D20)</f>
        <v>0</v>
      </c>
    </row>
    <row r="21" customFormat="false" ht="14.25" hidden="false" customHeight="true" outlineLevel="0" collapsed="false">
      <c r="A21" s="13" t="s">
        <v>52</v>
      </c>
      <c r="B21" s="23"/>
      <c r="C21" s="23"/>
      <c r="D21" s="15" t="n">
        <f aca="false">N(B21)-N(C21)</f>
        <v>0</v>
      </c>
      <c r="E21" s="23"/>
      <c r="F21" s="16" t="n">
        <f aca="false">IF(N(B21)=0,0,1-D21/B21)</f>
        <v>0</v>
      </c>
      <c r="G21" s="17" t="n">
        <f aca="false">IF(D21=0,0,(N(E21)-D21)/D21)</f>
        <v>0</v>
      </c>
    </row>
    <row r="22" customFormat="false" ht="14.25" hidden="false" customHeight="true" outlineLevel="0" collapsed="false">
      <c r="A22" s="18" t="s">
        <v>53</v>
      </c>
      <c r="B22" s="19" t="n">
        <f aca="false">SUM(B15:B21)</f>
        <v>0</v>
      </c>
      <c r="C22" s="19" t="n">
        <f aca="false">SUM(C15:C21)</f>
        <v>0</v>
      </c>
      <c r="D22" s="19" t="n">
        <f aca="false">SUM(D15:D21)</f>
        <v>0</v>
      </c>
      <c r="E22" s="19" t="n">
        <f aca="false">SUM(E15:E21)</f>
        <v>0</v>
      </c>
      <c r="F22" s="20" t="n">
        <f aca="false">IF(B22=0,0,1-D22/B22)</f>
        <v>0</v>
      </c>
      <c r="G22" s="21" t="n">
        <f aca="false">IF(D22=0,0,(E22-D22)/D22)</f>
        <v>0</v>
      </c>
    </row>
    <row r="23" customFormat="false" ht="14.25" hidden="false" customHeight="true" outlineLevel="0" collapsed="false">
      <c r="A23" s="2" t="str">
        <f aca="false">IF(ROUND(C22-Reductions!D17,0)=0,"Check: Pharma discounts match the total in the Reductions tab.","Check: Pharma discounts by stage ("&amp;TEXT(C22,"#,##0")&amp;") do not match the total in the Reductions tab ("&amp;TEXT(Reductions!D17,"#,##0")&amp;").")</f>
        <v>Check: Pharma discounts match the total in the Reductions tab.</v>
      </c>
    </row>
    <row r="24" customFormat="false" ht="14.25" hidden="false" customHeight="true" outlineLevel="0" collapsed="false">
      <c r="A24" s="2" t="s">
        <v>59</v>
      </c>
    </row>
    <row r="26" customFormat="false" ht="15" hidden="false" customHeight="true" outlineLevel="0" collapsed="false">
      <c r="A26" s="12" t="s">
        <v>60</v>
      </c>
      <c r="B26" s="12"/>
      <c r="C26" s="12"/>
      <c r="D26" s="12"/>
      <c r="E26" s="12"/>
      <c r="F26" s="12"/>
      <c r="G26" s="12"/>
      <c r="H26" s="12"/>
      <c r="I26" s="12"/>
    </row>
    <row r="27" customFormat="false" ht="45" hidden="false" customHeight="true" outlineLevel="0" collapsed="false">
      <c r="A27" s="3" t="s">
        <v>39</v>
      </c>
      <c r="B27" s="3" t="s">
        <v>40</v>
      </c>
      <c r="C27" s="3" t="s">
        <v>61</v>
      </c>
      <c r="D27" s="3" t="s">
        <v>62</v>
      </c>
      <c r="E27" s="3" t="s">
        <v>63</v>
      </c>
      <c r="F27" s="3" t="s">
        <v>44</v>
      </c>
      <c r="G27" s="3" t="s">
        <v>45</v>
      </c>
      <c r="H27" s="3" t="s">
        <v>64</v>
      </c>
      <c r="I27" s="3" t="s">
        <v>65</v>
      </c>
    </row>
    <row r="28" customFormat="false" ht="14.25" hidden="false" customHeight="true" outlineLevel="0" collapsed="false">
      <c r="A28" s="13" t="s">
        <v>23</v>
      </c>
      <c r="B28" s="14" t="n">
        <f aca="false">B4+N(B15)</f>
        <v>335082.825</v>
      </c>
      <c r="C28" s="15" t="n">
        <f aca="false">C4+D15</f>
        <v>229226.532693237</v>
      </c>
      <c r="D28" s="15" t="n">
        <f aca="false">D4+D15</f>
        <v>121159.482693237</v>
      </c>
      <c r="E28" s="14" t="n">
        <f aca="false">E4+N(E15)</f>
        <v>106000</v>
      </c>
      <c r="F28" s="16" t="n">
        <f aca="false">IF(B28=0,0,1-C28/B28)</f>
        <v>0.315910826843372</v>
      </c>
      <c r="G28" s="16" t="n">
        <f aca="false">IF(B28=0,0,1-D28/B28)</f>
        <v>0.638419299188978</v>
      </c>
      <c r="H28" s="17" t="n">
        <f aca="false">IF(C28=0,0,(E28-C28)/C28)</f>
        <v>-0.537575346297914</v>
      </c>
      <c r="I28" s="17" t="n">
        <f aca="false">IF(D28=0,0,(E28-D28)/D28)</f>
        <v>-0.125120067833396</v>
      </c>
    </row>
    <row r="29" customFormat="false" ht="14.25" hidden="false" customHeight="true" outlineLevel="0" collapsed="false">
      <c r="A29" s="13" t="s">
        <v>13</v>
      </c>
      <c r="B29" s="14" t="n">
        <f aca="false">B5+N(B16)</f>
        <v>732839.1</v>
      </c>
      <c r="C29" s="15" t="n">
        <f aca="false">C5+D16</f>
        <v>294474.780970431</v>
      </c>
      <c r="D29" s="15" t="n">
        <f aca="false">D5+D16</f>
        <v>135608.205970431</v>
      </c>
      <c r="E29" s="14" t="n">
        <f aca="false">E5+N(E16)</f>
        <v>453000</v>
      </c>
      <c r="F29" s="16" t="n">
        <f aca="false">IF(B29=0,0,1-C29/B29)</f>
        <v>0.598172667137396</v>
      </c>
      <c r="G29" s="16" t="n">
        <f aca="false">IF(B29=0,0,1-D29/B29)</f>
        <v>0.814955007217231</v>
      </c>
      <c r="H29" s="17" t="n">
        <f aca="false">IF(C29=0,0,(E29-C29)/C29)</f>
        <v>0.53833207212908</v>
      </c>
      <c r="I29" s="17" t="n">
        <f aca="false">IF(D29=0,0,(E29-D29)/D29)</f>
        <v>2.34050581053167</v>
      </c>
    </row>
    <row r="30" customFormat="false" ht="14.25" hidden="false" customHeight="true" outlineLevel="0" collapsed="false">
      <c r="A30" s="13" t="s">
        <v>48</v>
      </c>
      <c r="B30" s="14" t="n">
        <f aca="false">B6+N(B17)</f>
        <v>1469323.8</v>
      </c>
      <c r="C30" s="15" t="n">
        <f aca="false">C6+D17</f>
        <v>1138296.28283098</v>
      </c>
      <c r="D30" s="15" t="n">
        <f aca="false">D6+D17</f>
        <v>948489.882830978</v>
      </c>
      <c r="E30" s="14" t="n">
        <f aca="false">E6+N(E17)</f>
        <v>1250000</v>
      </c>
      <c r="F30" s="16" t="n">
        <f aca="false">IF(B30=0,0,1-C30/B30)</f>
        <v>0.225292421703793</v>
      </c>
      <c r="G30" s="16" t="n">
        <f aca="false">IF(B30=0,0,1-D30/B30)</f>
        <v>0.35447184423816</v>
      </c>
      <c r="H30" s="17" t="n">
        <f aca="false">IF(C30=0,0,(E30-C30)/C30)</f>
        <v>0.0981323745441822</v>
      </c>
      <c r="I30" s="17" t="n">
        <f aca="false">IF(D30=0,0,(E30-D30)/D30)</f>
        <v>0.317884378765431</v>
      </c>
    </row>
    <row r="31" customFormat="false" ht="14.25" hidden="false" customHeight="true" outlineLevel="0" collapsed="false">
      <c r="A31" s="13" t="s">
        <v>49</v>
      </c>
      <c r="B31" s="14" t="n">
        <f aca="false">B7+N(B18)</f>
        <v>3183882.555</v>
      </c>
      <c r="C31" s="15" t="n">
        <f aca="false">C7+D18</f>
        <v>2447168.9820988</v>
      </c>
      <c r="D31" s="15" t="n">
        <f aca="false">D7+D18</f>
        <v>2014064.3520988</v>
      </c>
      <c r="E31" s="14" t="n">
        <f aca="false">E7+N(E18)</f>
        <v>1455000</v>
      </c>
      <c r="F31" s="16" t="n">
        <f aca="false">IF(B31=0,0,1-C31/B31)</f>
        <v>0.231388425978294</v>
      </c>
      <c r="G31" s="16" t="n">
        <f aca="false">IF(B31=0,0,1-D31/B31)</f>
        <v>0.367418767084893</v>
      </c>
      <c r="H31" s="17" t="n">
        <f aca="false">IF(C31=0,0,(E31-C31)/C31)</f>
        <v>-0.405435419195234</v>
      </c>
      <c r="I31" s="17" t="n">
        <f aca="false">IF(D31=0,0,(E31-D31)/D31)</f>
        <v>-0.277580183332382</v>
      </c>
    </row>
    <row r="32" customFormat="false" ht="14.25" hidden="false" customHeight="true" outlineLevel="0" collapsed="false">
      <c r="A32" s="13" t="s">
        <v>50</v>
      </c>
      <c r="B32" s="14" t="n">
        <f aca="false">B8+N(B19)</f>
        <v>540610.875</v>
      </c>
      <c r="C32" s="15" t="n">
        <f aca="false">C8+D19</f>
        <v>284773.170543182</v>
      </c>
      <c r="D32" s="15" t="n">
        <f aca="false">D8+D19</f>
        <v>156240.045543182</v>
      </c>
      <c r="E32" s="14" t="n">
        <f aca="false">E8+N(E19)</f>
        <v>370000</v>
      </c>
      <c r="F32" s="16" t="n">
        <f aca="false">IF(B32=0,0,1-C32/B32)</f>
        <v>0.473238176085189</v>
      </c>
      <c r="G32" s="16" t="n">
        <f aca="false">IF(B32=0,0,1-D32/B32)</f>
        <v>0.710993520906915</v>
      </c>
      <c r="H32" s="17" t="n">
        <f aca="false">IF(C32=0,0,(E32-C32)/C32)</f>
        <v>0.299279701434846</v>
      </c>
      <c r="I32" s="17" t="n">
        <f aca="false">IF(D32=0,0,(E32-D32)/D32)</f>
        <v>1.36815087139576</v>
      </c>
    </row>
    <row r="33" customFormat="false" ht="14.25" hidden="false" customHeight="true" outlineLevel="0" collapsed="false">
      <c r="A33" s="13" t="s">
        <v>51</v>
      </c>
      <c r="B33" s="14" t="n">
        <f aca="false">B9+N(B20)</f>
        <v>775079.55</v>
      </c>
      <c r="C33" s="15" t="n">
        <f aca="false">C9+D20</f>
        <v>742522.76735156</v>
      </c>
      <c r="D33" s="15" t="n">
        <f aca="false">D9+D20</f>
        <v>595633.01735156</v>
      </c>
      <c r="E33" s="14" t="n">
        <f aca="false">E9+N(E20)</f>
        <v>102000</v>
      </c>
      <c r="F33" s="16" t="n">
        <f aca="false">IF(B33=0,0,1-C33/B33)</f>
        <v>0.0420044402518943</v>
      </c>
      <c r="G33" s="16" t="n">
        <f aca="false">IF(B33=0,0,1-D33/B33)</f>
        <v>0.231520148671759</v>
      </c>
      <c r="H33" s="17" t="n">
        <f aca="false">IF(C33=0,0,(E33-C33)/C33)</f>
        <v>-0.862630474801716</v>
      </c>
      <c r="I33" s="17" t="n">
        <f aca="false">IF(D33=0,0,(E33-D33)/D33)</f>
        <v>-0.82875361669248</v>
      </c>
    </row>
    <row r="34" customFormat="false" ht="14.25" hidden="false" customHeight="true" outlineLevel="0" collapsed="false">
      <c r="A34" s="13" t="s">
        <v>52</v>
      </c>
      <c r="B34" s="14" t="n">
        <f aca="false">B10+N(B21)</f>
        <v>493905.3</v>
      </c>
      <c r="C34" s="15" t="n">
        <f aca="false">C10+D21</f>
        <v>470925.460078476</v>
      </c>
      <c r="D34" s="15" t="n">
        <f aca="false">D10+D21</f>
        <v>414477.460078476</v>
      </c>
      <c r="E34" s="14" t="n">
        <f aca="false">E10+N(E21)</f>
        <v>73000</v>
      </c>
      <c r="F34" s="16" t="n">
        <f aca="false">IF(B34=0,0,1-C34/B34)</f>
        <v>0.0465268137870235</v>
      </c>
      <c r="G34" s="16" t="n">
        <f aca="false">IF(B34=0,0,1-D34/B34)</f>
        <v>0.160815929534516</v>
      </c>
      <c r="H34" s="17" t="n">
        <f aca="false">IF(C34=0,0,(E34-C34)/C34)</f>
        <v>-0.844986083386031</v>
      </c>
      <c r="I34" s="17" t="n">
        <f aca="false">IF(D34=0,0,(E34-D34)/D34)</f>
        <v>-0.823874620380615</v>
      </c>
    </row>
    <row r="35" customFormat="false" ht="14.25" hidden="false" customHeight="true" outlineLevel="0" collapsed="false">
      <c r="A35" s="18" t="s">
        <v>53</v>
      </c>
      <c r="B35" s="19" t="n">
        <f aca="false">SUM(B28:B34)</f>
        <v>7530724.005</v>
      </c>
      <c r="C35" s="19" t="n">
        <f aca="false">SUM(C28:C34)</f>
        <v>5607387.97656667</v>
      </c>
      <c r="D35" s="19" t="n">
        <f aca="false">SUM(D28:D34)</f>
        <v>4385672.44656666</v>
      </c>
      <c r="E35" s="19" t="n">
        <f aca="false">SUM(E28:E34)</f>
        <v>3809000</v>
      </c>
      <c r="F35" s="20" t="n">
        <f aca="false">IF(B35=0,0,1-C35/B35)</f>
        <v>0.255398554927301</v>
      </c>
      <c r="G35" s="20" t="n">
        <f aca="false">IF(B35=0,0,1-D35/B35)</f>
        <v>0.417629374857609</v>
      </c>
      <c r="H35" s="21" t="n">
        <f aca="false">IF(C35=0,0,(E35-C35)/C35)</f>
        <v>-0.320717593304075</v>
      </c>
      <c r="I35" s="21" t="n">
        <f aca="false">IF(D35=0,0,(E35-D35)/D35)</f>
        <v>-0.131490085863141</v>
      </c>
    </row>
    <row r="38" customFormat="false" ht="15" hidden="false" customHeight="true" outlineLevel="0" collapsed="false">
      <c r="A38" s="12" t="s">
        <v>66</v>
      </c>
      <c r="B38" s="12"/>
      <c r="C38" s="12"/>
      <c r="D38" s="12"/>
      <c r="E38" s="12"/>
      <c r="F38" s="12"/>
      <c r="G38" s="12"/>
      <c r="H38" s="12"/>
      <c r="I38" s="12"/>
    </row>
    <row r="39" customFormat="false" ht="31.5" hidden="false" customHeight="true" outlineLevel="0" collapsed="false">
      <c r="A39" s="3" t="s">
        <v>67</v>
      </c>
      <c r="B39" s="3" t="s">
        <v>40</v>
      </c>
      <c r="C39" s="3" t="s">
        <v>41</v>
      </c>
      <c r="D39" s="3" t="s">
        <v>42</v>
      </c>
      <c r="E39" s="3" t="s">
        <v>68</v>
      </c>
      <c r="F39" s="3" t="s">
        <v>69</v>
      </c>
    </row>
    <row r="40" customFormat="false" ht="14.25" hidden="false" customHeight="true" outlineLevel="0" collapsed="false">
      <c r="A40" s="24" t="s">
        <v>70</v>
      </c>
      <c r="B40" s="14" t="n">
        <v>5858217.9075</v>
      </c>
      <c r="C40" s="14" t="n">
        <v>4029646.56906667</v>
      </c>
      <c r="D40" s="14" t="n">
        <v>4029646.56906667</v>
      </c>
      <c r="E40" s="14" t="n">
        <f aca="false">B40-C40</f>
        <v>1828571.33843333</v>
      </c>
      <c r="F40" s="14" t="n">
        <f aca="false">B40-D40</f>
        <v>1828571.33843333</v>
      </c>
    </row>
    <row r="41" customFormat="false" ht="14.25" hidden="false" customHeight="true" outlineLevel="0" collapsed="false">
      <c r="A41" s="24" t="s">
        <v>26</v>
      </c>
      <c r="B41" s="14" t="n">
        <v>1593669.9975</v>
      </c>
      <c r="C41" s="14" t="n">
        <v>1498905.3075</v>
      </c>
      <c r="D41" s="14" t="n">
        <v>277189.7775</v>
      </c>
      <c r="E41" s="14" t="n">
        <f aca="false">B41-C41</f>
        <v>94764.6899999999</v>
      </c>
      <c r="F41" s="14" t="n">
        <f aca="false">B41-D41</f>
        <v>1316480.22</v>
      </c>
    </row>
    <row r="42" customFormat="false" ht="14.25" hidden="false" customHeight="true" outlineLevel="0" collapsed="false">
      <c r="A42" s="24" t="s">
        <v>71</v>
      </c>
      <c r="B42" s="14" t="n">
        <v>78836.1</v>
      </c>
      <c r="C42" s="14" t="n">
        <v>78836.1</v>
      </c>
      <c r="D42" s="14" t="n">
        <v>78836.1</v>
      </c>
      <c r="E42" s="14" t="n">
        <f aca="false">B42-C42</f>
        <v>0</v>
      </c>
      <c r="F42" s="14" t="n">
        <f aca="false">B42-D42</f>
        <v>0</v>
      </c>
    </row>
    <row r="43" customFormat="false" ht="14.25" hidden="false" customHeight="true" outlineLevel="0" collapsed="false">
      <c r="A43" s="10" t="s">
        <v>53</v>
      </c>
      <c r="B43" s="19" t="n">
        <f aca="false">SUM(B40:B42)</f>
        <v>7530724.005</v>
      </c>
      <c r="C43" s="19" t="n">
        <f aca="false">SUM(C40:C42)</f>
        <v>5607387.97656667</v>
      </c>
      <c r="D43" s="19" t="n">
        <f aca="false">SUM(D40:D42)</f>
        <v>4385672.44656667</v>
      </c>
      <c r="E43" s="19" t="n">
        <f aca="false">SUM(E40:E42)</f>
        <v>1923336.02843333</v>
      </c>
      <c r="F43" s="19" t="n">
        <f aca="false">SUM(F40:F42)</f>
        <v>3145051.55843333</v>
      </c>
    </row>
    <row r="45" customFormat="false" ht="14.25" hidden="false" customHeight="true" outlineLevel="0" collapsed="false">
      <c r="A45" s="2" t="s">
        <v>72</v>
      </c>
    </row>
  </sheetData>
  <mergeCells count="4">
    <mergeCell ref="A2:I2"/>
    <mergeCell ref="A13:I13"/>
    <mergeCell ref="A26:I26"/>
    <mergeCell ref="A38:I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2026-09-24T13:32:31Z</dcterms:created>
  <dc:creator>Teresa Ancochea Nodal</dc:creator>
  <dc:description/>
  <dc:language>en-US</dc:language>
  <cp:lastModifiedBy>Teresa Ancochea Nodal</cp:lastModifiedBy>
  <dcterms:modified xsi:type="dcterms:W3CDTF">2026-09-24T14:18:36Z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0x010100CF2FD4E27FC8FA4BB0E879FB9F3FC2AB</vt:lpwstr>
  </property>
</Properties>
</file>