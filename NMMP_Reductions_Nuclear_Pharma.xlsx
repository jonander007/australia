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<sst xmlns="http://schemas.openxmlformats.org/spreadsheetml/2006/main" count="133" uniqueCount="76">
  <si>
    <t xml:space="preserve">Reductions on the NMMP offer — all amounts in AUD. Nuclear reductions are applied in sequence, without double counting: SSC descoping → S1 scope basis alignment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</si>
  <si>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</si>
  <si>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</si>
  <si>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</si>
  <si>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</si>
  <si>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</si>
  <si>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</si>
  <si>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</si>
  <si>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</si>
  <si>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</si>
  <si>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</si>
  <si>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</si>
  <si>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</si>
  <si>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</si>
  <si>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</si>
  <si>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</si>
  <si>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</si>
  <si>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</si>
  <si>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</si>
  <si>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</si>
  <si>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</si>
  <si>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</si>
  <si>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 Safety Assurance / Integration Plan – Scope Basis Alignment</t>
  </si>
  <si>
    <t xml:space="preserve">The original allowance for S1 was based on the assumption that the Safety Assurance / Safety Integration framework would be developed and maintained through Stages 1 and 2, including the initial preparation, definition of methodologies and interfaces, coordination with the relevant design parties, incorporation of project developments and subsequent updates/re-issues as the design progressed. Following Synertec’s clarification on the expected scope and timing of this deliverable, the revised allowance is based on a limited initial activity of 2.5 FTE for two weeks, covering the preparation, coordination, internal review and initial issue of the S1 deliverable. No subsequent development, maintenance, updates, re-issues or ongoing safety assurance/integration support beyond this initial two-week period are included; any such activities, if subsequently required, would be subject to separate agreement.</t>
  </si>
  <si>
    <t xml:space="preserve">S1</t>
  </si>
  <si>
    <t xml:space="preserve">S1, S2</t>
  </si>
  <si>
    <t xml:space="preserve">Travel</t>
  </si>
  <si>
    <t xml:space="preserve">Plan Safe</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</si>
  <si>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</si>
  <si>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</si>
  <si>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</si>
  <si>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</si>
  <si>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</si>
  <si>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</si>
  <si>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</si>
  <si>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</si>
  <si>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</si>
  <si>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</si>
  <si>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</si>
  <si>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</si>
  <si>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</si>
  <si>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</si>
  <si>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</si>
  <si>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</si>
  <si>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</si>
  <si>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</si>
  <si>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</si>
  <si>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</si>
  <si>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</si>
  <si>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Lump sum S1-S3</t>
  </si>
  <si>
    <t xml:space="preserve">S4</t>
  </si>
  <si>
    <t xml:space="preserve">S5</t>
  </si>
  <si>
    <t xml:space="preserve">Provisional sum S4-S5</t>
  </si>
  <si>
    <t xml:space="preserve">S6</t>
  </si>
  <si>
    <t xml:space="preserve">S7</t>
  </si>
  <si>
    <t xml:space="preserve">Provisional sum S6-S7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</si>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</sst>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7">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
      <patternFill patternType="solid">
        <fgColor rgb="FFDDEBF7"/>
        <bgColor rgb="FFF2F4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7" fontId="7" fillId="6"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F2F4F7"/>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61.5" hidden="false" customHeight="true" outlineLevel="0" collapsed="false">
      <c r="A3" s="4" t="s">
        <v>9</v>
      </c>
      <c r="B3" s="4" t="n">
        <v>1</v>
      </c>
      <c r="C3" s="4" t="s">
        <v>10</v>
      </c>
      <c r="D3" s="5" t="n">
        <v>46916.5880555555</v>
      </c>
      <c r="E3" s="6" t="s">
        <v>11</v>
      </c>
      <c r="F3" s="7" t="s">
        <v>12</v>
      </c>
      <c r="G3" s="7" t="s">
        <v>13</v>
      </c>
      <c r="H3" s="7" t="s">
        <v>14</v>
      </c>
    </row>
    <row r="4" customFormat="false" ht="61.5" hidden="false" customHeight="true" outlineLevel="0" collapsed="false">
      <c r="A4" s="4" t="s">
        <v>9</v>
      </c>
      <c r="B4" s="4" t="n">
        <v>2</v>
      </c>
      <c r="C4" s="4" t="s">
        <v>15</v>
      </c>
      <c r="D4" s="5" t="n">
        <v>1652324.1</v>
      </c>
      <c r="E4" s="6" t="s">
        <v>16</v>
      </c>
      <c r="F4" s="7" t="s">
        <v>17</v>
      </c>
      <c r="G4" s="7" t="s">
        <v>18</v>
      </c>
      <c r="H4" s="7" t="s">
        <v>14</v>
      </c>
    </row>
    <row r="5" customFormat="false" ht="61.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tr">
        <f aca="false">"Travel allowance removed: 70,000 AUD."</f>
        <v>Travel allowance removed: 70,000 AUD.</v>
      </c>
      <c r="F7" s="7" t="s">
        <v>12</v>
      </c>
      <c r="G7" s="7" t="s">
        <v>21</v>
      </c>
      <c r="H7" s="7" t="s">
        <v>14</v>
      </c>
    </row>
    <row r="8" customFormat="false" ht="61.5" hidden="false" customHeight="true" outlineLevel="0" collapsed="false">
      <c r="A8" s="7" t="s">
        <v>9</v>
      </c>
      <c r="B8" s="7" t="n">
        <v>6</v>
      </c>
      <c r="C8" s="7" t="s">
        <v>27</v>
      </c>
      <c r="D8" s="5" t="n">
        <v>1221715.53</v>
      </c>
      <c r="E8" s="6" t="str">
        <f aca="false">"Plan Safe's own human factors deliverables removed (HF Assurance / Integration Plan, HF Hazards Identification and Control Plan, HF Task Assessments, HF Substantiation Report). Value = their price in the original offer. Plan Safe keeps its share of the shared deliverables."</f>
        <v>Plan Safe's own human factors deliverables removed (HF Assurance / Integration Plan, HF Hazards Identification and Control Plan, HF Task Assessments, HF Substantiation Report). Value = their price in the original offer. Plan Safe keeps its share of the shared deliverables.</v>
      </c>
      <c r="F8" s="7" t="s">
        <v>28</v>
      </c>
      <c r="G8" s="7" t="s">
        <v>18</v>
      </c>
      <c r="H8" s="7" t="s">
        <v>29</v>
      </c>
    </row>
    <row r="9" customFormat="false" ht="14.25" hidden="false" customHeight="true" outlineLevel="0" collapsed="false">
      <c r="A9" s="7" t="s">
        <v>30</v>
      </c>
      <c r="B9" s="7" t="n">
        <v>7</v>
      </c>
      <c r="C9" s="8" t="s">
        <v>31</v>
      </c>
      <c r="D9" s="9"/>
      <c r="E9" s="8"/>
      <c r="F9" s="8"/>
      <c r="G9" s="8"/>
      <c r="H9" s="7" t="s">
        <v>32</v>
      </c>
    </row>
    <row r="10" customFormat="false" ht="14.25" hidden="false" customHeight="true" outlineLevel="0" collapsed="false">
      <c r="A10" s="7" t="s">
        <v>30</v>
      </c>
      <c r="B10" s="7" t="n">
        <v>8</v>
      </c>
      <c r="C10" s="8"/>
      <c r="D10" s="9"/>
      <c r="E10" s="8"/>
      <c r="F10" s="8"/>
      <c r="G10" s="8"/>
      <c r="H10" s="7" t="s">
        <v>32</v>
      </c>
    </row>
    <row r="11" customFormat="false" ht="14.25" hidden="false" customHeight="true" outlineLevel="0" collapsed="false">
      <c r="A11" s="7" t="s">
        <v>30</v>
      </c>
      <c r="B11" s="7" t="n">
        <v>9</v>
      </c>
      <c r="C11" s="8"/>
      <c r="D11" s="9"/>
      <c r="E11" s="8"/>
      <c r="F11" s="8"/>
      <c r="G11" s="8"/>
      <c r="H11" s="7" t="s">
        <v>32</v>
      </c>
    </row>
    <row r="12" customFormat="false" ht="14.25" hidden="false" customHeight="true" outlineLevel="0" collapsed="false">
      <c r="A12" s="7" t="s">
        <v>30</v>
      </c>
      <c r="B12" s="7" t="n">
        <v>10</v>
      </c>
      <c r="C12" s="8"/>
      <c r="D12" s="9"/>
      <c r="E12" s="8"/>
      <c r="F12" s="8"/>
      <c r="G12" s="8"/>
      <c r="H12" s="7" t="s">
        <v>32</v>
      </c>
    </row>
    <row r="13" customFormat="false" ht="14.25" hidden="false" customHeight="true" outlineLevel="0" collapsed="false">
      <c r="A13" s="7" t="s">
        <v>30</v>
      </c>
      <c r="B13" s="7" t="n">
        <v>11</v>
      </c>
      <c r="C13" s="8"/>
      <c r="D13" s="9"/>
      <c r="E13" s="8"/>
      <c r="F13" s="8"/>
      <c r="G13" s="8"/>
      <c r="H13" s="7" t="s">
        <v>32</v>
      </c>
    </row>
    <row r="15" customFormat="false" ht="14.25" hidden="false" customHeight="true" outlineLevel="0" collapsed="false">
      <c r="C15" s="10" t="s">
        <v>33</v>
      </c>
      <c r="D15" s="11" t="n">
        <f aca="false">SUM(D3:D7)</f>
        <v>2309816.88893333</v>
      </c>
    </row>
    <row r="16" customFormat="false" ht="14.25" hidden="false" customHeight="true" outlineLevel="0" collapsed="false">
      <c r="C16" s="10" t="s">
        <v>34</v>
      </c>
      <c r="D16" s="11" t="n">
        <f aca="false">SUM(D3:D8)</f>
        <v>3531532.41893333</v>
      </c>
    </row>
    <row r="17" customFormat="false" ht="14.25" hidden="false" customHeight="true" outlineLevel="0" collapsed="false">
      <c r="C17" s="10" t="s">
        <v>35</v>
      </c>
      <c r="D17" s="11" t="n">
        <f aca="false">SUM(D9:D13)</f>
        <v>0</v>
      </c>
    </row>
    <row r="19" customFormat="false" ht="14.25" hidden="false" customHeight="true" outlineLevel="0" collapsed="false">
      <c r="A19" s="2" t="s">
        <v>36</v>
      </c>
    </row>
    <row r="20" customFormat="false" ht="14.25" hidden="false" customHeight="true" outlineLevel="0" collapsed="false">
      <c r="A20" s="2" t="s">
        <v>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5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4"/>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38</v>
      </c>
      <c r="B2" s="12"/>
      <c r="C2" s="12"/>
      <c r="D2" s="12"/>
      <c r="E2" s="12"/>
      <c r="F2" s="12"/>
      <c r="G2" s="12"/>
      <c r="H2" s="12"/>
      <c r="I2" s="12"/>
    </row>
    <row r="3" customFormat="false" ht="45" hidden="false" customHeight="true" outlineLevel="0" collapsed="false">
      <c r="A3" s="3" t="s">
        <v>39</v>
      </c>
      <c r="B3" s="3" t="s">
        <v>40</v>
      </c>
      <c r="C3" s="3" t="s">
        <v>41</v>
      </c>
      <c r="D3" s="3" t="s">
        <v>42</v>
      </c>
      <c r="E3" s="3" t="s">
        <v>43</v>
      </c>
      <c r="F3" s="3" t="s">
        <v>44</v>
      </c>
      <c r="G3" s="3" t="s">
        <v>45</v>
      </c>
      <c r="H3" s="3" t="s">
        <v>46</v>
      </c>
      <c r="I3" s="3" t="s">
        <v>47</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48</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30" hidden="false" customHeight="true" outlineLevel="0" collapsed="false">
      <c r="A7" s="18" t="s">
        <v>49</v>
      </c>
      <c r="B7" s="19" t="n">
        <f aca="false">N(B4)+N(B5)+N(B6)</f>
        <v>2537245.725</v>
      </c>
      <c r="C7" s="19" t="n">
        <f aca="false">N(C4)+N(C5)+N(C6)</f>
        <v>1660280.66414973</v>
      </c>
      <c r="D7" s="19" t="n">
        <f aca="false">N(D4)+N(D5)+N(D6)</f>
        <v>1203540.63914973</v>
      </c>
      <c r="E7" s="19" t="n">
        <f aca="false">N(E4)+N(E5)+N(E6)</f>
        <v>1809000</v>
      </c>
      <c r="F7" s="20" t="n">
        <f aca="false">IF(B7=0,0,1-C7/B7)</f>
        <v>0.345636629597737</v>
      </c>
      <c r="G7" s="20" t="n">
        <f aca="false">IF(B7=0,0,1-D7/B7)</f>
        <v>0.525650737218315</v>
      </c>
      <c r="H7" s="21" t="n">
        <f aca="false">IF(C7=0,0,(E7-C7)/C7)</f>
        <v>0.0895748165123814</v>
      </c>
      <c r="I7" s="21" t="n">
        <f aca="false">IF(D7=0,0,(E7-D7)/D7)</f>
        <v>0.503065157216466</v>
      </c>
    </row>
    <row r="8" customFormat="false" ht="14.25" hidden="false" customHeight="true" outlineLevel="0" collapsed="false">
      <c r="A8" s="13" t="s">
        <v>50</v>
      </c>
      <c r="B8" s="14" t="n">
        <v>3183882.555</v>
      </c>
      <c r="C8" s="15" t="n">
        <v>2444083.52602817</v>
      </c>
      <c r="D8" s="15" t="n">
        <v>2010978.89602817</v>
      </c>
      <c r="E8" s="14" t="n">
        <v>1455000</v>
      </c>
      <c r="F8" s="16" t="n">
        <f aca="false">IF(B8=0,0,1-C8/B8)</f>
        <v>0.232357511997433</v>
      </c>
      <c r="G8" s="16" t="n">
        <f aca="false">IF(B8=0,0,1-D8/B8)</f>
        <v>0.368387853104032</v>
      </c>
      <c r="H8" s="17" t="n">
        <f aca="false">IF(C8=0,0,(E8-C8)/C8)</f>
        <v>-0.404684829914757</v>
      </c>
      <c r="I8" s="17" t="n">
        <f aca="false">IF(D8=0,0,(E8-D8)/D8)</f>
        <v>-0.276471770602003</v>
      </c>
    </row>
    <row r="9" customFormat="false" ht="14.25" hidden="false" customHeight="true" outlineLevel="0" collapsed="false">
      <c r="A9" s="13" t="s">
        <v>51</v>
      </c>
      <c r="B9" s="14" t="n">
        <v>540610.875</v>
      </c>
      <c r="C9" s="15" t="n">
        <v>284545.536548016</v>
      </c>
      <c r="D9" s="15" t="n">
        <v>156012.411548016</v>
      </c>
      <c r="E9" s="14" t="n">
        <v>370000</v>
      </c>
      <c r="F9" s="16" t="n">
        <f aca="false">IF(B9=0,0,1-C9/B9)</f>
        <v>0.473659244187391</v>
      </c>
      <c r="G9" s="16" t="n">
        <f aca="false">IF(B9=0,0,1-D9/B9)</f>
        <v>0.711414589009117</v>
      </c>
      <c r="H9" s="17" t="n">
        <f aca="false">IF(C9=0,0,(E9-C9)/C9)</f>
        <v>0.300319114081636</v>
      </c>
      <c r="I9" s="17" t="n">
        <f aca="false">IF(D9=0,0,(E9-D9)/D9)</f>
        <v>1.37160618394854</v>
      </c>
    </row>
    <row r="10" customFormat="false" ht="30" hidden="false" customHeight="true" outlineLevel="0" collapsed="false">
      <c r="A10" s="18" t="s">
        <v>52</v>
      </c>
      <c r="B10" s="19" t="n">
        <f aca="false">N(B8)+N(B9)</f>
        <v>3724493.43</v>
      </c>
      <c r="C10" s="19" t="n">
        <f aca="false">N(C8)+N(C9)</f>
        <v>2728629.06257619</v>
      </c>
      <c r="D10" s="19" t="n">
        <f aca="false">N(D8)+N(D9)</f>
        <v>2166991.30757619</v>
      </c>
      <c r="E10" s="19" t="n">
        <f aca="false">N(E8)+N(E9)</f>
        <v>1825000</v>
      </c>
      <c r="F10" s="20" t="n">
        <f aca="false">IF(B10=0,0,1-C10/B10)</f>
        <v>0.267382500772411</v>
      </c>
      <c r="G10" s="20" t="n">
        <f aca="false">IF(B10=0,0,1-D10/B10)</f>
        <v>0.418178244020641</v>
      </c>
      <c r="H10" s="21" t="n">
        <f aca="false">IF(C10=0,0,(E10-C10)/C10)</f>
        <v>-0.331165959847632</v>
      </c>
      <c r="I10" s="21" t="n">
        <f aca="false">IF(D10=0,0,(E10-D10)/D10)</f>
        <v>-0.15781849533984</v>
      </c>
    </row>
    <row r="11" customFormat="false" ht="14.25" hidden="false" customHeight="true" outlineLevel="0" collapsed="false">
      <c r="A11" s="13" t="s">
        <v>53</v>
      </c>
      <c r="B11" s="14" t="n">
        <v>775079.55</v>
      </c>
      <c r="C11" s="15" t="n">
        <v>490533.729962928</v>
      </c>
      <c r="D11" s="15" t="n">
        <v>343643.979962928</v>
      </c>
      <c r="E11" s="14" t="n">
        <v>102000</v>
      </c>
      <c r="F11" s="16" t="n">
        <f aca="false">IF(B11=0,0,1-C11/B11)</f>
        <v>0.367118213913749</v>
      </c>
      <c r="G11" s="16" t="n">
        <f aca="false">IF(B11=0,0,1-D11/B11)</f>
        <v>0.556633922333613</v>
      </c>
      <c r="H11" s="17" t="n">
        <f aca="false">IF(C11=0,0,(E11-C11)/C11)</f>
        <v>-0.792063228745333</v>
      </c>
      <c r="I11" s="17" t="n">
        <f aca="false">IF(D11=0,0,(E11-D11)/D11)</f>
        <v>-0.703181181841149</v>
      </c>
    </row>
    <row r="12" customFormat="false" ht="14.25" hidden="false" customHeight="true" outlineLevel="0" collapsed="false">
      <c r="A12" s="13" t="s">
        <v>54</v>
      </c>
      <c r="B12" s="14" t="n">
        <v>493905.3</v>
      </c>
      <c r="C12" s="15" t="n">
        <v>341463.659377819</v>
      </c>
      <c r="D12" s="15" t="n">
        <v>285015.659377819</v>
      </c>
      <c r="E12" s="14" t="n">
        <v>73000</v>
      </c>
      <c r="F12" s="16" t="n">
        <f aca="false">IF(B12=0,0,1-C12/B12)</f>
        <v>0.308645484513288</v>
      </c>
      <c r="G12" s="16" t="n">
        <f aca="false">IF(B12=0,0,1-D12/B12)</f>
        <v>0.422934600260781</v>
      </c>
      <c r="H12" s="17" t="n">
        <f aca="false">IF(C12=0,0,(E12-C12)/C12)</f>
        <v>-0.786214438944943</v>
      </c>
      <c r="I12" s="17" t="n">
        <f aca="false">IF(D12=0,0,(E12-D12)/D12)</f>
        <v>-0.743873722028618</v>
      </c>
    </row>
    <row r="13" customFormat="false" ht="30" hidden="false" customHeight="true" outlineLevel="0" collapsed="false">
      <c r="A13" s="18" t="s">
        <v>55</v>
      </c>
      <c r="B13" s="19" t="n">
        <f aca="false">N(B11)+N(B12)</f>
        <v>1268984.85</v>
      </c>
      <c r="C13" s="19" t="n">
        <f aca="false">N(C11)+N(C12)</f>
        <v>831997.389340747</v>
      </c>
      <c r="D13" s="19" t="n">
        <f aca="false">N(D11)+N(D12)</f>
        <v>628659.639340747</v>
      </c>
      <c r="E13" s="19" t="n">
        <f aca="false">N(E11)+N(E12)</f>
        <v>175000</v>
      </c>
      <c r="F13" s="20" t="n">
        <f aca="false">IF(B13=0,0,1-C13/B13)</f>
        <v>0.344359872112936</v>
      </c>
      <c r="G13" s="20" t="n">
        <f aca="false">IF(B13=0,0,1-D13/B13)</f>
        <v>0.50459641867218</v>
      </c>
      <c r="H13" s="21" t="n">
        <f aca="false">IF(C13=0,0,(E13-C13)/C13)</f>
        <v>-0.78966280153996</v>
      </c>
      <c r="I13" s="21" t="n">
        <f aca="false">IF(D13=0,0,(E13-D13)/D13)</f>
        <v>-0.721629974236112</v>
      </c>
    </row>
    <row r="14" customFormat="false" ht="30" hidden="false" customHeight="true" outlineLevel="0" collapsed="false">
      <c r="A14" s="22" t="s">
        <v>56</v>
      </c>
      <c r="B14" s="23" t="n">
        <f aca="false">N(B4)+N(B5)+N(B6)+N(B8)+N(B9)+N(B11)+N(B12)</f>
        <v>7530724.005</v>
      </c>
      <c r="C14" s="23" t="n">
        <f aca="false">N(C4)+N(C5)+N(C6)+N(C8)+N(C9)+N(C11)+N(C12)</f>
        <v>5220907.11606667</v>
      </c>
      <c r="D14" s="23" t="n">
        <f aca="false">N(D4)+N(D5)+N(D6)+N(D8)+N(D9)+N(D11)+N(D12)</f>
        <v>3999191.58606667</v>
      </c>
      <c r="E14" s="23" t="n">
        <f aca="false">N(E4)+N(E5)+N(E6)+N(E8)+N(E9)+N(E11)+N(E12)</f>
        <v>3809000</v>
      </c>
      <c r="F14" s="24" t="n">
        <f aca="false">IF(B14=0,0,1-C14/B14)</f>
        <v>0.306719099969636</v>
      </c>
      <c r="G14" s="24" t="n">
        <f aca="false">IF(B14=0,0,1-D14/B14)</f>
        <v>0.468949919899944</v>
      </c>
      <c r="H14" s="25" t="n">
        <f aca="false">IF(C14=0,0,(E14-C14)/C14)</f>
        <v>-0.2704332953409</v>
      </c>
      <c r="I14" s="25" t="n">
        <f aca="false">IF(D14=0,0,(E14-D14)/D14)</f>
        <v>-0.047557508054703</v>
      </c>
    </row>
    <row r="16" customFormat="false" ht="15" hidden="false" customHeight="true" outlineLevel="0" collapsed="false">
      <c r="A16" s="12" t="s">
        <v>57</v>
      </c>
      <c r="B16" s="12"/>
      <c r="C16" s="12"/>
      <c r="D16" s="12"/>
      <c r="E16" s="12"/>
      <c r="F16" s="12"/>
      <c r="G16" s="12"/>
      <c r="H16" s="12"/>
      <c r="I16" s="12"/>
    </row>
    <row r="17" customFormat="false" ht="31.5" hidden="false" customHeight="true" outlineLevel="0" collapsed="false">
      <c r="A17" s="3" t="s">
        <v>39</v>
      </c>
      <c r="B17" s="3" t="s">
        <v>40</v>
      </c>
      <c r="C17" s="3" t="s">
        <v>58</v>
      </c>
      <c r="D17" s="3" t="s">
        <v>32</v>
      </c>
      <c r="E17" s="3" t="s">
        <v>59</v>
      </c>
      <c r="F17" s="3" t="s">
        <v>60</v>
      </c>
      <c r="G17" s="3" t="s">
        <v>61</v>
      </c>
    </row>
    <row r="18" customFormat="false" ht="14.25" hidden="false" customHeight="true" outlineLevel="0" collapsed="false">
      <c r="A18" s="13" t="s">
        <v>24</v>
      </c>
      <c r="B18" s="26"/>
      <c r="C18" s="26"/>
      <c r="D18" s="15" t="n">
        <f aca="false">N(B18)-N(C18)</f>
        <v>0</v>
      </c>
      <c r="E18" s="26"/>
      <c r="F18" s="16" t="n">
        <f aca="false">IF(N(B18)=0,0,1-D18/B18)</f>
        <v>0</v>
      </c>
      <c r="G18" s="17" t="n">
        <f aca="false">IF(D18=0,0,(N(E18)-D18)/D18)</f>
        <v>0</v>
      </c>
    </row>
    <row r="19" customFormat="false" ht="14.25" hidden="false" customHeight="true" outlineLevel="0" collapsed="false">
      <c r="A19" s="13" t="s">
        <v>13</v>
      </c>
      <c r="B19" s="26"/>
      <c r="C19" s="26"/>
      <c r="D19" s="15" t="n">
        <f aca="false">N(B19)-N(C19)</f>
        <v>0</v>
      </c>
      <c r="E19" s="26"/>
      <c r="F19" s="16" t="n">
        <f aca="false">IF(N(B19)=0,0,1-D19/B19)</f>
        <v>0</v>
      </c>
      <c r="G19" s="17" t="n">
        <f aca="false">IF(D19=0,0,(N(E19)-D19)/D19)</f>
        <v>0</v>
      </c>
    </row>
    <row r="20" customFormat="false" ht="14.25" hidden="false" customHeight="true" outlineLevel="0" collapsed="false">
      <c r="A20" s="13" t="s">
        <v>48</v>
      </c>
      <c r="B20" s="26"/>
      <c r="C20" s="26"/>
      <c r="D20" s="15" t="n">
        <f aca="false">N(B20)-N(C20)</f>
        <v>0</v>
      </c>
      <c r="E20" s="26"/>
      <c r="F20" s="16" t="n">
        <f aca="false">IF(N(B20)=0,0,1-D20/B20)</f>
        <v>0</v>
      </c>
      <c r="G20" s="17" t="n">
        <f aca="false">IF(D20=0,0,(N(E20)-D20)/D20)</f>
        <v>0</v>
      </c>
    </row>
    <row r="21" customFormat="false" ht="30" hidden="false" customHeight="true" outlineLevel="0" collapsed="false">
      <c r="A21" s="18" t="s">
        <v>49</v>
      </c>
      <c r="B21" s="19" t="n">
        <f aca="false">N(B18)+N(B19)+N(B20)</f>
        <v>0</v>
      </c>
      <c r="C21" s="19" t="n">
        <f aca="false">N(C18)+N(C19)+N(C20)</f>
        <v>0</v>
      </c>
      <c r="D21" s="19" t="n">
        <f aca="false">N(D18)+N(D19)+N(D20)</f>
        <v>0</v>
      </c>
      <c r="E21" s="19" t="n">
        <f aca="false">N(E18)+N(E19)+N(E20)</f>
        <v>0</v>
      </c>
      <c r="F21" s="20" t="n">
        <f aca="false">IF(N(B21)=0,0,1-D21/B21)</f>
        <v>0</v>
      </c>
      <c r="G21" s="21" t="n">
        <f aca="false">IF(D21=0,0,(N(E21)-D21)/D21)</f>
        <v>0</v>
      </c>
    </row>
    <row r="22" customFormat="false" ht="14.25" hidden="false" customHeight="true" outlineLevel="0" collapsed="false">
      <c r="A22" s="13" t="s">
        <v>50</v>
      </c>
      <c r="B22" s="26"/>
      <c r="C22" s="26"/>
      <c r="D22" s="15" t="n">
        <f aca="false">N(B22)-N(C22)</f>
        <v>0</v>
      </c>
      <c r="E22" s="26"/>
      <c r="F22" s="16" t="n">
        <f aca="false">IF(N(B22)=0,0,1-D22/B22)</f>
        <v>0</v>
      </c>
      <c r="G22" s="17" t="n">
        <f aca="false">IF(D22=0,0,(N(E22)-D22)/D22)</f>
        <v>0</v>
      </c>
    </row>
    <row r="23" customFormat="false" ht="14.25" hidden="false" customHeight="true" outlineLevel="0" collapsed="false">
      <c r="A23" s="13" t="s">
        <v>51</v>
      </c>
      <c r="B23" s="26"/>
      <c r="C23" s="26"/>
      <c r="D23" s="15" t="n">
        <f aca="false">N(B23)-N(C23)</f>
        <v>0</v>
      </c>
      <c r="E23" s="26"/>
      <c r="F23" s="16" t="n">
        <f aca="false">IF(N(B23)=0,0,1-D23/B23)</f>
        <v>0</v>
      </c>
      <c r="G23" s="17" t="n">
        <f aca="false">IF(D23=0,0,(N(E23)-D23)/D23)</f>
        <v>0</v>
      </c>
    </row>
    <row r="24" customFormat="false" ht="30" hidden="false" customHeight="true" outlineLevel="0" collapsed="false">
      <c r="A24" s="18" t="s">
        <v>52</v>
      </c>
      <c r="B24" s="19" t="n">
        <f aca="false">N(B22)+N(B23)</f>
        <v>0</v>
      </c>
      <c r="C24" s="19" t="n">
        <f aca="false">N(C22)+N(C23)</f>
        <v>0</v>
      </c>
      <c r="D24" s="19" t="n">
        <f aca="false">N(D22)+N(D23)</f>
        <v>0</v>
      </c>
      <c r="E24" s="19" t="n">
        <f aca="false">N(E22)+N(E23)</f>
        <v>0</v>
      </c>
      <c r="F24" s="20" t="n">
        <f aca="false">IF(N(B24)=0,0,1-D24/B24)</f>
        <v>0</v>
      </c>
      <c r="G24" s="21" t="n">
        <f aca="false">IF(D24=0,0,(N(E24)-D24)/D24)</f>
        <v>0</v>
      </c>
    </row>
    <row r="25" customFormat="false" ht="14.25" hidden="false" customHeight="true" outlineLevel="0" collapsed="false">
      <c r="A25" s="13" t="s">
        <v>53</v>
      </c>
      <c r="B25" s="26"/>
      <c r="C25" s="26"/>
      <c r="D25" s="15" t="n">
        <f aca="false">N(B25)-N(C25)</f>
        <v>0</v>
      </c>
      <c r="E25" s="26"/>
      <c r="F25" s="16" t="n">
        <f aca="false">IF(N(B25)=0,0,1-D25/B25)</f>
        <v>0</v>
      </c>
      <c r="G25" s="17" t="n">
        <f aca="false">IF(D25=0,0,(N(E25)-D25)/D25)</f>
        <v>0</v>
      </c>
    </row>
    <row r="26" customFormat="false" ht="14.25" hidden="false" customHeight="true" outlineLevel="0" collapsed="false">
      <c r="A26" s="13" t="s">
        <v>54</v>
      </c>
      <c r="B26" s="26"/>
      <c r="C26" s="26"/>
      <c r="D26" s="15" t="n">
        <f aca="false">N(B26)-N(C26)</f>
        <v>0</v>
      </c>
      <c r="E26" s="26"/>
      <c r="F26" s="16" t="n">
        <f aca="false">IF(N(B26)=0,0,1-D26/B26)</f>
        <v>0</v>
      </c>
      <c r="G26" s="17" t="n">
        <f aca="false">IF(D26=0,0,(N(E26)-D26)/D26)</f>
        <v>0</v>
      </c>
    </row>
    <row r="27" customFormat="false" ht="30" hidden="false" customHeight="true" outlineLevel="0" collapsed="false">
      <c r="A27" s="18" t="s">
        <v>55</v>
      </c>
      <c r="B27" s="19" t="n">
        <f aca="false">N(B25)+N(B26)</f>
        <v>0</v>
      </c>
      <c r="C27" s="19" t="n">
        <f aca="false">N(C25)+N(C26)</f>
        <v>0</v>
      </c>
      <c r="D27" s="19" t="n">
        <f aca="false">N(D25)+N(D26)</f>
        <v>0</v>
      </c>
      <c r="E27" s="19" t="n">
        <f aca="false">N(E25)+N(E26)</f>
        <v>0</v>
      </c>
      <c r="F27" s="20" t="n">
        <f aca="false">IF(N(B27)=0,0,1-D27/B27)</f>
        <v>0</v>
      </c>
      <c r="G27" s="21" t="n">
        <f aca="false">IF(D27=0,0,(N(E27)-D27)/D27)</f>
        <v>0</v>
      </c>
    </row>
    <row r="28" customFormat="false" ht="30" hidden="false" customHeight="true" outlineLevel="0" collapsed="false">
      <c r="A28" s="22" t="s">
        <v>56</v>
      </c>
      <c r="B28" s="23" t="n">
        <f aca="false">N(B18)+N(B19)+N(B20)+N(B22)+N(B23)+N(B25)+N(B26)</f>
        <v>0</v>
      </c>
      <c r="C28" s="23" t="n">
        <f aca="false">N(C18)+N(C19)+N(C20)+N(C22)+N(C23)+N(C25)+N(C26)</f>
        <v>0</v>
      </c>
      <c r="D28" s="23" t="n">
        <f aca="false">N(D18)+N(D19)+N(D20)+N(D22)+N(D23)+N(D25)+N(D26)</f>
        <v>0</v>
      </c>
      <c r="E28" s="23" t="n">
        <f aca="false">N(E18)+N(E19)+N(E20)+N(E22)+N(E23)+N(E25)+N(E26)</f>
        <v>0</v>
      </c>
      <c r="F28" s="24" t="n">
        <f aca="false">IF(N(B28)=0,0,1-D28/B28)</f>
        <v>0</v>
      </c>
      <c r="G28" s="25" t="n">
        <f aca="false">IF(D28=0,0,(N(E28)-D28)/D28)</f>
        <v>0</v>
      </c>
    </row>
    <row r="29" customFormat="false" ht="14.25" hidden="false" customHeight="true" outlineLevel="0" collapsed="false">
      <c r="A29" s="2" t="str">
        <f aca="false">IF(ROUND(C28-Reductions!D17,0)=0,"Check: Pharma discounts match the total in the Reductions tab.","Check: Pharma discounts by stage ("&amp;TEXT(C28,"#,##0")&amp;") do not match the total in the Reductions tab ("&amp;TEXT(Reductions!D17,"#,##0")&amp;").")</f>
        <v>Check: Pharma discounts match the total in the Reductions tab.</v>
      </c>
    </row>
    <row r="30" customFormat="false" ht="14.25" hidden="false" customHeight="true" outlineLevel="0" collapsed="false">
      <c r="A30" s="2" t="s">
        <v>62</v>
      </c>
    </row>
    <row r="32" customFormat="false" ht="15" hidden="false" customHeight="true" outlineLevel="0" collapsed="false">
      <c r="A32" s="12" t="s">
        <v>63</v>
      </c>
      <c r="B32" s="12"/>
      <c r="C32" s="12"/>
      <c r="D32" s="12"/>
      <c r="E32" s="12"/>
      <c r="F32" s="12"/>
      <c r="G32" s="12"/>
      <c r="H32" s="12"/>
      <c r="I32" s="12"/>
    </row>
    <row r="33" customFormat="false" ht="45" hidden="false" customHeight="true" outlineLevel="0" collapsed="false">
      <c r="A33" s="3" t="s">
        <v>39</v>
      </c>
      <c r="B33" s="3" t="s">
        <v>40</v>
      </c>
      <c r="C33" s="3" t="s">
        <v>64</v>
      </c>
      <c r="D33" s="3" t="s">
        <v>65</v>
      </c>
      <c r="E33" s="3" t="s">
        <v>66</v>
      </c>
      <c r="F33" s="3" t="s">
        <v>44</v>
      </c>
      <c r="G33" s="3" t="s">
        <v>45</v>
      </c>
      <c r="H33" s="3" t="s">
        <v>67</v>
      </c>
      <c r="I33" s="3" t="s">
        <v>68</v>
      </c>
    </row>
    <row r="34" customFormat="false" ht="14.25" hidden="false" customHeight="true" outlineLevel="0" collapsed="false">
      <c r="A34" s="13" t="s">
        <v>24</v>
      </c>
      <c r="B34" s="14" t="n">
        <f aca="false">B4+N(B18)</f>
        <v>335082.825</v>
      </c>
      <c r="C34" s="15" t="n">
        <f aca="false">C4+D18</f>
        <v>229164.869624349</v>
      </c>
      <c r="D34" s="15" t="n">
        <f aca="false">D4+D18</f>
        <v>121097.819624349</v>
      </c>
      <c r="E34" s="14" t="n">
        <f aca="false">E4+N(E18)</f>
        <v>106000</v>
      </c>
      <c r="F34" s="16" t="n">
        <f aca="false">IF(B34=0,0,1-C34/B34)</f>
        <v>0.316094850208008</v>
      </c>
      <c r="G34" s="16" t="n">
        <f aca="false">IF(B34=0,0,1-D34/B34)</f>
        <v>0.638603322553613</v>
      </c>
      <c r="H34" s="17" t="n">
        <f aca="false">IF(C34=0,0,(E34-C34)/C34)</f>
        <v>-0.537450918311533</v>
      </c>
      <c r="I34" s="17" t="n">
        <f aca="false">IF(D34=0,0,(E34-D34)/D34)</f>
        <v>-0.12467457854471</v>
      </c>
    </row>
    <row r="35" customFormat="false" ht="14.25" hidden="false" customHeight="true" outlineLevel="0" collapsed="false">
      <c r="A35" s="13" t="s">
        <v>13</v>
      </c>
      <c r="B35" s="14" t="n">
        <f aca="false">B5+N(B19)</f>
        <v>732839.1</v>
      </c>
      <c r="C35" s="15" t="n">
        <f aca="false">C5+D19</f>
        <v>294268.667883964</v>
      </c>
      <c r="D35" s="15" t="n">
        <f aca="false">D5+D19</f>
        <v>135402.092883964</v>
      </c>
      <c r="E35" s="14" t="n">
        <f aca="false">E5+N(E19)</f>
        <v>453000</v>
      </c>
      <c r="F35" s="16" t="n">
        <f aca="false">IF(B35=0,0,1-C35/B35)</f>
        <v>0.598453919988762</v>
      </c>
      <c r="G35" s="16" t="n">
        <f aca="false">IF(B35=0,0,1-D35/B35)</f>
        <v>0.815236260068596</v>
      </c>
      <c r="H35" s="17" t="n">
        <f aca="false">IF(C35=0,0,(E35-C35)/C35)</f>
        <v>0.539409558134225</v>
      </c>
      <c r="I35" s="17" t="n">
        <f aca="false">IF(D35=0,0,(E35-D35)/D35)</f>
        <v>2.34559082767065</v>
      </c>
    </row>
    <row r="36" customFormat="false" ht="14.25" hidden="false" customHeight="true" outlineLevel="0" collapsed="false">
      <c r="A36" s="13" t="s">
        <v>48</v>
      </c>
      <c r="B36" s="14" t="n">
        <f aca="false">B6+N(B20)</f>
        <v>1469323.8</v>
      </c>
      <c r="C36" s="15" t="n">
        <f aca="false">C6+D20</f>
        <v>1136847.12664142</v>
      </c>
      <c r="D36" s="15" t="n">
        <f aca="false">D6+D20</f>
        <v>947040.72664142</v>
      </c>
      <c r="E36" s="14" t="n">
        <f aca="false">E6+N(E20)</f>
        <v>1250000</v>
      </c>
      <c r="F36" s="16" t="n">
        <f aca="false">IF(B36=0,0,1-C36/B36)</f>
        <v>0.226278695927052</v>
      </c>
      <c r="G36" s="16" t="n">
        <f aca="false">IF(B36=0,0,1-D36/B36)</f>
        <v>0.355458118461417</v>
      </c>
      <c r="H36" s="17" t="n">
        <f aca="false">IF(C36=0,0,(E36-C36)/C36)</f>
        <v>0.0995321804549631</v>
      </c>
      <c r="I36" s="17" t="n">
        <f aca="false">IF(D36=0,0,(E36-D36)/D36)</f>
        <v>0.319900997745887</v>
      </c>
    </row>
    <row r="37" customFormat="false" ht="30" hidden="false" customHeight="true" outlineLevel="0" collapsed="false">
      <c r="A37" s="18" t="s">
        <v>49</v>
      </c>
      <c r="B37" s="19" t="n">
        <f aca="false">N(B34)+N(B35)+N(B36)</f>
        <v>2537245.725</v>
      </c>
      <c r="C37" s="19" t="n">
        <f aca="false">N(C34)+N(C35)+N(C36)</f>
        <v>1660280.66414973</v>
      </c>
      <c r="D37" s="19" t="n">
        <f aca="false">N(D34)+N(D35)+N(D36)</f>
        <v>1203540.63914973</v>
      </c>
      <c r="E37" s="19" t="n">
        <f aca="false">N(E34)+N(E35)+N(E36)</f>
        <v>1809000</v>
      </c>
      <c r="F37" s="20" t="n">
        <f aca="false">IF(B37=0,0,1-C37/B37)</f>
        <v>0.345636629597737</v>
      </c>
      <c r="G37" s="20" t="n">
        <f aca="false">IF(B37=0,0,1-D37/B37)</f>
        <v>0.525650737218315</v>
      </c>
      <c r="H37" s="21" t="n">
        <f aca="false">IF(C37=0,0,(E37-C37)/C37)</f>
        <v>0.0895748165123814</v>
      </c>
      <c r="I37" s="21" t="n">
        <f aca="false">IF(D37=0,0,(E37-D37)/D37)</f>
        <v>0.503065157216466</v>
      </c>
    </row>
    <row r="38" customFormat="false" ht="14.25" hidden="false" customHeight="true" outlineLevel="0" collapsed="false">
      <c r="A38" s="13" t="s">
        <v>50</v>
      </c>
      <c r="B38" s="14" t="n">
        <f aca="false">B8+N(B22)</f>
        <v>3183882.555</v>
      </c>
      <c r="C38" s="15" t="n">
        <f aca="false">C8+D22</f>
        <v>2444083.52602817</v>
      </c>
      <c r="D38" s="15" t="n">
        <f aca="false">D8+D22</f>
        <v>2010978.89602817</v>
      </c>
      <c r="E38" s="14" t="n">
        <f aca="false">E8+N(E22)</f>
        <v>1455000</v>
      </c>
      <c r="F38" s="16" t="n">
        <f aca="false">IF(B38=0,0,1-C38/B38)</f>
        <v>0.232357511997433</v>
      </c>
      <c r="G38" s="16" t="n">
        <f aca="false">IF(B38=0,0,1-D38/B38)</f>
        <v>0.368387853104032</v>
      </c>
      <c r="H38" s="17" t="n">
        <f aca="false">IF(C38=0,0,(E38-C38)/C38)</f>
        <v>-0.404684829914757</v>
      </c>
      <c r="I38" s="17" t="n">
        <f aca="false">IF(D38=0,0,(E38-D38)/D38)</f>
        <v>-0.276471770602003</v>
      </c>
    </row>
    <row r="39" customFormat="false" ht="14.25" hidden="false" customHeight="true" outlineLevel="0" collapsed="false">
      <c r="A39" s="13" t="s">
        <v>51</v>
      </c>
      <c r="B39" s="14" t="n">
        <f aca="false">B9+N(B23)</f>
        <v>540610.875</v>
      </c>
      <c r="C39" s="15" t="n">
        <f aca="false">C9+D23</f>
        <v>284545.536548016</v>
      </c>
      <c r="D39" s="15" t="n">
        <f aca="false">D9+D23</f>
        <v>156012.411548016</v>
      </c>
      <c r="E39" s="14" t="n">
        <f aca="false">E9+N(E23)</f>
        <v>370000</v>
      </c>
      <c r="F39" s="16" t="n">
        <f aca="false">IF(B39=0,0,1-C39/B39)</f>
        <v>0.473659244187391</v>
      </c>
      <c r="G39" s="16" t="n">
        <f aca="false">IF(B39=0,0,1-D39/B39)</f>
        <v>0.711414589009117</v>
      </c>
      <c r="H39" s="17" t="n">
        <f aca="false">IF(C39=0,0,(E39-C39)/C39)</f>
        <v>0.300319114081636</v>
      </c>
      <c r="I39" s="17" t="n">
        <f aca="false">IF(D39=0,0,(E39-D39)/D39)</f>
        <v>1.37160618394854</v>
      </c>
    </row>
    <row r="40" customFormat="false" ht="30" hidden="false" customHeight="true" outlineLevel="0" collapsed="false">
      <c r="A40" s="18" t="s">
        <v>52</v>
      </c>
      <c r="B40" s="19" t="n">
        <f aca="false">N(B38)+N(B39)</f>
        <v>3724493.43</v>
      </c>
      <c r="C40" s="19" t="n">
        <f aca="false">N(C38)+N(C39)</f>
        <v>2728629.06257619</v>
      </c>
      <c r="D40" s="19" t="n">
        <f aca="false">N(D38)+N(D39)</f>
        <v>2166991.30757619</v>
      </c>
      <c r="E40" s="19" t="n">
        <f aca="false">N(E38)+N(E39)</f>
        <v>1825000</v>
      </c>
      <c r="F40" s="20" t="n">
        <f aca="false">IF(B40=0,0,1-C40/B40)</f>
        <v>0.267382500772411</v>
      </c>
      <c r="G40" s="20" t="n">
        <f aca="false">IF(B40=0,0,1-D40/B40)</f>
        <v>0.418178244020641</v>
      </c>
      <c r="H40" s="21" t="n">
        <f aca="false">IF(C40=0,0,(E40-C40)/C40)</f>
        <v>-0.331165959847632</v>
      </c>
      <c r="I40" s="21" t="n">
        <f aca="false">IF(D40=0,0,(E40-D40)/D40)</f>
        <v>-0.15781849533984</v>
      </c>
    </row>
    <row r="41" customFormat="false" ht="14.25" hidden="false" customHeight="true" outlineLevel="0" collapsed="false">
      <c r="A41" s="13" t="s">
        <v>53</v>
      </c>
      <c r="B41" s="14" t="n">
        <f aca="false">B11+N(B25)</f>
        <v>775079.55</v>
      </c>
      <c r="C41" s="15" t="n">
        <f aca="false">C11+D25</f>
        <v>490533.729962928</v>
      </c>
      <c r="D41" s="15" t="n">
        <f aca="false">D11+D25</f>
        <v>343643.979962928</v>
      </c>
      <c r="E41" s="14" t="n">
        <f aca="false">E11+N(E25)</f>
        <v>102000</v>
      </c>
      <c r="F41" s="16" t="n">
        <f aca="false">IF(B41=0,0,1-C41/B41)</f>
        <v>0.367118213913749</v>
      </c>
      <c r="G41" s="16" t="n">
        <f aca="false">IF(B41=0,0,1-D41/B41)</f>
        <v>0.556633922333613</v>
      </c>
      <c r="H41" s="17" t="n">
        <f aca="false">IF(C41=0,0,(E41-C41)/C41)</f>
        <v>-0.792063228745333</v>
      </c>
      <c r="I41" s="17" t="n">
        <f aca="false">IF(D41=0,0,(E41-D41)/D41)</f>
        <v>-0.703181181841149</v>
      </c>
    </row>
    <row r="42" customFormat="false" ht="14.25" hidden="false" customHeight="true" outlineLevel="0" collapsed="false">
      <c r="A42" s="13" t="s">
        <v>54</v>
      </c>
      <c r="B42" s="14" t="n">
        <f aca="false">B12+N(B26)</f>
        <v>493905.3</v>
      </c>
      <c r="C42" s="15" t="n">
        <f aca="false">C12+D26</f>
        <v>341463.659377819</v>
      </c>
      <c r="D42" s="15" t="n">
        <f aca="false">D12+D26</f>
        <v>285015.659377819</v>
      </c>
      <c r="E42" s="14" t="n">
        <f aca="false">E12+N(E26)</f>
        <v>73000</v>
      </c>
      <c r="F42" s="16" t="n">
        <f aca="false">IF(B42=0,0,1-C42/B42)</f>
        <v>0.308645484513288</v>
      </c>
      <c r="G42" s="16" t="n">
        <f aca="false">IF(B42=0,0,1-D42/B42)</f>
        <v>0.422934600260781</v>
      </c>
      <c r="H42" s="17" t="n">
        <f aca="false">IF(C42=0,0,(E42-C42)/C42)</f>
        <v>-0.786214438944943</v>
      </c>
      <c r="I42" s="17" t="n">
        <f aca="false">IF(D42=0,0,(E42-D42)/D42)</f>
        <v>-0.743873722028618</v>
      </c>
    </row>
    <row r="43" customFormat="false" ht="30" hidden="false" customHeight="true" outlineLevel="0" collapsed="false">
      <c r="A43" s="18" t="s">
        <v>55</v>
      </c>
      <c r="B43" s="19" t="n">
        <f aca="false">N(B41)+N(B42)</f>
        <v>1268984.85</v>
      </c>
      <c r="C43" s="19" t="n">
        <f aca="false">N(C41)+N(C42)</f>
        <v>831997.389340747</v>
      </c>
      <c r="D43" s="19" t="n">
        <f aca="false">N(D41)+N(D42)</f>
        <v>628659.639340747</v>
      </c>
      <c r="E43" s="19" t="n">
        <f aca="false">N(E41)+N(E42)</f>
        <v>175000</v>
      </c>
      <c r="F43" s="20" t="n">
        <f aca="false">IF(B43=0,0,1-C43/B43)</f>
        <v>0.344359872112936</v>
      </c>
      <c r="G43" s="20" t="n">
        <f aca="false">IF(B43=0,0,1-D43/B43)</f>
        <v>0.50459641867218</v>
      </c>
      <c r="H43" s="21" t="n">
        <f aca="false">IF(C43=0,0,(E43-C43)/C43)</f>
        <v>-0.78966280153996</v>
      </c>
      <c r="I43" s="21" t="n">
        <f aca="false">IF(D43=0,0,(E43-D43)/D43)</f>
        <v>-0.721629974236112</v>
      </c>
    </row>
    <row r="44" customFormat="false" ht="30" hidden="false" customHeight="true" outlineLevel="0" collapsed="false">
      <c r="A44" s="22" t="s">
        <v>56</v>
      </c>
      <c r="B44" s="23" t="n">
        <f aca="false">N(B34)+N(B35)+N(B36)+N(B38)+N(B39)+N(B41)+N(B42)</f>
        <v>7530724.005</v>
      </c>
      <c r="C44" s="23" t="n">
        <f aca="false">N(C34)+N(C35)+N(C36)+N(C38)+N(C39)+N(C41)+N(C42)</f>
        <v>5220907.11606667</v>
      </c>
      <c r="D44" s="23" t="n">
        <f aca="false">N(D34)+N(D35)+N(D36)+N(D38)+N(D39)+N(D41)+N(D42)</f>
        <v>3999191.58606667</v>
      </c>
      <c r="E44" s="23" t="n">
        <f aca="false">N(E34)+N(E35)+N(E36)+N(E38)+N(E39)+N(E41)+N(E42)</f>
        <v>3809000</v>
      </c>
      <c r="F44" s="24" t="n">
        <f aca="false">IF(B44=0,0,1-C44/B44)</f>
        <v>0.306719099969636</v>
      </c>
      <c r="G44" s="24" t="n">
        <f aca="false">IF(B44=0,0,1-D44/B44)</f>
        <v>0.468949919899944</v>
      </c>
      <c r="H44" s="25" t="n">
        <f aca="false">IF(C44=0,0,(E44-C44)/C44)</f>
        <v>-0.2704332953409</v>
      </c>
      <c r="I44" s="25" t="n">
        <f aca="false">IF(D44=0,0,(E44-D44)/D44)</f>
        <v>-0.047557508054703</v>
      </c>
    </row>
    <row r="47" customFormat="false" ht="15" hidden="false" customHeight="true" outlineLevel="0" collapsed="false">
      <c r="A47" s="12" t="s">
        <v>69</v>
      </c>
      <c r="B47" s="12"/>
      <c r="C47" s="12"/>
      <c r="D47" s="12"/>
      <c r="E47" s="12"/>
      <c r="F47" s="12"/>
      <c r="G47" s="12"/>
      <c r="H47" s="12"/>
      <c r="I47" s="12"/>
    </row>
    <row r="48" customFormat="false" ht="31.5" hidden="false" customHeight="true" outlineLevel="0" collapsed="false">
      <c r="A48" s="3" t="s">
        <v>70</v>
      </c>
      <c r="B48" s="3" t="s">
        <v>40</v>
      </c>
      <c r="C48" s="3" t="s">
        <v>41</v>
      </c>
      <c r="D48" s="3" t="s">
        <v>42</v>
      </c>
      <c r="E48" s="3" t="s">
        <v>71</v>
      </c>
      <c r="F48" s="3" t="s">
        <v>72</v>
      </c>
    </row>
    <row r="49" customFormat="false" ht="14.25" hidden="false" customHeight="true" outlineLevel="0" collapsed="false">
      <c r="A49" s="27" t="s">
        <v>73</v>
      </c>
      <c r="B49" s="14" t="n">
        <v>5858217.9075</v>
      </c>
      <c r="C49" s="14" t="n">
        <v>3665191.82106667</v>
      </c>
      <c r="D49" s="14" t="n">
        <v>3665191.82106667</v>
      </c>
      <c r="E49" s="14" t="n">
        <f aca="false">B49-C49</f>
        <v>2193026.08643333</v>
      </c>
      <c r="F49" s="14" t="n">
        <f aca="false">B49-D49</f>
        <v>2193026.08643333</v>
      </c>
    </row>
    <row r="50" customFormat="false" ht="14.25" hidden="false" customHeight="true" outlineLevel="0" collapsed="false">
      <c r="A50" s="27" t="s">
        <v>27</v>
      </c>
      <c r="B50" s="14" t="n">
        <v>1593669.9975</v>
      </c>
      <c r="C50" s="14" t="n">
        <v>1476879.195</v>
      </c>
      <c r="D50" s="14" t="n">
        <v>255163.665</v>
      </c>
      <c r="E50" s="14" t="n">
        <f aca="false">B50-C50</f>
        <v>116790.8025</v>
      </c>
      <c r="F50" s="14" t="n">
        <f aca="false">B50-D50</f>
        <v>1338506.3325</v>
      </c>
    </row>
    <row r="51" customFormat="false" ht="14.25" hidden="false" customHeight="true" outlineLevel="0" collapsed="false">
      <c r="A51" s="27" t="s">
        <v>74</v>
      </c>
      <c r="B51" s="14" t="n">
        <v>78836.1</v>
      </c>
      <c r="C51" s="14" t="n">
        <v>78836.1</v>
      </c>
      <c r="D51" s="14" t="n">
        <v>78836.1</v>
      </c>
      <c r="E51" s="14" t="n">
        <f aca="false">B51-C51</f>
        <v>0</v>
      </c>
      <c r="F51" s="14" t="n">
        <f aca="false">B51-D51</f>
        <v>0</v>
      </c>
    </row>
    <row r="52" customFormat="false" ht="14.25" hidden="false" customHeight="true" outlineLevel="0" collapsed="false">
      <c r="A52" s="10" t="s">
        <v>56</v>
      </c>
      <c r="B52" s="23" t="n">
        <f aca="false">SUM(B49:B51)</f>
        <v>7530724.005</v>
      </c>
      <c r="C52" s="23" t="n">
        <f aca="false">SUM(C49:C51)</f>
        <v>5220907.11606667</v>
      </c>
      <c r="D52" s="23" t="n">
        <f aca="false">SUM(D49:D51)</f>
        <v>3999191.58606667</v>
      </c>
      <c r="E52" s="23" t="n">
        <f aca="false">SUM(E49:E51)</f>
        <v>2309816.88893333</v>
      </c>
      <c r="F52" s="23" t="n">
        <f aca="false">SUM(F49:F51)</f>
        <v>3531532.41893333</v>
      </c>
    </row>
    <row r="54" customFormat="false" ht="14.25" hidden="false" customHeight="true" outlineLevel="0" collapsed="false">
      <c r="A54" s="2" t="s">
        <v>75</v>
      </c>
    </row>
  </sheetData>
  <mergeCells count="4">
    <mergeCell ref="A2:I2"/>
    <mergeCell ref="A16:I16"/>
    <mergeCell ref="A32:I32"/>
    <mergeCell ref="A47:I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2026-09-24T14:31:40Z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