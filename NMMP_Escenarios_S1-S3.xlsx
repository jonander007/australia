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tage 1" sheetId="1" state="visible" r:id="rId3"/>
    <sheet name="Stage 2" sheetId="2" state="visible" r:id="rId4"/>
    <sheet name="Stage 3" sheetId="3" state="visible" r:id="rId5"/>
    <sheet name="Resumen" sheetId="4" state="visible" r:id="rId6"/>
    <sheet name="Escenarios" sheetId="5" state="visible" r:id="rId7"/>
    <sheet name="Dat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8" authorId="0">
      <text>
        <r>
          <rPr>
            <sz val="10"/>
            <rFont val="Arial"/>
            <family val="2"/>
          </rPr>
          <t xml:space="preserve">Fuente: herramienta ANSTO.html, pestaña Precio y contingencias: IDOM 1.882.791 + Plan Safe 575.619 + INVAP 78.836 AUD.</t>
        </r>
      </text>
    </comment>
  </commentList>
</comments>
</file>

<file path=xl/sharedStrings.xml><?xml version="1.0" encoding="utf-8"?>
<sst xmlns="http://schemas.openxmlformats.org/spreadsheetml/2006/main" count="1286" uniqueCount="217">
  <si>
    <t xml:space="preserve">Stage 1 · Project Familiarisation &amp; Initiation — desglose por entregable y empresa (AUD)</t>
  </si>
  <si>
    <t xml:space="preserve">Importe = horas × tarifa de venta (pestaña Datos). Reparto por empresa según el tipo de cada entregable (pestaña Escenarios).</t>
  </si>
  <si>
    <t xml:space="preserve">Reducción de precio del Stage 1</t>
  </si>
  <si>
    <t xml:space="preserve">Se cambian en el panel de control de la pestaña Resumen (porcentaje y quién la absorbe).</t>
  </si>
  <si>
    <t xml:space="preserve">Oferta original</t>
  </si>
  <si>
    <t xml:space="preserve">Reparto</t>
  </si>
  <si>
    <t xml:space="preserve">Código</t>
  </si>
  <si>
    <t xml:space="preserve">Entregable</t>
  </si>
  <si>
    <t xml:space="preserve">Tipo</t>
  </si>
  <si>
    <t xml:space="preserve">Horas base</t>
  </si>
  <si>
    <t xml:space="preserve">Importe base</t>
  </si>
  <si>
    <t xml:space="preserve">% IDOM</t>
  </si>
  <si>
    <t xml:space="preserve">% Plan Safe</t>
  </si>
  <si>
    <t xml:space="preserve">% Synertec</t>
  </si>
  <si>
    <t xml:space="preserve">% INVAP</t>
  </si>
  <si>
    <t xml:space="preserve">Horas</t>
  </si>
  <si>
    <t xml:space="preserve">IDOM</t>
  </si>
  <si>
    <t xml:space="preserve">Plan Safe</t>
  </si>
  <si>
    <t xml:space="preserve">Synertec</t>
  </si>
  <si>
    <t xml:space="preserve">INVAP</t>
  </si>
  <si>
    <t xml:space="preserve">Total</t>
  </si>
  <si>
    <t xml:space="preserve">S1</t>
  </si>
  <si>
    <t xml:space="preserve">Safety Assurance Plan / Safety Integration Plan</t>
  </si>
  <si>
    <t xml:space="preserve">Pre</t>
  </si>
  <si>
    <t xml:space="preserve">Conceptual Design Verification</t>
  </si>
  <si>
    <t xml:space="preserve">S2</t>
  </si>
  <si>
    <t xml:space="preserve">Human Factors Assurance Plan / Human Factors Integration Plan (HFIP)</t>
  </si>
  <si>
    <t xml:space="preserve">S3</t>
  </si>
  <si>
    <t xml:space="preserve">Human Factors Hazards Identification and Control Plan (HFHICP)</t>
  </si>
  <si>
    <t xml:space="preserve">Subtotal Stage 1 (entregables)</t>
  </si>
  <si>
    <t xml:space="preserve">TOTAL STAGE 1</t>
  </si>
  <si>
    <t xml:space="preserve">Referencia: oferta original por empresa (sin escenarios ni ajustes)</t>
  </si>
  <si>
    <t xml:space="preserve">Stage 2 · Concept Design — desglose por entregable y empresa (AUD)</t>
  </si>
  <si>
    <t xml:space="preserve">Descontar el retrabajo</t>
  </si>
  <si>
    <t xml:space="preserve">No</t>
  </si>
  <si>
    <t xml:space="preserve">Sí = se quita la reserva de retrabajo del precio de IDOM en el Stage 2 (recargo de D4 sobre sus tareas, editable en Escenarios).</t>
  </si>
  <si>
    <t xml:space="preserve">E94</t>
  </si>
  <si>
    <t xml:space="preserve">Radiological Zoning Layout drawing(s)</t>
  </si>
  <si>
    <t xml:space="preserve">S17</t>
  </si>
  <si>
    <t xml:space="preserve">ALARP (Optioneering) Study</t>
  </si>
  <si>
    <t xml:space="preserve">S24</t>
  </si>
  <si>
    <t xml:space="preserve">Radiological Classification of Areas (RCA)</t>
  </si>
  <si>
    <t xml:space="preserve">S26</t>
  </si>
  <si>
    <t xml:space="preserve">Structures Systems and Components (SSC) Categorisation Report</t>
  </si>
  <si>
    <t xml:space="preserve">S27</t>
  </si>
  <si>
    <t xml:space="preserve">Structures Systems and Components (SSC) Register</t>
  </si>
  <si>
    <t xml:space="preserve">Subtotal Stage 2 (entregables)</t>
  </si>
  <si>
    <t xml:space="preserve">TOTAL STAGE 2</t>
  </si>
  <si>
    <t xml:space="preserve">Stage 3 · Preliminary Design — desglose por entregable y empresa (AUD)</t>
  </si>
  <si>
    <t xml:space="preserve">S9</t>
  </si>
  <si>
    <t xml:space="preserve">Deterministic Safety Assessment(s) (DSA) / Inherent Risk Assessment(s)</t>
  </si>
  <si>
    <t xml:space="preserve">S21</t>
  </si>
  <si>
    <t xml:space="preserve">Radiological Shielding Basis of Design</t>
  </si>
  <si>
    <t xml:space="preserve">S22</t>
  </si>
  <si>
    <t xml:space="preserve">Radiological Shielding Assessment</t>
  </si>
  <si>
    <t xml:space="preserve">S23</t>
  </si>
  <si>
    <t xml:space="preserve">Radiological Contamination Control Strategy</t>
  </si>
  <si>
    <t xml:space="preserve">S29</t>
  </si>
  <si>
    <t xml:space="preserve">Design Substantiation Report</t>
  </si>
  <si>
    <t xml:space="preserve">S30</t>
  </si>
  <si>
    <t xml:space="preserve">Human Factors Substantiation/Assurance Report</t>
  </si>
  <si>
    <t xml:space="preserve">Subtotal Stage 3 (entregables)</t>
  </si>
  <si>
    <t xml:space="preserve">Ajustes (ninguno en este stage)</t>
  </si>
  <si>
    <t xml:space="preserve">TOTAL STAGE 3</t>
  </si>
  <si>
    <t xml:space="preserve">Resumen · Lump sum Stages 1–3 por empresa y escenario (AUD)</t>
  </si>
  <si>
    <t xml:space="preserve">NMMP · PSC002818 · alcance nuclear y radiológico de IDOM. La referencia es la oferta original (horas × tarifa) sin escenarios ni ajustes.</t>
  </si>
  <si>
    <t xml:space="preserve">Panel de control</t>
  </si>
  <si>
    <t xml:space="preserve">Indicador: escribe el % y todo el libro se actualiza.</t>
  </si>
  <si>
    <t xml:space="preserve">Quién absorbe la reducción del Stage 1</t>
  </si>
  <si>
    <t xml:space="preserve">IDOM = sale entera de IDOM · Proporcional = cada empresa en proporción a su parte del Stage 1.</t>
  </si>
  <si>
    <t xml:space="preserve">Descontar el retrabajo del Stage 2</t>
  </si>
  <si>
    <t xml:space="preserve">Se cambia en la pestaña Stage 2 (celda C4).</t>
  </si>
  <si>
    <t xml:space="preserve">Participación de Plan Safe / Synertec en compartidos</t>
  </si>
  <si>
    <t xml:space="preserve">Se cambia en la pestaña Escenarios.</t>
  </si>
  <si>
    <t xml:space="preserve">1 · Lump sum Stages 1–3 por empresa</t>
  </si>
  <si>
    <t xml:space="preserve">Escenario</t>
  </si>
  <si>
    <t xml:space="preserve">Δ vs original</t>
  </si>
  <si>
    <t xml:space="preserve">% reducción</t>
  </si>
  <si>
    <t xml:space="preserve">Oferta original (referencia)</t>
  </si>
  <si>
    <t xml:space="preserve">-</t>
  </si>
  <si>
    <t xml:space="preserve">Control: total de la herramienta para S1–S3 (Precio y contingencias, bloque «S1–S3 · fijo y firme»)</t>
  </si>
  <si>
    <t xml:space="preserve">2 · Reducción por empresa respecto a la oferta original</t>
  </si>
  <si>
    <t xml:space="preserve">Porcentaje de lo que cada empresa deja de facturar frente a su parte de la oferta original. Negativo = factura más.</t>
  </si>
  <si>
    <t xml:space="preserve">3 · Peso de cada empresa en el lump sum</t>
  </si>
  <si>
    <t xml:space="preserve">4 · Precio por stage y escenario</t>
  </si>
  <si>
    <t xml:space="preserve">Stage 1</t>
  </si>
  <si>
    <t xml:space="preserve">Stage 2</t>
  </si>
  <si>
    <t xml:space="preserve">Stage 3</t>
  </si>
  <si>
    <t xml:space="preserve">Total S1–S3</t>
  </si>
  <si>
    <t xml:space="preserve">5 · Indicador del Stage 1 y retrabajo del Stage 2</t>
  </si>
  <si>
    <t xml:space="preserve">S1 antes de reducir</t>
  </si>
  <si>
    <t xml:space="preserve">Reducción S1</t>
  </si>
  <si>
    <t xml:space="preserve">S1 final</t>
  </si>
  <si>
    <t xml:space="preserve">Reducción / lump sum</t>
  </si>
  <si>
    <t xml:space="preserve">Retrabajo S2 descontado</t>
  </si>
  <si>
    <t xml:space="preserve">«Reducción / lump sum» = lo que pesa la reducción del Stage 1 sobre el lump sum S1–S3 del escenario antes de aplicar ningún ajuste.</t>
  </si>
  <si>
    <t xml:space="preserve">Criterios:</t>
  </si>
  <si>
    <t xml:space="preserve">· Importes en AUD = horas × tarifa de venta de la oferta (ya incluye el factor 1,05). Plan Safe e INVAP facturan sus horas a esa misma tarifa, como en la herramienta.</t>
  </si>
  <si>
    <t xml:space="preserve">· El retrabajo no es un coste extra: está dentro del precio de IDOM en el Stage 2. Descontarlo reduce el precio en recargo/(1+recargo) de la parte de IDOM de ese stage.</t>
  </si>
  <si>
    <t xml:space="preserve">· PM3 (coordinación transversal, partida C) no forma parte del precio de la oferta en la herramienta y no se incluye.</t>
  </si>
  <si>
    <t xml:space="preserve">· Synertec no tiene horas en el alcance nuclear; su columna queda a 0 salvo que se le asigne participación en los compartidos o se cambie el tipo de un entregable en Escenarios.</t>
  </si>
  <si>
    <t xml:space="preserve">Definición de escenarios y parámetros de reparto</t>
  </si>
  <si>
    <t xml:space="preserve">Azul = editable. Factor de escenario: 1 = entregable incluido a precio completo, 0 = excluido, 0,5 = a mitad de precio.</t>
  </si>
  <si>
    <t xml:space="preserve">Parámetro</t>
  </si>
  <si>
    <t xml:space="preserve">Valor</t>
  </si>
  <si>
    <t xml:space="preserve">Nota</t>
  </si>
  <si>
    <t xml:space="preserve">Participación de Plan Safe en los entregables compartidos</t>
  </si>
  <si>
    <t xml:space="preserve">Valor de la herramienta (Plan Safe → participación en compartidos). Afecta solo a los entregables «IDOM lidera + inputs especialista».</t>
  </si>
  <si>
    <t xml:space="preserve">Participación de Synertec en los entregables compartidos</t>
  </si>
  <si>
    <t xml:space="preserve">Synertec no tiene horas en el modelo nuclear (cubre la ingeniería GMP, fuera de este alcance). 0 % por defecto; súbelo si se le cede parte de los compartidos.</t>
  </si>
  <si>
    <t xml:space="preserve">Factor de precio de las tareas de Plan Safe en el escenario 4</t>
  </si>
  <si>
    <t xml:space="preserve">Petición: tareas de Plan Safe a mitad de precio.</t>
  </si>
  <si>
    <t xml:space="preserve">Recargo de retrabajo del Stage 2</t>
  </si>
  <si>
    <t xml:space="preserve">Valor de la herramienta. Es un recargo sobre las tareas de IDOM del Stage 2: con 35 %, el retrabajo es 35/135 del precio de IDOM en esa etapa.</t>
  </si>
  <si>
    <t xml:space="preserve">Escenario 1</t>
  </si>
  <si>
    <t xml:space="preserve">Escenario 2</t>
  </si>
  <si>
    <t xml:space="preserve">Escenario 3</t>
  </si>
  <si>
    <t xml:space="preserve">Escenario 4</t>
  </si>
  <si>
    <t xml:space="preserve">Familia técnica</t>
  </si>
  <si>
    <t xml:space="preserve">Tipo de reparto</t>
  </si>
  <si>
    <t xml:space="preserve">Original</t>
  </si>
  <si>
    <t xml:space="preserve">Sin las 4 tareas de Plan Safe</t>
  </si>
  <si>
    <t xml:space="preserve">Sin tareas Plan Safe ni SSC</t>
  </si>
  <si>
    <t xml:space="preserve">Sin SSC, tareas Plan Safe al 50 %</t>
  </si>
  <si>
    <t xml:space="preserve">Zonificación y dosis</t>
  </si>
  <si>
    <t xml:space="preserve">Gestión y aseguramiento de la seguridad</t>
  </si>
  <si>
    <t xml:space="preserve">Compartido</t>
  </si>
  <si>
    <t xml:space="preserve">Análisis de seguridad</t>
  </si>
  <si>
    <t xml:space="preserve">S10</t>
  </si>
  <si>
    <t xml:space="preserve">Probablisitic Safety Assessment / Quantitative Risk Assessment (s) (QRA)</t>
  </si>
  <si>
    <t xml:space="preserve">ALARP / optimización</t>
  </si>
  <si>
    <t xml:space="preserve">S18</t>
  </si>
  <si>
    <t xml:space="preserve">ALARP Summary Report (ALARP/SFARP Statement Report)</t>
  </si>
  <si>
    <t xml:space="preserve">S20</t>
  </si>
  <si>
    <t xml:space="preserve">Safety in Design (SiD) Report</t>
  </si>
  <si>
    <t xml:space="preserve">Safety in Design</t>
  </si>
  <si>
    <t xml:space="preserve">Blindaje radiológico</t>
  </si>
  <si>
    <t xml:space="preserve">Contaminación y confinamiento</t>
  </si>
  <si>
    <t xml:space="preserve">S25</t>
  </si>
  <si>
    <t xml:space="preserve">Radiation Dose Assessment /Normal) Operations Dose Assessment</t>
  </si>
  <si>
    <t xml:space="preserve">Categorización SSC / ingeniería de sistemas</t>
  </si>
  <si>
    <t xml:space="preserve">S28</t>
  </si>
  <si>
    <t xml:space="preserve">Engineering Schedule &amp; Verification and Validation Report (Safety Controls)</t>
  </si>
  <si>
    <t xml:space="preserve">Sustanciación del diseño</t>
  </si>
  <si>
    <t xml:space="preserve">S31</t>
  </si>
  <si>
    <t xml:space="preserve">Independent Verification Reports (design, constructions and commissioning phases)</t>
  </si>
  <si>
    <t xml:space="preserve">Verificación independiente</t>
  </si>
  <si>
    <t xml:space="preserve">S33</t>
  </si>
  <si>
    <t xml:space="preserve">Radiological Shielding Verification Report / (Shielding integrity test report)</t>
  </si>
  <si>
    <t xml:space="preserve">S37</t>
  </si>
  <si>
    <t xml:space="preserve">Radiological Environmental Monitoring Plan</t>
  </si>
  <si>
    <t xml:space="preserve">Monitorización radiológica</t>
  </si>
  <si>
    <t xml:space="preserve">S38</t>
  </si>
  <si>
    <t xml:space="preserve">Radiological Stack Monitoring Protocol</t>
  </si>
  <si>
    <t xml:space="preserve">Revisión del diseño conceptual</t>
  </si>
  <si>
    <t xml:space="preserve">Factores humanos</t>
  </si>
  <si>
    <t xml:space="preserve">S8</t>
  </si>
  <si>
    <t xml:space="preserve">Human Factor Task Assessments</t>
  </si>
  <si>
    <t xml:space="preserve">Tipo de reparto (de la herramienta): IDOM = 100 % IDOM · Compartido = «IDOM lidera + inputs especialista», se cede a Plan Safe/Synertec la participación indicada arriba · Plan Safe = sus 4 tareas propias (S2, S3, S8, S30) · INVAP = Conceptual Design Verification (Pre).</t>
  </si>
  <si>
    <t xml:space="preserve">Escenario 2 excluye las 4 tareas propias de Plan Safe (S2, S3, S8, S30). Escenario 3 excluye además los SSC (S26, S27, S28). Escenario 4 excluye los SSC y aplica a las 4 tareas de Plan Safe el factor de B7.</t>
  </si>
  <si>
    <t xml:space="preserve">Al excluir S28, que es compartido, también desaparece la parte de Plan Safe en ese entregable. En el Stage 1–3 solo S26 y S27 tienen horas; S28 empieza en el Stage 4.</t>
  </si>
  <si>
    <t xml:space="preserve">Celdas con fondo amarillo claro = factor distinto de 1. El factor del escenario 4 para Plan Safe es una fórmula que apunta a B7.</t>
  </si>
  <si>
    <t xml:space="preserve">Datos de partida — tarifas y horas por perfil (modelo bottom-up de la oferta)</t>
  </si>
  <si>
    <t xml:space="preserve">Fuente: herramienta «NMMP · Alcance nuclear IDOM» (ANSTO.html), escenario «Oferta mayo». Tarifas de venta con descuento en AUD/h, ya con el factor 1,05. Azul = editable.</t>
  </si>
  <si>
    <t xml:space="preserve">Perfil</t>
  </si>
  <si>
    <t xml:space="preserve">Descripción</t>
  </si>
  <si>
    <t xml:space="preserve">Tarifa AUD/h</t>
  </si>
  <si>
    <t xml:space="preserve">Stage</t>
  </si>
  <si>
    <t xml:space="preserve">Importe AUD</t>
  </si>
  <si>
    <t xml:space="preserve">P7</t>
  </si>
  <si>
    <t xml:space="preserve">Associate Director 2</t>
  </si>
  <si>
    <t xml:space="preserve">P6</t>
  </si>
  <si>
    <t xml:space="preserve">Principal Professional</t>
  </si>
  <si>
    <t xml:space="preserve">P5</t>
  </si>
  <si>
    <t xml:space="preserve">Senior Professional 1</t>
  </si>
  <si>
    <t xml:space="preserve">P4</t>
  </si>
  <si>
    <t xml:space="preserve">Senior Professional 2</t>
  </si>
  <si>
    <t xml:space="preserve">TO3</t>
  </si>
  <si>
    <t xml:space="preserve">TO4</t>
  </si>
  <si>
    <t xml:space="preserve">Senior Technical Officer</t>
  </si>
  <si>
    <t xml:space="preserve">TO2</t>
  </si>
  <si>
    <t xml:space="preserve">Technical Officer 1</t>
  </si>
  <si>
    <t xml:space="preserve">Technical Officer 2</t>
  </si>
  <si>
    <t xml:space="preserve">PM3</t>
  </si>
  <si>
    <t xml:space="preserve">Project Director / Project Manager</t>
  </si>
  <si>
    <t xml:space="preserve">PM2</t>
  </si>
  <si>
    <t xml:space="preserve">Senior Executive</t>
  </si>
  <si>
    <t xml:space="preserve">PM1</t>
  </si>
  <si>
    <t xml:space="preserve">Discipline Lead / Design Manager</t>
  </si>
  <si>
    <t xml:space="preserve">P10</t>
  </si>
  <si>
    <t xml:space="preserve">Industry / International Specialist</t>
  </si>
  <si>
    <t xml:space="preserve">S4</t>
  </si>
  <si>
    <t xml:space="preserve">P9</t>
  </si>
  <si>
    <t xml:space="preserve">Technical Director</t>
  </si>
  <si>
    <t xml:space="preserve">P8</t>
  </si>
  <si>
    <t xml:space="preserve">Associate Director 1</t>
  </si>
  <si>
    <t xml:space="preserve">P3</t>
  </si>
  <si>
    <t xml:space="preserve">Professional 1</t>
  </si>
  <si>
    <t xml:space="preserve">P2</t>
  </si>
  <si>
    <t xml:space="preserve">Professional 2</t>
  </si>
  <si>
    <t xml:space="preserve">P1</t>
  </si>
  <si>
    <t xml:space="preserve">Graduate Professional</t>
  </si>
  <si>
    <t xml:space="preserve">TO6</t>
  </si>
  <si>
    <t xml:space="preserve">Principal Technical Officer 1</t>
  </si>
  <si>
    <t xml:space="preserve">TO5</t>
  </si>
  <si>
    <t xml:space="preserve">Principal Technical Officer 2</t>
  </si>
  <si>
    <t xml:space="preserve">TO1</t>
  </si>
  <si>
    <t xml:space="preserve">Technical Assistant</t>
  </si>
  <si>
    <t xml:space="preserve">A3</t>
  </si>
  <si>
    <t xml:space="preserve">Senior Admin Officer</t>
  </si>
  <si>
    <t xml:space="preserve">A2</t>
  </si>
  <si>
    <t xml:space="preserve">Admin Officer</t>
  </si>
  <si>
    <t xml:space="preserve">A1</t>
  </si>
  <si>
    <t xml:space="preserve">Admin Assistant</t>
  </si>
  <si>
    <t xml:space="preserve">S6</t>
  </si>
  <si>
    <t xml:space="preserve">S7</t>
  </si>
  <si>
    <t xml:space="preserve">S5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</si>
</sst>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#,##0;\(#,##0\);\-"/>
    <numFmt numFmtId="167" formatCode="0%"/>
    <numFmt numFmtId="168" formatCode="0.0%;\(0.0%\);\-"/>
    <numFmt numFmtId="169" formatCode="#,##0.0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A5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i val="true"/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  <font>
      <sz val="9"/>
      <color rgb="FF00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2E6B8A"/>
        <bgColor rgb="FF008080"/>
      </patternFill>
    </fill>
    <fill>
      <patternFill patternType="solid">
        <fgColor rgb="FF7A5C1E"/>
        <bgColor rgb="FF993300"/>
      </patternFill>
    </fill>
    <fill>
      <patternFill patternType="solid">
        <fgColor rgb="FF6B3A6B"/>
        <bgColor rgb="FF993366"/>
      </patternFill>
    </fill>
    <fill>
      <patternFill patternType="solid">
        <fgColor rgb="FFD9DEE6"/>
        <bgColor rgb="FFDCE6F1"/>
      </patternFill>
    </fill>
    <fill>
      <patternFill patternType="solid">
        <fgColor rgb="FFDCE6F1"/>
        <bgColor rgb="FFD9DEE6"/>
      </patternFill>
    </fill>
    <fill>
      <patternFill patternType="solid">
        <fgColor rgb="FFE2EFDA"/>
        <bgColor rgb="FFDCE6F1"/>
      </patternFill>
    </fill>
    <fill>
      <patternFill patternType="solid">
        <fgColor rgb="FFFCE4D6"/>
        <bgColor rgb="FFFFF2CC"/>
      </patternFill>
    </fill>
    <fill>
      <patternFill patternType="solid">
        <fgColor rgb="FFEDE2F6"/>
        <bgColor rgb="FFDCE6F1"/>
      </patternFill>
    </fill>
    <fill>
      <patternFill patternType="solid">
        <fgColor rgb="FFF2F4F7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medium">
        <color rgb="FF1F3A5F"/>
      </top>
      <bottom/>
      <diagonal/>
    </border>
    <border diagonalUp="false" diagonalDown="false">
      <left style="thin">
        <color rgb="FFBFC5CF"/>
      </left>
      <right style="thin">
        <color rgb="FFBFC5CF"/>
      </right>
      <top style="thin">
        <color rgb="FFBFC5CF"/>
      </top>
      <bottom style="thin">
        <color rgb="FFBFC5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1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9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9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0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C1E"/>
      <rgbColor rgb="FF800080"/>
      <rgbColor rgb="FF2E6B8A"/>
      <rgbColor rgb="FFBFC5CF"/>
      <rgbColor rgb="FF808080"/>
      <rgbColor rgb="FF9999FF"/>
      <rgbColor rgb="FF6B3A6B"/>
      <rgbColor rgb="FFFFF2CC"/>
      <rgbColor rgb="FFDCE6F1"/>
      <rgbColor rgb="FF660066"/>
      <rgbColor rgb="FFFF8080"/>
      <rgbColor rgb="FF0066CC"/>
      <rgbColor rgb="FFD9DE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E2EFDA"/>
      <rgbColor rgb="FFEDE2F6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AG1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7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7"/>
    <col collapsed="false" customWidth="true" hidden="false" outlineLevel="0" max="10" min="10" style="0" width="8"/>
    <col collapsed="false" customWidth="true" hidden="false" outlineLevel="0" max="15" min="11" style="0" width="11"/>
    <col collapsed="false" customWidth="true" hidden="false" outlineLevel="0" max="16" min="16" style="0" width="8"/>
    <col collapsed="false" customWidth="true" hidden="false" outlineLevel="0" max="21" min="17" style="0" width="11"/>
    <col collapsed="false" customWidth="true" hidden="false" outlineLevel="0" max="22" min="22" style="0" width="8"/>
    <col collapsed="false" customWidth="true" hidden="false" outlineLevel="0" max="27" min="23" style="0" width="11"/>
    <col collapsed="false" customWidth="true" hidden="false" outlineLevel="0" max="28" min="28" style="0" width="8"/>
    <col collapsed="false" customWidth="true" hidden="false" outlineLevel="0" max="33" min="29" style="0" width="1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  <c r="C4" s="4" t="n">
        <f aca="false">Resumen!$C$5</f>
        <v>0</v>
      </c>
      <c r="D4" s="5" t="str">
        <f aca="false">Resumen!$C$6</f>
        <v>IDOM</v>
      </c>
      <c r="E4" s="2" t="s">
        <v>3</v>
      </c>
    </row>
    <row r="6" customFormat="false" ht="15" hidden="false" customHeight="false" outlineLevel="0" collapsed="false">
      <c r="A6" s="6" t="s">
        <v>4</v>
      </c>
      <c r="B6" s="6"/>
      <c r="C6" s="6"/>
      <c r="D6" s="6"/>
      <c r="E6" s="6"/>
      <c r="F6" s="6" t="s">
        <v>5</v>
      </c>
      <c r="G6" s="6"/>
      <c r="H6" s="6"/>
      <c r="I6" s="6"/>
      <c r="J6" s="6" t="str">
        <f aca="false">Escenarios!I$10&amp;" · "&amp;Escenarios!I$11</f>
        <v>Escenario 1 · Original</v>
      </c>
      <c r="K6" s="6"/>
      <c r="L6" s="6"/>
      <c r="M6" s="6"/>
      <c r="N6" s="6"/>
      <c r="O6" s="6"/>
      <c r="P6" s="7" t="str">
        <f aca="false">Escenarios!J$10&amp;" · "&amp;Escenarios!J$11</f>
        <v>Escenario 2 · Sin las 4 tareas de Plan Safe</v>
      </c>
      <c r="Q6" s="7"/>
      <c r="R6" s="7"/>
      <c r="S6" s="7"/>
      <c r="T6" s="7"/>
      <c r="U6" s="7"/>
      <c r="V6" s="8" t="str">
        <f aca="false">Escenarios!K$10&amp;" · "&amp;Escenarios!K$11</f>
        <v>Escenario 3 · Sin tareas Plan Safe ni SSC</v>
      </c>
      <c r="W6" s="8"/>
      <c r="X6" s="8"/>
      <c r="Y6" s="8"/>
      <c r="Z6" s="8"/>
      <c r="AA6" s="8"/>
      <c r="AB6" s="9" t="str">
        <f aca="false">Escenarios!L$10&amp;" · "&amp;Escenarios!L$11</f>
        <v>Escenario 4 · Sin SSC, tareas Plan Safe al 50 %</v>
      </c>
      <c r="AC6" s="9"/>
      <c r="AD6" s="9"/>
      <c r="AE6" s="9"/>
      <c r="AF6" s="9"/>
      <c r="AG6" s="9"/>
    </row>
    <row r="7" customFormat="false" ht="30" hidden="false" customHeight="true" outlineLevel="0" collapsed="false">
      <c r="A7" s="10" t="s">
        <v>6</v>
      </c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12</v>
      </c>
      <c r="H7" s="10" t="s">
        <v>13</v>
      </c>
      <c r="I7" s="10" t="s">
        <v>14</v>
      </c>
      <c r="J7" s="11" t="s">
        <v>15</v>
      </c>
      <c r="K7" s="12" t="s">
        <v>16</v>
      </c>
      <c r="L7" s="13" t="s">
        <v>17</v>
      </c>
      <c r="M7" s="14" t="s">
        <v>18</v>
      </c>
      <c r="N7" s="15" t="s">
        <v>19</v>
      </c>
      <c r="O7" s="11" t="s">
        <v>20</v>
      </c>
      <c r="P7" s="11" t="s">
        <v>15</v>
      </c>
      <c r="Q7" s="12" t="s">
        <v>16</v>
      </c>
      <c r="R7" s="13" t="s">
        <v>17</v>
      </c>
      <c r="S7" s="14" t="s">
        <v>18</v>
      </c>
      <c r="T7" s="15" t="s">
        <v>19</v>
      </c>
      <c r="U7" s="11" t="s">
        <v>20</v>
      </c>
      <c r="V7" s="11" t="s">
        <v>15</v>
      </c>
      <c r="W7" s="12" t="s">
        <v>16</v>
      </c>
      <c r="X7" s="13" t="s">
        <v>17</v>
      </c>
      <c r="Y7" s="14" t="s">
        <v>18</v>
      </c>
      <c r="Z7" s="15" t="s">
        <v>19</v>
      </c>
      <c r="AA7" s="11" t="s">
        <v>20</v>
      </c>
      <c r="AB7" s="11" t="s">
        <v>15</v>
      </c>
      <c r="AC7" s="12" t="s">
        <v>16</v>
      </c>
      <c r="AD7" s="13" t="s">
        <v>17</v>
      </c>
      <c r="AE7" s="14" t="s">
        <v>18</v>
      </c>
      <c r="AF7" s="15" t="s">
        <v>19</v>
      </c>
      <c r="AG7" s="11" t="s">
        <v>20</v>
      </c>
    </row>
    <row r="8" customFormat="false" ht="15" hidden="false" customHeight="false" outlineLevel="0" collapsed="false">
      <c r="A8" s="3" t="s">
        <v>21</v>
      </c>
      <c r="B8" s="16" t="s">
        <v>22</v>
      </c>
      <c r="C8" s="17" t="str">
        <f aca="false">INDEX(Escenarios!$D$12:$D$36,MATCH($A8,Escenarios!$A$12:$A$36,0))</f>
        <v>Compartido</v>
      </c>
      <c r="D8" s="18" t="n">
        <f aca="false">SUMIFS(Datos!$H$5:$H$291,Datos!$E$5:$E$291,$A8,Datos!$F$5:$F$291,"S1")</f>
        <v>625</v>
      </c>
      <c r="E8" s="18" t="n">
        <f aca="false">SUMIFS(Datos!$J$5:$J$291,Datos!$E$5:$E$291,$A8,Datos!$F$5:$F$291,"S1")</f>
        <v>148179.675</v>
      </c>
      <c r="F8" s="19" t="n">
        <f aca="false">INDEX(Escenarios!$E$12:$E$36,MATCH($A8,Escenarios!$A$12:$A$36,0))</f>
        <v>0.9</v>
      </c>
      <c r="G8" s="19" t="n">
        <f aca="false">INDEX(Escenarios!$F$12:$F$36,MATCH($A8,Escenarios!$A$12:$A$36,0))</f>
        <v>0.1</v>
      </c>
      <c r="H8" s="19" t="n">
        <f aca="false">INDEX(Escenarios!$G$12:$G$36,MATCH($A8,Escenarios!$A$12:$A$36,0))</f>
        <v>0</v>
      </c>
      <c r="I8" s="19" t="n">
        <f aca="false">INDEX(Escenarios!$H$12:$H$36,MATCH($A8,Escenarios!$A$12:$A$36,0))</f>
        <v>0</v>
      </c>
      <c r="J8" s="18" t="n">
        <f aca="false">IF(INDEX(Escenarios!$I$12:$I$36,MATCH($A8,Escenarios!$A$12:$A$36,0))&gt;0,$D8,0)</f>
        <v>625</v>
      </c>
      <c r="K8" s="18" t="n">
        <f aca="false">$E8*INDEX(Escenarios!$I$12:$I$36,MATCH($A8,Escenarios!$A$12:$A$36,0))*F8</f>
        <v>133361.7075</v>
      </c>
      <c r="L8" s="18" t="n">
        <f aca="false">$E8*INDEX(Escenarios!$I$12:$I$36,MATCH($A8,Escenarios!$A$12:$A$36,0))*G8</f>
        <v>14817.9675</v>
      </c>
      <c r="M8" s="18" t="n">
        <f aca="false">$E8*INDEX(Escenarios!$I$12:$I$36,MATCH($A8,Escenarios!$A$12:$A$36,0))*H8</f>
        <v>0</v>
      </c>
      <c r="N8" s="18" t="n">
        <f aca="false">$E8*INDEX(Escenarios!$I$12:$I$36,MATCH($A8,Escenarios!$A$12:$A$36,0))*I8</f>
        <v>0</v>
      </c>
      <c r="O8" s="20" t="n">
        <f aca="false">SUM(K8:N8)</f>
        <v>148179.675</v>
      </c>
      <c r="P8" s="18" t="n">
        <f aca="false">IF(INDEX(Escenarios!$J$12:$J$36,MATCH($A8,Escenarios!$A$12:$A$36,0))&gt;0,$D8,0)</f>
        <v>625</v>
      </c>
      <c r="Q8" s="18" t="n">
        <f aca="false">$E8*INDEX(Escenarios!$J$12:$J$36,MATCH($A8,Escenarios!$A$12:$A$36,0))*F8</f>
        <v>133361.7075</v>
      </c>
      <c r="R8" s="18" t="n">
        <f aca="false">$E8*INDEX(Escenarios!$J$12:$J$36,MATCH($A8,Escenarios!$A$12:$A$36,0))*G8</f>
        <v>14817.9675</v>
      </c>
      <c r="S8" s="18" t="n">
        <f aca="false">$E8*INDEX(Escenarios!$J$12:$J$36,MATCH($A8,Escenarios!$A$12:$A$36,0))*H8</f>
        <v>0</v>
      </c>
      <c r="T8" s="18" t="n">
        <f aca="false">$E8*INDEX(Escenarios!$J$12:$J$36,MATCH($A8,Escenarios!$A$12:$A$36,0))*I8</f>
        <v>0</v>
      </c>
      <c r="U8" s="20" t="n">
        <f aca="false">SUM(Q8:T8)</f>
        <v>148179.675</v>
      </c>
      <c r="V8" s="18" t="n">
        <f aca="false">IF(INDEX(Escenarios!$K$12:$K$36,MATCH($A8,Escenarios!$A$12:$A$36,0))&gt;0,$D8,0)</f>
        <v>625</v>
      </c>
      <c r="W8" s="18" t="n">
        <f aca="false">$E8*INDEX(Escenarios!$K$12:$K$36,MATCH($A8,Escenarios!$A$12:$A$36,0))*F8</f>
        <v>133361.7075</v>
      </c>
      <c r="X8" s="18" t="n">
        <f aca="false">$E8*INDEX(Escenarios!$K$12:$K$36,MATCH($A8,Escenarios!$A$12:$A$36,0))*G8</f>
        <v>14817.9675</v>
      </c>
      <c r="Y8" s="18" t="n">
        <f aca="false">$E8*INDEX(Escenarios!$K$12:$K$36,MATCH($A8,Escenarios!$A$12:$A$36,0))*H8</f>
        <v>0</v>
      </c>
      <c r="Z8" s="18" t="n">
        <f aca="false">$E8*INDEX(Escenarios!$K$12:$K$36,MATCH($A8,Escenarios!$A$12:$A$36,0))*I8</f>
        <v>0</v>
      </c>
      <c r="AA8" s="20" t="n">
        <f aca="false">SUM(W8:Z8)</f>
        <v>148179.675</v>
      </c>
      <c r="AB8" s="18" t="n">
        <f aca="false">IF(INDEX(Escenarios!$L$12:$L$36,MATCH($A8,Escenarios!$A$12:$A$36,0))&gt;0,$D8,0)</f>
        <v>625</v>
      </c>
      <c r="AC8" s="18" t="n">
        <f aca="false">$E8*INDEX(Escenarios!$L$12:$L$36,MATCH($A8,Escenarios!$A$12:$A$36,0))*F8</f>
        <v>133361.7075</v>
      </c>
      <c r="AD8" s="18" t="n">
        <f aca="false">$E8*INDEX(Escenarios!$L$12:$L$36,MATCH($A8,Escenarios!$A$12:$A$36,0))*G8</f>
        <v>14817.9675</v>
      </c>
      <c r="AE8" s="18" t="n">
        <f aca="false">$E8*INDEX(Escenarios!$L$12:$L$36,MATCH($A8,Escenarios!$A$12:$A$36,0))*H8</f>
        <v>0</v>
      </c>
      <c r="AF8" s="18" t="n">
        <f aca="false">$E8*INDEX(Escenarios!$L$12:$L$36,MATCH($A8,Escenarios!$A$12:$A$36,0))*I8</f>
        <v>0</v>
      </c>
      <c r="AG8" s="20" t="n">
        <f aca="false">SUM(AC8:AF8)</f>
        <v>148179.675</v>
      </c>
    </row>
    <row r="9" customFormat="false" ht="15" hidden="false" customHeight="false" outlineLevel="0" collapsed="false">
      <c r="A9" s="3" t="s">
        <v>23</v>
      </c>
      <c r="B9" s="16" t="s">
        <v>24</v>
      </c>
      <c r="C9" s="17" t="str">
        <f aca="false">INDEX(Escenarios!$D$12:$D$36,MATCH($A9,Escenarios!$A$12:$A$36,0))</f>
        <v>INVAP</v>
      </c>
      <c r="D9" s="18" t="n">
        <f aca="false">SUMIFS(Datos!$H$5:$H$291,Datos!$E$5:$E$291,$A9,Datos!$F$5:$F$291,"S1")</f>
        <v>345</v>
      </c>
      <c r="E9" s="18" t="n">
        <f aca="false">SUMIFS(Datos!$J$5:$J$291,Datos!$E$5:$E$291,$A9,Datos!$F$5:$F$291,"S1")</f>
        <v>78836.1</v>
      </c>
      <c r="F9" s="19" t="n">
        <f aca="false">INDEX(Escenarios!$E$12:$E$36,MATCH($A9,Escenarios!$A$12:$A$36,0))</f>
        <v>0</v>
      </c>
      <c r="G9" s="19" t="n">
        <f aca="false">INDEX(Escenarios!$F$12:$F$36,MATCH($A9,Escenarios!$A$12:$A$36,0))</f>
        <v>0</v>
      </c>
      <c r="H9" s="19" t="n">
        <f aca="false">INDEX(Escenarios!$G$12:$G$36,MATCH($A9,Escenarios!$A$12:$A$36,0))</f>
        <v>0</v>
      </c>
      <c r="I9" s="19" t="n">
        <f aca="false">INDEX(Escenarios!$H$12:$H$36,MATCH($A9,Escenarios!$A$12:$A$36,0))</f>
        <v>1</v>
      </c>
      <c r="J9" s="18" t="n">
        <f aca="false">IF(INDEX(Escenarios!$I$12:$I$36,MATCH($A9,Escenarios!$A$12:$A$36,0))&gt;0,$D9,0)</f>
        <v>345</v>
      </c>
      <c r="K9" s="18" t="n">
        <f aca="false">$E9*INDEX(Escenarios!$I$12:$I$36,MATCH($A9,Escenarios!$A$12:$A$36,0))*F9</f>
        <v>0</v>
      </c>
      <c r="L9" s="18" t="n">
        <f aca="false">$E9*INDEX(Escenarios!$I$12:$I$36,MATCH($A9,Escenarios!$A$12:$A$36,0))*G9</f>
        <v>0</v>
      </c>
      <c r="M9" s="18" t="n">
        <f aca="false">$E9*INDEX(Escenarios!$I$12:$I$36,MATCH($A9,Escenarios!$A$12:$A$36,0))*H9</f>
        <v>0</v>
      </c>
      <c r="N9" s="18" t="n">
        <f aca="false">$E9*INDEX(Escenarios!$I$12:$I$36,MATCH($A9,Escenarios!$A$12:$A$36,0))*I9</f>
        <v>78836.1</v>
      </c>
      <c r="O9" s="20" t="n">
        <f aca="false">SUM(K9:N9)</f>
        <v>78836.1</v>
      </c>
      <c r="P9" s="18" t="n">
        <f aca="false">IF(INDEX(Escenarios!$J$12:$J$36,MATCH($A9,Escenarios!$A$12:$A$36,0))&gt;0,$D9,0)</f>
        <v>345</v>
      </c>
      <c r="Q9" s="18" t="n">
        <f aca="false">$E9*INDEX(Escenarios!$J$12:$J$36,MATCH($A9,Escenarios!$A$12:$A$36,0))*F9</f>
        <v>0</v>
      </c>
      <c r="R9" s="18" t="n">
        <f aca="false">$E9*INDEX(Escenarios!$J$12:$J$36,MATCH($A9,Escenarios!$A$12:$A$36,0))*G9</f>
        <v>0</v>
      </c>
      <c r="S9" s="18" t="n">
        <f aca="false">$E9*INDEX(Escenarios!$J$12:$J$36,MATCH($A9,Escenarios!$A$12:$A$36,0))*H9</f>
        <v>0</v>
      </c>
      <c r="T9" s="18" t="n">
        <f aca="false">$E9*INDEX(Escenarios!$J$12:$J$36,MATCH($A9,Escenarios!$A$12:$A$36,0))*I9</f>
        <v>78836.1</v>
      </c>
      <c r="U9" s="20" t="n">
        <f aca="false">SUM(Q9:T9)</f>
        <v>78836.1</v>
      </c>
      <c r="V9" s="18" t="n">
        <f aca="false">IF(INDEX(Escenarios!$K$12:$K$36,MATCH($A9,Escenarios!$A$12:$A$36,0))&gt;0,$D9,0)</f>
        <v>345</v>
      </c>
      <c r="W9" s="18" t="n">
        <f aca="false">$E9*INDEX(Escenarios!$K$12:$K$36,MATCH($A9,Escenarios!$A$12:$A$36,0))*F9</f>
        <v>0</v>
      </c>
      <c r="X9" s="18" t="n">
        <f aca="false">$E9*INDEX(Escenarios!$K$12:$K$36,MATCH($A9,Escenarios!$A$12:$A$36,0))*G9</f>
        <v>0</v>
      </c>
      <c r="Y9" s="18" t="n">
        <f aca="false">$E9*INDEX(Escenarios!$K$12:$K$36,MATCH($A9,Escenarios!$A$12:$A$36,0))*H9</f>
        <v>0</v>
      </c>
      <c r="Z9" s="18" t="n">
        <f aca="false">$E9*INDEX(Escenarios!$K$12:$K$36,MATCH($A9,Escenarios!$A$12:$A$36,0))*I9</f>
        <v>78836.1</v>
      </c>
      <c r="AA9" s="20" t="n">
        <f aca="false">SUM(W9:Z9)</f>
        <v>78836.1</v>
      </c>
      <c r="AB9" s="18" t="n">
        <f aca="false">IF(INDEX(Escenarios!$L$12:$L$36,MATCH($A9,Escenarios!$A$12:$A$36,0))&gt;0,$D9,0)</f>
        <v>345</v>
      </c>
      <c r="AC9" s="18" t="n">
        <f aca="false">$E9*INDEX(Escenarios!$L$12:$L$36,MATCH($A9,Escenarios!$A$12:$A$36,0))*F9</f>
        <v>0</v>
      </c>
      <c r="AD9" s="18" t="n">
        <f aca="false">$E9*INDEX(Escenarios!$L$12:$L$36,MATCH($A9,Escenarios!$A$12:$A$36,0))*G9</f>
        <v>0</v>
      </c>
      <c r="AE9" s="18" t="n">
        <f aca="false">$E9*INDEX(Escenarios!$L$12:$L$36,MATCH($A9,Escenarios!$A$12:$A$36,0))*H9</f>
        <v>0</v>
      </c>
      <c r="AF9" s="18" t="n">
        <f aca="false">$E9*INDEX(Escenarios!$L$12:$L$36,MATCH($A9,Escenarios!$A$12:$A$36,0))*I9</f>
        <v>78836.1</v>
      </c>
      <c r="AG9" s="20" t="n">
        <f aca="false">SUM(AC9:AF9)</f>
        <v>78836.1</v>
      </c>
    </row>
    <row r="10" customFormat="false" ht="15" hidden="false" customHeight="false" outlineLevel="0" collapsed="false">
      <c r="A10" s="3" t="s">
        <v>25</v>
      </c>
      <c r="B10" s="16" t="s">
        <v>26</v>
      </c>
      <c r="C10" s="17" t="str">
        <f aca="false">INDEX(Escenarios!$D$12:$D$36,MATCH($A10,Escenarios!$A$12:$A$36,0))</f>
        <v>Plan Safe</v>
      </c>
      <c r="D10" s="18" t="n">
        <f aca="false">SUMIFS(Datos!$H$5:$H$291,Datos!$E$5:$E$291,$A10,Datos!$F$5:$F$291,"S1")</f>
        <v>270</v>
      </c>
      <c r="E10" s="18" t="n">
        <f aca="false">SUMIFS(Datos!$J$5:$J$291,Datos!$E$5:$E$291,$A10,Datos!$F$5:$F$291,"S1")</f>
        <v>62875.575</v>
      </c>
      <c r="F10" s="19" t="n">
        <f aca="false">INDEX(Escenarios!$E$12:$E$36,MATCH($A10,Escenarios!$A$12:$A$36,0))</f>
        <v>0</v>
      </c>
      <c r="G10" s="19" t="n">
        <f aca="false">INDEX(Escenarios!$F$12:$F$36,MATCH($A10,Escenarios!$A$12:$A$36,0))</f>
        <v>1</v>
      </c>
      <c r="H10" s="19" t="n">
        <f aca="false">INDEX(Escenarios!$G$12:$G$36,MATCH($A10,Escenarios!$A$12:$A$36,0))</f>
        <v>0</v>
      </c>
      <c r="I10" s="19" t="n">
        <f aca="false">INDEX(Escenarios!$H$12:$H$36,MATCH($A10,Escenarios!$A$12:$A$36,0))</f>
        <v>0</v>
      </c>
      <c r="J10" s="18" t="n">
        <f aca="false">IF(INDEX(Escenarios!$I$12:$I$36,MATCH($A10,Escenarios!$A$12:$A$36,0))&gt;0,$D10,0)</f>
        <v>270</v>
      </c>
      <c r="K10" s="18" t="n">
        <f aca="false">$E10*INDEX(Escenarios!$I$12:$I$36,MATCH($A10,Escenarios!$A$12:$A$36,0))*F10</f>
        <v>0</v>
      </c>
      <c r="L10" s="18" t="n">
        <f aca="false">$E10*INDEX(Escenarios!$I$12:$I$36,MATCH($A10,Escenarios!$A$12:$A$36,0))*G10</f>
        <v>62875.575</v>
      </c>
      <c r="M10" s="18" t="n">
        <f aca="false">$E10*INDEX(Escenarios!$I$12:$I$36,MATCH($A10,Escenarios!$A$12:$A$36,0))*H10</f>
        <v>0</v>
      </c>
      <c r="N10" s="18" t="n">
        <f aca="false">$E10*INDEX(Escenarios!$I$12:$I$36,MATCH($A10,Escenarios!$A$12:$A$36,0))*I10</f>
        <v>0</v>
      </c>
      <c r="O10" s="20" t="n">
        <f aca="false">SUM(K10:N10)</f>
        <v>62875.575</v>
      </c>
      <c r="P10" s="18" t="n">
        <f aca="false">IF(INDEX(Escenarios!$J$12:$J$36,MATCH($A10,Escenarios!$A$12:$A$36,0))&gt;0,$D10,0)</f>
        <v>0</v>
      </c>
      <c r="Q10" s="18" t="n">
        <f aca="false">$E10*INDEX(Escenarios!$J$12:$J$36,MATCH($A10,Escenarios!$A$12:$A$36,0))*F10</f>
        <v>0</v>
      </c>
      <c r="R10" s="18" t="n">
        <f aca="false">$E10*INDEX(Escenarios!$J$12:$J$36,MATCH($A10,Escenarios!$A$12:$A$36,0))*G10</f>
        <v>0</v>
      </c>
      <c r="S10" s="18" t="n">
        <f aca="false">$E10*INDEX(Escenarios!$J$12:$J$36,MATCH($A10,Escenarios!$A$12:$A$36,0))*H10</f>
        <v>0</v>
      </c>
      <c r="T10" s="18" t="n">
        <f aca="false">$E10*INDEX(Escenarios!$J$12:$J$36,MATCH($A10,Escenarios!$A$12:$A$36,0))*I10</f>
        <v>0</v>
      </c>
      <c r="U10" s="20" t="n">
        <f aca="false">SUM(Q10:T10)</f>
        <v>0</v>
      </c>
      <c r="V10" s="18" t="n">
        <f aca="false">IF(INDEX(Escenarios!$K$12:$K$36,MATCH($A10,Escenarios!$A$12:$A$36,0))&gt;0,$D10,0)</f>
        <v>0</v>
      </c>
      <c r="W10" s="18" t="n">
        <f aca="false">$E10*INDEX(Escenarios!$K$12:$K$36,MATCH($A10,Escenarios!$A$12:$A$36,0))*F10</f>
        <v>0</v>
      </c>
      <c r="X10" s="18" t="n">
        <f aca="false">$E10*INDEX(Escenarios!$K$12:$K$36,MATCH($A10,Escenarios!$A$12:$A$36,0))*G10</f>
        <v>0</v>
      </c>
      <c r="Y10" s="18" t="n">
        <f aca="false">$E10*INDEX(Escenarios!$K$12:$K$36,MATCH($A10,Escenarios!$A$12:$A$36,0))*H10</f>
        <v>0</v>
      </c>
      <c r="Z10" s="18" t="n">
        <f aca="false">$E10*INDEX(Escenarios!$K$12:$K$36,MATCH($A10,Escenarios!$A$12:$A$36,0))*I10</f>
        <v>0</v>
      </c>
      <c r="AA10" s="20" t="n">
        <f aca="false">SUM(W10:Z10)</f>
        <v>0</v>
      </c>
      <c r="AB10" s="18" t="n">
        <f aca="false">IF(INDEX(Escenarios!$L$12:$L$36,MATCH($A10,Escenarios!$A$12:$A$36,0))&gt;0,$D10,0)</f>
        <v>270</v>
      </c>
      <c r="AC10" s="18" t="n">
        <f aca="false">$E10*INDEX(Escenarios!$L$12:$L$36,MATCH($A10,Escenarios!$A$12:$A$36,0))*F10</f>
        <v>0</v>
      </c>
      <c r="AD10" s="18" t="n">
        <f aca="false">$E10*INDEX(Escenarios!$L$12:$L$36,MATCH($A10,Escenarios!$A$12:$A$36,0))*G10</f>
        <v>31437.7875</v>
      </c>
      <c r="AE10" s="18" t="n">
        <f aca="false">$E10*INDEX(Escenarios!$L$12:$L$36,MATCH($A10,Escenarios!$A$12:$A$36,0))*H10</f>
        <v>0</v>
      </c>
      <c r="AF10" s="18" t="n">
        <f aca="false">$E10*INDEX(Escenarios!$L$12:$L$36,MATCH($A10,Escenarios!$A$12:$A$36,0))*I10</f>
        <v>0</v>
      </c>
      <c r="AG10" s="20" t="n">
        <f aca="false">SUM(AC10:AF10)</f>
        <v>31437.7875</v>
      </c>
    </row>
    <row r="11" customFormat="false" ht="15" hidden="false" customHeight="false" outlineLevel="0" collapsed="false">
      <c r="A11" s="3" t="s">
        <v>27</v>
      </c>
      <c r="B11" s="16" t="s">
        <v>28</v>
      </c>
      <c r="C11" s="17" t="str">
        <f aca="false">INDEX(Escenarios!$D$12:$D$36,MATCH($A11,Escenarios!$A$12:$A$36,0))</f>
        <v>Plan Safe</v>
      </c>
      <c r="D11" s="18" t="n">
        <f aca="false">SUMIFS(Datos!$H$5:$H$291,Datos!$E$5:$E$291,$A11,Datos!$F$5:$F$291,"S1")</f>
        <v>195</v>
      </c>
      <c r="E11" s="18" t="n">
        <f aca="false">SUMIFS(Datos!$J$5:$J$291,Datos!$E$5:$E$291,$A11,Datos!$F$5:$F$291,"S1")</f>
        <v>45191.475</v>
      </c>
      <c r="F11" s="19" t="n">
        <f aca="false">INDEX(Escenarios!$E$12:$E$36,MATCH($A11,Escenarios!$A$12:$A$36,0))</f>
        <v>0</v>
      </c>
      <c r="G11" s="19" t="n">
        <f aca="false">INDEX(Escenarios!$F$12:$F$36,MATCH($A11,Escenarios!$A$12:$A$36,0))</f>
        <v>1</v>
      </c>
      <c r="H11" s="19" t="n">
        <f aca="false">INDEX(Escenarios!$G$12:$G$36,MATCH($A11,Escenarios!$A$12:$A$36,0))</f>
        <v>0</v>
      </c>
      <c r="I11" s="19" t="n">
        <f aca="false">INDEX(Escenarios!$H$12:$H$36,MATCH($A11,Escenarios!$A$12:$A$36,0))</f>
        <v>0</v>
      </c>
      <c r="J11" s="18" t="n">
        <f aca="false">IF(INDEX(Escenarios!$I$12:$I$36,MATCH($A11,Escenarios!$A$12:$A$36,0))&gt;0,$D11,0)</f>
        <v>195</v>
      </c>
      <c r="K11" s="18" t="n">
        <f aca="false">$E11*INDEX(Escenarios!$I$12:$I$36,MATCH($A11,Escenarios!$A$12:$A$36,0))*F11</f>
        <v>0</v>
      </c>
      <c r="L11" s="18" t="n">
        <f aca="false">$E11*INDEX(Escenarios!$I$12:$I$36,MATCH($A11,Escenarios!$A$12:$A$36,0))*G11</f>
        <v>45191.475</v>
      </c>
      <c r="M11" s="18" t="n">
        <f aca="false">$E11*INDEX(Escenarios!$I$12:$I$36,MATCH($A11,Escenarios!$A$12:$A$36,0))*H11</f>
        <v>0</v>
      </c>
      <c r="N11" s="18" t="n">
        <f aca="false">$E11*INDEX(Escenarios!$I$12:$I$36,MATCH($A11,Escenarios!$A$12:$A$36,0))*I11</f>
        <v>0</v>
      </c>
      <c r="O11" s="20" t="n">
        <f aca="false">SUM(K11:N11)</f>
        <v>45191.475</v>
      </c>
      <c r="P11" s="18" t="n">
        <f aca="false">IF(INDEX(Escenarios!$J$12:$J$36,MATCH($A11,Escenarios!$A$12:$A$36,0))&gt;0,$D11,0)</f>
        <v>0</v>
      </c>
      <c r="Q11" s="18" t="n">
        <f aca="false">$E11*INDEX(Escenarios!$J$12:$J$36,MATCH($A11,Escenarios!$A$12:$A$36,0))*F11</f>
        <v>0</v>
      </c>
      <c r="R11" s="18" t="n">
        <f aca="false">$E11*INDEX(Escenarios!$J$12:$J$36,MATCH($A11,Escenarios!$A$12:$A$36,0))*G11</f>
        <v>0</v>
      </c>
      <c r="S11" s="18" t="n">
        <f aca="false">$E11*INDEX(Escenarios!$J$12:$J$36,MATCH($A11,Escenarios!$A$12:$A$36,0))*H11</f>
        <v>0</v>
      </c>
      <c r="T11" s="18" t="n">
        <f aca="false">$E11*INDEX(Escenarios!$J$12:$J$36,MATCH($A11,Escenarios!$A$12:$A$36,0))*I11</f>
        <v>0</v>
      </c>
      <c r="U11" s="20" t="n">
        <f aca="false">SUM(Q11:T11)</f>
        <v>0</v>
      </c>
      <c r="V11" s="18" t="n">
        <f aca="false">IF(INDEX(Escenarios!$K$12:$K$36,MATCH($A11,Escenarios!$A$12:$A$36,0))&gt;0,$D11,0)</f>
        <v>0</v>
      </c>
      <c r="W11" s="18" t="n">
        <f aca="false">$E11*INDEX(Escenarios!$K$12:$K$36,MATCH($A11,Escenarios!$A$12:$A$36,0))*F11</f>
        <v>0</v>
      </c>
      <c r="X11" s="18" t="n">
        <f aca="false">$E11*INDEX(Escenarios!$K$12:$K$36,MATCH($A11,Escenarios!$A$12:$A$36,0))*G11</f>
        <v>0</v>
      </c>
      <c r="Y11" s="18" t="n">
        <f aca="false">$E11*INDEX(Escenarios!$K$12:$K$36,MATCH($A11,Escenarios!$A$12:$A$36,0))*H11</f>
        <v>0</v>
      </c>
      <c r="Z11" s="18" t="n">
        <f aca="false">$E11*INDEX(Escenarios!$K$12:$K$36,MATCH($A11,Escenarios!$A$12:$A$36,0))*I11</f>
        <v>0</v>
      </c>
      <c r="AA11" s="20" t="n">
        <f aca="false">SUM(W11:Z11)</f>
        <v>0</v>
      </c>
      <c r="AB11" s="18" t="n">
        <f aca="false">IF(INDEX(Escenarios!$L$12:$L$36,MATCH($A11,Escenarios!$A$12:$A$36,0))&gt;0,$D11,0)</f>
        <v>195</v>
      </c>
      <c r="AC11" s="18" t="n">
        <f aca="false">$E11*INDEX(Escenarios!$L$12:$L$36,MATCH($A11,Escenarios!$A$12:$A$36,0))*F11</f>
        <v>0</v>
      </c>
      <c r="AD11" s="18" t="n">
        <f aca="false">$E11*INDEX(Escenarios!$L$12:$L$36,MATCH($A11,Escenarios!$A$12:$A$36,0))*G11</f>
        <v>22595.7375</v>
      </c>
      <c r="AE11" s="18" t="n">
        <f aca="false">$E11*INDEX(Escenarios!$L$12:$L$36,MATCH($A11,Escenarios!$A$12:$A$36,0))*H11</f>
        <v>0</v>
      </c>
      <c r="AF11" s="18" t="n">
        <f aca="false">$E11*INDEX(Escenarios!$L$12:$L$36,MATCH($A11,Escenarios!$A$12:$A$36,0))*I11</f>
        <v>0</v>
      </c>
      <c r="AG11" s="20" t="n">
        <f aca="false">SUM(AC11:AF11)</f>
        <v>22595.7375</v>
      </c>
    </row>
    <row r="12" customFormat="false" ht="15" hidden="false" customHeight="false" outlineLevel="0" collapsed="false">
      <c r="A12" s="21"/>
      <c r="B12" s="22" t="s">
        <v>29</v>
      </c>
      <c r="C12" s="21"/>
      <c r="D12" s="23" t="n">
        <f aca="false">SUM(D8:D11)</f>
        <v>1435</v>
      </c>
      <c r="E12" s="23" t="n">
        <f aca="false">SUM(E8:E11)</f>
        <v>335082.825</v>
      </c>
      <c r="F12" s="21"/>
      <c r="G12" s="21"/>
      <c r="H12" s="21"/>
      <c r="I12" s="21"/>
      <c r="J12" s="23" t="n">
        <f aca="false">SUM(J8:J11)</f>
        <v>1435</v>
      </c>
      <c r="K12" s="23" t="n">
        <f aca="false">SUM(K8:K11)</f>
        <v>133361.7075</v>
      </c>
      <c r="L12" s="23" t="n">
        <f aca="false">SUM(L8:L11)</f>
        <v>122885.0175</v>
      </c>
      <c r="M12" s="23" t="n">
        <f aca="false">SUM(M8:M11)</f>
        <v>0</v>
      </c>
      <c r="N12" s="23" t="n">
        <f aca="false">SUM(N8:N11)</f>
        <v>78836.1</v>
      </c>
      <c r="O12" s="23" t="n">
        <f aca="false">SUM(O8:O11)</f>
        <v>335082.825</v>
      </c>
      <c r="P12" s="23" t="n">
        <f aca="false">SUM(P8:P11)</f>
        <v>970</v>
      </c>
      <c r="Q12" s="23" t="n">
        <f aca="false">SUM(Q8:Q11)</f>
        <v>133361.7075</v>
      </c>
      <c r="R12" s="23" t="n">
        <f aca="false">SUM(R8:R11)</f>
        <v>14817.9675</v>
      </c>
      <c r="S12" s="23" t="n">
        <f aca="false">SUM(S8:S11)</f>
        <v>0</v>
      </c>
      <c r="T12" s="23" t="n">
        <f aca="false">SUM(T8:T11)</f>
        <v>78836.1</v>
      </c>
      <c r="U12" s="23" t="n">
        <f aca="false">SUM(U8:U11)</f>
        <v>227015.775</v>
      </c>
      <c r="V12" s="23" t="n">
        <f aca="false">SUM(V8:V11)</f>
        <v>970</v>
      </c>
      <c r="W12" s="23" t="n">
        <f aca="false">SUM(W8:W11)</f>
        <v>133361.7075</v>
      </c>
      <c r="X12" s="23" t="n">
        <f aca="false">SUM(X8:X11)</f>
        <v>14817.9675</v>
      </c>
      <c r="Y12" s="23" t="n">
        <f aca="false">SUM(Y8:Y11)</f>
        <v>0</v>
      </c>
      <c r="Z12" s="23" t="n">
        <f aca="false">SUM(Z8:Z11)</f>
        <v>78836.1</v>
      </c>
      <c r="AA12" s="23" t="n">
        <f aca="false">SUM(AA8:AA11)</f>
        <v>227015.775</v>
      </c>
      <c r="AB12" s="23" t="n">
        <f aca="false">SUM(AB8:AB11)</f>
        <v>1435</v>
      </c>
      <c r="AC12" s="23" t="n">
        <f aca="false">SUM(AC8:AC11)</f>
        <v>133361.7075</v>
      </c>
      <c r="AD12" s="23" t="n">
        <f aca="false">SUM(AD8:AD11)</f>
        <v>68851.4925</v>
      </c>
      <c r="AE12" s="23" t="n">
        <f aca="false">SUM(AE8:AE11)</f>
        <v>0</v>
      </c>
      <c r="AF12" s="23" t="n">
        <f aca="false">SUM(AF8:AF11)</f>
        <v>78836.1</v>
      </c>
      <c r="AG12" s="23" t="n">
        <f aca="false">SUM(AG8:AG11)</f>
        <v>281049.3</v>
      </c>
    </row>
    <row r="13" customFormat="false" ht="15" hidden="false" customHeight="false" outlineLevel="0" collapsed="false">
      <c r="B13" s="24" t="str">
        <f aca="false">"Reducción de precio del Stage 1 ("&amp;TEXT(Resumen!$C$5,"0.0%")&amp;", absorbe "&amp;Resumen!$C$6&amp;")"</f>
        <v>Reducción de precio del Stage 1 (0.0%, absorbe IDOM)</v>
      </c>
      <c r="K13" s="25" t="n">
        <f aca="false">-Resumen!$C$5*IF(Resumen!$C$6="IDOM",O12,K12)</f>
        <v>-0</v>
      </c>
      <c r="L13" s="25" t="n">
        <f aca="false">-Resumen!$C$5*IF(Resumen!$C$6="IDOM",0,L12)</f>
        <v>-0</v>
      </c>
      <c r="M13" s="25" t="n">
        <f aca="false">-Resumen!$C$5*IF(Resumen!$C$6="IDOM",0,M12)</f>
        <v>-0</v>
      </c>
      <c r="N13" s="25" t="n">
        <f aca="false">-Resumen!$C$5*IF(Resumen!$C$6="IDOM",0,N12)</f>
        <v>-0</v>
      </c>
      <c r="O13" s="25" t="n">
        <f aca="false">SUM(K13:N13)</f>
        <v>0</v>
      </c>
      <c r="Q13" s="25" t="n">
        <f aca="false">-Resumen!$C$5*IF(Resumen!$C$6="IDOM",U12,Q12)</f>
        <v>-0</v>
      </c>
      <c r="R13" s="25" t="n">
        <f aca="false">-Resumen!$C$5*IF(Resumen!$C$6="IDOM",0,R12)</f>
        <v>-0</v>
      </c>
      <c r="S13" s="25" t="n">
        <f aca="false">-Resumen!$C$5*IF(Resumen!$C$6="IDOM",0,S12)</f>
        <v>-0</v>
      </c>
      <c r="T13" s="25" t="n">
        <f aca="false">-Resumen!$C$5*IF(Resumen!$C$6="IDOM",0,T12)</f>
        <v>-0</v>
      </c>
      <c r="U13" s="25" t="n">
        <f aca="false">SUM(Q13:T13)</f>
        <v>0</v>
      </c>
      <c r="W13" s="25" t="n">
        <f aca="false">-Resumen!$C$5*IF(Resumen!$C$6="IDOM",AA12,W12)</f>
        <v>-0</v>
      </c>
      <c r="X13" s="25" t="n">
        <f aca="false">-Resumen!$C$5*IF(Resumen!$C$6="IDOM",0,X12)</f>
        <v>-0</v>
      </c>
      <c r="Y13" s="25" t="n">
        <f aca="false">-Resumen!$C$5*IF(Resumen!$C$6="IDOM",0,Y12)</f>
        <v>-0</v>
      </c>
      <c r="Z13" s="25" t="n">
        <f aca="false">-Resumen!$C$5*IF(Resumen!$C$6="IDOM",0,Z12)</f>
        <v>-0</v>
      </c>
      <c r="AA13" s="25" t="n">
        <f aca="false">SUM(W13:Z13)</f>
        <v>0</v>
      </c>
      <c r="AC13" s="25" t="n">
        <f aca="false">-Resumen!$C$5*IF(Resumen!$C$6="IDOM",AG12,AC12)</f>
        <v>-0</v>
      </c>
      <c r="AD13" s="25" t="n">
        <f aca="false">-Resumen!$C$5*IF(Resumen!$C$6="IDOM",0,AD12)</f>
        <v>-0</v>
      </c>
      <c r="AE13" s="25" t="n">
        <f aca="false">-Resumen!$C$5*IF(Resumen!$C$6="IDOM",0,AE12)</f>
        <v>-0</v>
      </c>
      <c r="AF13" s="25" t="n">
        <f aca="false">-Resumen!$C$5*IF(Resumen!$C$6="IDOM",0,AF12)</f>
        <v>-0</v>
      </c>
      <c r="AG13" s="25" t="n">
        <f aca="false">SUM(AC13:AF13)</f>
        <v>0</v>
      </c>
    </row>
    <row r="14" customFormat="false" ht="15" hidden="false" customHeight="false" outlineLevel="0" collapsed="false">
      <c r="A14" s="26"/>
      <c r="B14" s="27" t="s">
        <v>30</v>
      </c>
      <c r="C14" s="26"/>
      <c r="D14" s="28" t="n">
        <f aca="false">D12</f>
        <v>1435</v>
      </c>
      <c r="E14" s="28" t="n">
        <f aca="false">E12</f>
        <v>335082.825</v>
      </c>
      <c r="F14" s="26"/>
      <c r="G14" s="26"/>
      <c r="H14" s="26"/>
      <c r="I14" s="26"/>
      <c r="J14" s="28" t="n">
        <f aca="false">J12</f>
        <v>1435</v>
      </c>
      <c r="K14" s="28" t="n">
        <f aca="false">K12+K13</f>
        <v>133361.7075</v>
      </c>
      <c r="L14" s="28" t="n">
        <f aca="false">L12+L13</f>
        <v>122885.0175</v>
      </c>
      <c r="M14" s="28" t="n">
        <f aca="false">M12+M13</f>
        <v>0</v>
      </c>
      <c r="N14" s="28" t="n">
        <f aca="false">N12+N13</f>
        <v>78836.1</v>
      </c>
      <c r="O14" s="28" t="n">
        <f aca="false">O12+O13</f>
        <v>335082.825</v>
      </c>
      <c r="P14" s="28" t="n">
        <f aca="false">P12</f>
        <v>970</v>
      </c>
      <c r="Q14" s="28" t="n">
        <f aca="false">Q12+Q13</f>
        <v>133361.7075</v>
      </c>
      <c r="R14" s="28" t="n">
        <f aca="false">R12+R13</f>
        <v>14817.9675</v>
      </c>
      <c r="S14" s="28" t="n">
        <f aca="false">S12+S13</f>
        <v>0</v>
      </c>
      <c r="T14" s="28" t="n">
        <f aca="false">T12+T13</f>
        <v>78836.1</v>
      </c>
      <c r="U14" s="28" t="n">
        <f aca="false">U12+U13</f>
        <v>227015.775</v>
      </c>
      <c r="V14" s="28" t="n">
        <f aca="false">V12</f>
        <v>970</v>
      </c>
      <c r="W14" s="28" t="n">
        <f aca="false">W12+W13</f>
        <v>133361.7075</v>
      </c>
      <c r="X14" s="28" t="n">
        <f aca="false">X12+X13</f>
        <v>14817.9675</v>
      </c>
      <c r="Y14" s="28" t="n">
        <f aca="false">Y12+Y13</f>
        <v>0</v>
      </c>
      <c r="Z14" s="28" t="n">
        <f aca="false">Z12+Z13</f>
        <v>78836.1</v>
      </c>
      <c r="AA14" s="28" t="n">
        <f aca="false">AA12+AA13</f>
        <v>227015.775</v>
      </c>
      <c r="AB14" s="28" t="n">
        <f aca="false">AB12</f>
        <v>1435</v>
      </c>
      <c r="AC14" s="28" t="n">
        <f aca="false">AC12+AC13</f>
        <v>133361.7075</v>
      </c>
      <c r="AD14" s="28" t="n">
        <f aca="false">AD12+AD13</f>
        <v>68851.4925</v>
      </c>
      <c r="AE14" s="28" t="n">
        <f aca="false">AE12+AE13</f>
        <v>0</v>
      </c>
      <c r="AF14" s="28" t="n">
        <f aca="false">AF12+AF13</f>
        <v>78836.1</v>
      </c>
      <c r="AG14" s="28" t="n">
        <f aca="false">AG12+AG13</f>
        <v>281049.3</v>
      </c>
    </row>
    <row r="16" customFormat="false" ht="15" hidden="false" customHeight="false" outlineLevel="0" collapsed="false">
      <c r="B16" s="2" t="s">
        <v>31</v>
      </c>
      <c r="E16" s="29" t="n">
        <f aca="false">SUM(F16:I16)</f>
        <v>335082.825</v>
      </c>
      <c r="F16" s="29" t="n">
        <f aca="false">SUMPRODUCT($E$8:$E$11,F$8:F$11)</f>
        <v>133361.7075</v>
      </c>
      <c r="G16" s="29" t="n">
        <f aca="false">SUMPRODUCT($E$8:$E$11,G$8:G$11)</f>
        <v>122885.0175</v>
      </c>
      <c r="H16" s="29" t="n">
        <f aca="false">SUMPRODUCT($E$8:$E$11,H$8:H$11)</f>
        <v>0</v>
      </c>
      <c r="I16" s="29" t="n">
        <f aca="false">SUMPRODUCT($E$8:$E$11,I$8:I$11)</f>
        <v>78836.1</v>
      </c>
    </row>
  </sheetData>
  <mergeCells count="6">
    <mergeCell ref="A6:E6"/>
    <mergeCell ref="F6:I6"/>
    <mergeCell ref="J6:O6"/>
    <mergeCell ref="P6:U6"/>
    <mergeCell ref="V6:AA6"/>
    <mergeCell ref="AB6:AG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AG2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7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7"/>
    <col collapsed="false" customWidth="true" hidden="false" outlineLevel="0" max="10" min="10" style="0" width="8"/>
    <col collapsed="false" customWidth="true" hidden="false" outlineLevel="0" max="15" min="11" style="0" width="11"/>
    <col collapsed="false" customWidth="true" hidden="false" outlineLevel="0" max="16" min="16" style="0" width="8"/>
    <col collapsed="false" customWidth="true" hidden="false" outlineLevel="0" max="21" min="17" style="0" width="11"/>
    <col collapsed="false" customWidth="true" hidden="false" outlineLevel="0" max="22" min="22" style="0" width="8"/>
    <col collapsed="false" customWidth="true" hidden="false" outlineLevel="0" max="27" min="23" style="0" width="11"/>
    <col collapsed="false" customWidth="true" hidden="false" outlineLevel="0" max="28" min="28" style="0" width="8"/>
    <col collapsed="false" customWidth="true" hidden="false" outlineLevel="0" max="33" min="29" style="0" width="11"/>
  </cols>
  <sheetData>
    <row r="1" customFormat="false" ht="1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33</v>
      </c>
      <c r="C4" s="30" t="s">
        <v>34</v>
      </c>
      <c r="D4" s="19" t="n">
        <f aca="false">Escenarios!$B$8</f>
        <v>0.35</v>
      </c>
      <c r="E4" s="2" t="s">
        <v>35</v>
      </c>
    </row>
    <row r="6" customFormat="false" ht="15" hidden="false" customHeight="false" outlineLevel="0" collapsed="false">
      <c r="A6" s="6" t="s">
        <v>4</v>
      </c>
      <c r="B6" s="6"/>
      <c r="C6" s="6"/>
      <c r="D6" s="6"/>
      <c r="E6" s="6"/>
      <c r="F6" s="6" t="s">
        <v>5</v>
      </c>
      <c r="G6" s="6"/>
      <c r="H6" s="6"/>
      <c r="I6" s="6"/>
      <c r="J6" s="6" t="str">
        <f aca="false">Escenarios!I$10&amp;" · "&amp;Escenarios!I$11</f>
        <v>Escenario 1 · Original</v>
      </c>
      <c r="K6" s="6"/>
      <c r="L6" s="6"/>
      <c r="M6" s="6"/>
      <c r="N6" s="6"/>
      <c r="O6" s="6"/>
      <c r="P6" s="7" t="str">
        <f aca="false">Escenarios!J$10&amp;" · "&amp;Escenarios!J$11</f>
        <v>Escenario 2 · Sin las 4 tareas de Plan Safe</v>
      </c>
      <c r="Q6" s="7"/>
      <c r="R6" s="7"/>
      <c r="S6" s="7"/>
      <c r="T6" s="7"/>
      <c r="U6" s="7"/>
      <c r="V6" s="8" t="str">
        <f aca="false">Escenarios!K$10&amp;" · "&amp;Escenarios!K$11</f>
        <v>Escenario 3 · Sin tareas Plan Safe ni SSC</v>
      </c>
      <c r="W6" s="8"/>
      <c r="X6" s="8"/>
      <c r="Y6" s="8"/>
      <c r="Z6" s="8"/>
      <c r="AA6" s="8"/>
      <c r="AB6" s="9" t="str">
        <f aca="false">Escenarios!L$10&amp;" · "&amp;Escenarios!L$11</f>
        <v>Escenario 4 · Sin SSC, tareas Plan Safe al 50 %</v>
      </c>
      <c r="AC6" s="9"/>
      <c r="AD6" s="9"/>
      <c r="AE6" s="9"/>
      <c r="AF6" s="9"/>
      <c r="AG6" s="9"/>
    </row>
    <row r="7" customFormat="false" ht="30" hidden="false" customHeight="true" outlineLevel="0" collapsed="false">
      <c r="A7" s="10" t="s">
        <v>6</v>
      </c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12</v>
      </c>
      <c r="H7" s="10" t="s">
        <v>13</v>
      </c>
      <c r="I7" s="10" t="s">
        <v>14</v>
      </c>
      <c r="J7" s="11" t="s">
        <v>15</v>
      </c>
      <c r="K7" s="12" t="s">
        <v>16</v>
      </c>
      <c r="L7" s="13" t="s">
        <v>17</v>
      </c>
      <c r="M7" s="14" t="s">
        <v>18</v>
      </c>
      <c r="N7" s="15" t="s">
        <v>19</v>
      </c>
      <c r="O7" s="11" t="s">
        <v>20</v>
      </c>
      <c r="P7" s="11" t="s">
        <v>15</v>
      </c>
      <c r="Q7" s="12" t="s">
        <v>16</v>
      </c>
      <c r="R7" s="13" t="s">
        <v>17</v>
      </c>
      <c r="S7" s="14" t="s">
        <v>18</v>
      </c>
      <c r="T7" s="15" t="s">
        <v>19</v>
      </c>
      <c r="U7" s="11" t="s">
        <v>20</v>
      </c>
      <c r="V7" s="11" t="s">
        <v>15</v>
      </c>
      <c r="W7" s="12" t="s">
        <v>16</v>
      </c>
      <c r="X7" s="13" t="s">
        <v>17</v>
      </c>
      <c r="Y7" s="14" t="s">
        <v>18</v>
      </c>
      <c r="Z7" s="15" t="s">
        <v>19</v>
      </c>
      <c r="AA7" s="11" t="s">
        <v>20</v>
      </c>
      <c r="AB7" s="11" t="s">
        <v>15</v>
      </c>
      <c r="AC7" s="12" t="s">
        <v>16</v>
      </c>
      <c r="AD7" s="13" t="s">
        <v>17</v>
      </c>
      <c r="AE7" s="14" t="s">
        <v>18</v>
      </c>
      <c r="AF7" s="15" t="s">
        <v>19</v>
      </c>
      <c r="AG7" s="11" t="s">
        <v>20</v>
      </c>
    </row>
    <row r="8" customFormat="false" ht="15" hidden="false" customHeight="false" outlineLevel="0" collapsed="false">
      <c r="A8" s="3" t="s">
        <v>36</v>
      </c>
      <c r="B8" s="16" t="s">
        <v>37</v>
      </c>
      <c r="C8" s="17" t="str">
        <f aca="false">INDEX(Escenarios!$D$12:$D$36,MATCH($A8,Escenarios!$A$12:$A$36,0))</f>
        <v>IDOM</v>
      </c>
      <c r="D8" s="18" t="n">
        <f aca="false">SUMIFS(Datos!$H$5:$H$291,Datos!$E$5:$E$291,$A8,Datos!$F$5:$F$291,"S2")</f>
        <v>185</v>
      </c>
      <c r="E8" s="18" t="n">
        <f aca="false">SUMIFS(Datos!$J$5:$J$291,Datos!$E$5:$E$291,$A8,Datos!$F$5:$F$291,"S2")</f>
        <v>35206.5</v>
      </c>
      <c r="F8" s="19" t="n">
        <f aca="false">INDEX(Escenarios!$E$12:$E$36,MATCH($A8,Escenarios!$A$12:$A$36,0))</f>
        <v>1</v>
      </c>
      <c r="G8" s="19" t="n">
        <f aca="false">INDEX(Escenarios!$F$12:$F$36,MATCH($A8,Escenarios!$A$12:$A$36,0))</f>
        <v>0</v>
      </c>
      <c r="H8" s="19" t="n">
        <f aca="false">INDEX(Escenarios!$G$12:$G$36,MATCH($A8,Escenarios!$A$12:$A$36,0))</f>
        <v>0</v>
      </c>
      <c r="I8" s="19" t="n">
        <f aca="false">INDEX(Escenarios!$H$12:$H$36,MATCH($A8,Escenarios!$A$12:$A$36,0))</f>
        <v>0</v>
      </c>
      <c r="J8" s="18" t="n">
        <f aca="false">IF(INDEX(Escenarios!$I$12:$I$36,MATCH($A8,Escenarios!$A$12:$A$36,0))&gt;0,$D8,0)</f>
        <v>185</v>
      </c>
      <c r="K8" s="18" t="n">
        <f aca="false">$E8*INDEX(Escenarios!$I$12:$I$36,MATCH($A8,Escenarios!$A$12:$A$36,0))*F8</f>
        <v>35206.5</v>
      </c>
      <c r="L8" s="18" t="n">
        <f aca="false">$E8*INDEX(Escenarios!$I$12:$I$36,MATCH($A8,Escenarios!$A$12:$A$36,0))*G8</f>
        <v>0</v>
      </c>
      <c r="M8" s="18" t="n">
        <f aca="false">$E8*INDEX(Escenarios!$I$12:$I$36,MATCH($A8,Escenarios!$A$12:$A$36,0))*H8</f>
        <v>0</v>
      </c>
      <c r="N8" s="18" t="n">
        <f aca="false">$E8*INDEX(Escenarios!$I$12:$I$36,MATCH($A8,Escenarios!$A$12:$A$36,0))*I8</f>
        <v>0</v>
      </c>
      <c r="O8" s="20" t="n">
        <f aca="false">SUM(K8:N8)</f>
        <v>35206.5</v>
      </c>
      <c r="P8" s="18" t="n">
        <f aca="false">IF(INDEX(Escenarios!$J$12:$J$36,MATCH($A8,Escenarios!$A$12:$A$36,0))&gt;0,$D8,0)</f>
        <v>185</v>
      </c>
      <c r="Q8" s="18" t="n">
        <f aca="false">$E8*INDEX(Escenarios!$J$12:$J$36,MATCH($A8,Escenarios!$A$12:$A$36,0))*F8</f>
        <v>35206.5</v>
      </c>
      <c r="R8" s="18" t="n">
        <f aca="false">$E8*INDEX(Escenarios!$J$12:$J$36,MATCH($A8,Escenarios!$A$12:$A$36,0))*G8</f>
        <v>0</v>
      </c>
      <c r="S8" s="18" t="n">
        <f aca="false">$E8*INDEX(Escenarios!$J$12:$J$36,MATCH($A8,Escenarios!$A$12:$A$36,0))*H8</f>
        <v>0</v>
      </c>
      <c r="T8" s="18" t="n">
        <f aca="false">$E8*INDEX(Escenarios!$J$12:$J$36,MATCH($A8,Escenarios!$A$12:$A$36,0))*I8</f>
        <v>0</v>
      </c>
      <c r="U8" s="20" t="n">
        <f aca="false">SUM(Q8:T8)</f>
        <v>35206.5</v>
      </c>
      <c r="V8" s="18" t="n">
        <f aca="false">IF(INDEX(Escenarios!$K$12:$K$36,MATCH($A8,Escenarios!$A$12:$A$36,0))&gt;0,$D8,0)</f>
        <v>185</v>
      </c>
      <c r="W8" s="18" t="n">
        <f aca="false">$E8*INDEX(Escenarios!$K$12:$K$36,MATCH($A8,Escenarios!$A$12:$A$36,0))*F8</f>
        <v>35206.5</v>
      </c>
      <c r="X8" s="18" t="n">
        <f aca="false">$E8*INDEX(Escenarios!$K$12:$K$36,MATCH($A8,Escenarios!$A$12:$A$36,0))*G8</f>
        <v>0</v>
      </c>
      <c r="Y8" s="18" t="n">
        <f aca="false">$E8*INDEX(Escenarios!$K$12:$K$36,MATCH($A8,Escenarios!$A$12:$A$36,0))*H8</f>
        <v>0</v>
      </c>
      <c r="Z8" s="18" t="n">
        <f aca="false">$E8*INDEX(Escenarios!$K$12:$K$36,MATCH($A8,Escenarios!$A$12:$A$36,0))*I8</f>
        <v>0</v>
      </c>
      <c r="AA8" s="20" t="n">
        <f aca="false">SUM(W8:Z8)</f>
        <v>35206.5</v>
      </c>
      <c r="AB8" s="18" t="n">
        <f aca="false">IF(INDEX(Escenarios!$L$12:$L$36,MATCH($A8,Escenarios!$A$12:$A$36,0))&gt;0,$D8,0)</f>
        <v>185</v>
      </c>
      <c r="AC8" s="18" t="n">
        <f aca="false">$E8*INDEX(Escenarios!$L$12:$L$36,MATCH($A8,Escenarios!$A$12:$A$36,0))*F8</f>
        <v>35206.5</v>
      </c>
      <c r="AD8" s="18" t="n">
        <f aca="false">$E8*INDEX(Escenarios!$L$12:$L$36,MATCH($A8,Escenarios!$A$12:$A$36,0))*G8</f>
        <v>0</v>
      </c>
      <c r="AE8" s="18" t="n">
        <f aca="false">$E8*INDEX(Escenarios!$L$12:$L$36,MATCH($A8,Escenarios!$A$12:$A$36,0))*H8</f>
        <v>0</v>
      </c>
      <c r="AF8" s="18" t="n">
        <f aca="false">$E8*INDEX(Escenarios!$L$12:$L$36,MATCH($A8,Escenarios!$A$12:$A$36,0))*I8</f>
        <v>0</v>
      </c>
      <c r="AG8" s="20" t="n">
        <f aca="false">SUM(AC8:AF8)</f>
        <v>35206.5</v>
      </c>
    </row>
    <row r="9" customFormat="false" ht="15" hidden="false" customHeight="false" outlineLevel="0" collapsed="false">
      <c r="A9" s="3" t="s">
        <v>21</v>
      </c>
      <c r="B9" s="16" t="s">
        <v>22</v>
      </c>
      <c r="C9" s="17" t="str">
        <f aca="false">INDEX(Escenarios!$D$12:$D$36,MATCH($A9,Escenarios!$A$12:$A$36,0))</f>
        <v>Compartido</v>
      </c>
      <c r="D9" s="18" t="n">
        <f aca="false">SUMIFS(Datos!$H$5:$H$291,Datos!$E$5:$E$291,$A9,Datos!$F$5:$F$291,"S2")</f>
        <v>1200</v>
      </c>
      <c r="E9" s="18" t="n">
        <f aca="false">SUMIFS(Datos!$J$5:$J$291,Datos!$E$5:$E$291,$A9,Datos!$F$5:$F$291,"S2")</f>
        <v>284239.2</v>
      </c>
      <c r="F9" s="19" t="n">
        <f aca="false">INDEX(Escenarios!$E$12:$E$36,MATCH($A9,Escenarios!$A$12:$A$36,0))</f>
        <v>0.9</v>
      </c>
      <c r="G9" s="19" t="n">
        <f aca="false">INDEX(Escenarios!$F$12:$F$36,MATCH($A9,Escenarios!$A$12:$A$36,0))</f>
        <v>0.1</v>
      </c>
      <c r="H9" s="19" t="n">
        <f aca="false">INDEX(Escenarios!$G$12:$G$36,MATCH($A9,Escenarios!$A$12:$A$36,0))</f>
        <v>0</v>
      </c>
      <c r="I9" s="19" t="n">
        <f aca="false">INDEX(Escenarios!$H$12:$H$36,MATCH($A9,Escenarios!$A$12:$A$36,0))</f>
        <v>0</v>
      </c>
      <c r="J9" s="18" t="n">
        <f aca="false">IF(INDEX(Escenarios!$I$12:$I$36,MATCH($A9,Escenarios!$A$12:$A$36,0))&gt;0,$D9,0)</f>
        <v>1200</v>
      </c>
      <c r="K9" s="18" t="n">
        <f aca="false">$E9*INDEX(Escenarios!$I$12:$I$36,MATCH($A9,Escenarios!$A$12:$A$36,0))*F9</f>
        <v>255815.28</v>
      </c>
      <c r="L9" s="18" t="n">
        <f aca="false">$E9*INDEX(Escenarios!$I$12:$I$36,MATCH($A9,Escenarios!$A$12:$A$36,0))*G9</f>
        <v>28423.92</v>
      </c>
      <c r="M9" s="18" t="n">
        <f aca="false">$E9*INDEX(Escenarios!$I$12:$I$36,MATCH($A9,Escenarios!$A$12:$A$36,0))*H9</f>
        <v>0</v>
      </c>
      <c r="N9" s="18" t="n">
        <f aca="false">$E9*INDEX(Escenarios!$I$12:$I$36,MATCH($A9,Escenarios!$A$12:$A$36,0))*I9</f>
        <v>0</v>
      </c>
      <c r="O9" s="20" t="n">
        <f aca="false">SUM(K9:N9)</f>
        <v>284239.2</v>
      </c>
      <c r="P9" s="18" t="n">
        <f aca="false">IF(INDEX(Escenarios!$J$12:$J$36,MATCH($A9,Escenarios!$A$12:$A$36,0))&gt;0,$D9,0)</f>
        <v>1200</v>
      </c>
      <c r="Q9" s="18" t="n">
        <f aca="false">$E9*INDEX(Escenarios!$J$12:$J$36,MATCH($A9,Escenarios!$A$12:$A$36,0))*F9</f>
        <v>255815.28</v>
      </c>
      <c r="R9" s="18" t="n">
        <f aca="false">$E9*INDEX(Escenarios!$J$12:$J$36,MATCH($A9,Escenarios!$A$12:$A$36,0))*G9</f>
        <v>28423.92</v>
      </c>
      <c r="S9" s="18" t="n">
        <f aca="false">$E9*INDEX(Escenarios!$J$12:$J$36,MATCH($A9,Escenarios!$A$12:$A$36,0))*H9</f>
        <v>0</v>
      </c>
      <c r="T9" s="18" t="n">
        <f aca="false">$E9*INDEX(Escenarios!$J$12:$J$36,MATCH($A9,Escenarios!$A$12:$A$36,0))*I9</f>
        <v>0</v>
      </c>
      <c r="U9" s="20" t="n">
        <f aca="false">SUM(Q9:T9)</f>
        <v>284239.2</v>
      </c>
      <c r="V9" s="18" t="n">
        <f aca="false">IF(INDEX(Escenarios!$K$12:$K$36,MATCH($A9,Escenarios!$A$12:$A$36,0))&gt;0,$D9,0)</f>
        <v>1200</v>
      </c>
      <c r="W9" s="18" t="n">
        <f aca="false">$E9*INDEX(Escenarios!$K$12:$K$36,MATCH($A9,Escenarios!$A$12:$A$36,0))*F9</f>
        <v>255815.28</v>
      </c>
      <c r="X9" s="18" t="n">
        <f aca="false">$E9*INDEX(Escenarios!$K$12:$K$36,MATCH($A9,Escenarios!$A$12:$A$36,0))*G9</f>
        <v>28423.92</v>
      </c>
      <c r="Y9" s="18" t="n">
        <f aca="false">$E9*INDEX(Escenarios!$K$12:$K$36,MATCH($A9,Escenarios!$A$12:$A$36,0))*H9</f>
        <v>0</v>
      </c>
      <c r="Z9" s="18" t="n">
        <f aca="false">$E9*INDEX(Escenarios!$K$12:$K$36,MATCH($A9,Escenarios!$A$12:$A$36,0))*I9</f>
        <v>0</v>
      </c>
      <c r="AA9" s="20" t="n">
        <f aca="false">SUM(W9:Z9)</f>
        <v>284239.2</v>
      </c>
      <c r="AB9" s="18" t="n">
        <f aca="false">IF(INDEX(Escenarios!$L$12:$L$36,MATCH($A9,Escenarios!$A$12:$A$36,0))&gt;0,$D9,0)</f>
        <v>1200</v>
      </c>
      <c r="AC9" s="18" t="n">
        <f aca="false">$E9*INDEX(Escenarios!$L$12:$L$36,MATCH($A9,Escenarios!$A$12:$A$36,0))*F9</f>
        <v>255815.28</v>
      </c>
      <c r="AD9" s="18" t="n">
        <f aca="false">$E9*INDEX(Escenarios!$L$12:$L$36,MATCH($A9,Escenarios!$A$12:$A$36,0))*G9</f>
        <v>28423.92</v>
      </c>
      <c r="AE9" s="18" t="n">
        <f aca="false">$E9*INDEX(Escenarios!$L$12:$L$36,MATCH($A9,Escenarios!$A$12:$A$36,0))*H9</f>
        <v>0</v>
      </c>
      <c r="AF9" s="18" t="n">
        <f aca="false">$E9*INDEX(Escenarios!$L$12:$L$36,MATCH($A9,Escenarios!$A$12:$A$36,0))*I9</f>
        <v>0</v>
      </c>
      <c r="AG9" s="20" t="n">
        <f aca="false">SUM(AC9:AF9)</f>
        <v>284239.2</v>
      </c>
    </row>
    <row r="10" customFormat="false" ht="15" hidden="false" customHeight="false" outlineLevel="0" collapsed="false">
      <c r="A10" s="3" t="s">
        <v>38</v>
      </c>
      <c r="B10" s="16" t="s">
        <v>39</v>
      </c>
      <c r="C10" s="17" t="str">
        <f aca="false">INDEX(Escenarios!$D$12:$D$36,MATCH($A10,Escenarios!$A$12:$A$36,0))</f>
        <v>Compartido</v>
      </c>
      <c r="D10" s="18" t="n">
        <f aca="false">SUMIFS(Datos!$H$5:$H$291,Datos!$E$5:$E$291,$A10,Datos!$F$5:$F$291,"S2")</f>
        <v>385</v>
      </c>
      <c r="E10" s="18" t="n">
        <f aca="false">SUMIFS(Datos!$J$5:$J$291,Datos!$E$5:$E$291,$A10,Datos!$F$5:$F$291,"S2")</f>
        <v>90335.175</v>
      </c>
      <c r="F10" s="19" t="n">
        <f aca="false">INDEX(Escenarios!$E$12:$E$36,MATCH($A10,Escenarios!$A$12:$A$36,0))</f>
        <v>0.9</v>
      </c>
      <c r="G10" s="19" t="n">
        <f aca="false">INDEX(Escenarios!$F$12:$F$36,MATCH($A10,Escenarios!$A$12:$A$36,0))</f>
        <v>0.1</v>
      </c>
      <c r="H10" s="19" t="n">
        <f aca="false">INDEX(Escenarios!$G$12:$G$36,MATCH($A10,Escenarios!$A$12:$A$36,0))</f>
        <v>0</v>
      </c>
      <c r="I10" s="19" t="n">
        <f aca="false">INDEX(Escenarios!$H$12:$H$36,MATCH($A10,Escenarios!$A$12:$A$36,0))</f>
        <v>0</v>
      </c>
      <c r="J10" s="18" t="n">
        <f aca="false">IF(INDEX(Escenarios!$I$12:$I$36,MATCH($A10,Escenarios!$A$12:$A$36,0))&gt;0,$D10,0)</f>
        <v>385</v>
      </c>
      <c r="K10" s="18" t="n">
        <f aca="false">$E10*INDEX(Escenarios!$I$12:$I$36,MATCH($A10,Escenarios!$A$12:$A$36,0))*F10</f>
        <v>81301.6575</v>
      </c>
      <c r="L10" s="18" t="n">
        <f aca="false">$E10*INDEX(Escenarios!$I$12:$I$36,MATCH($A10,Escenarios!$A$12:$A$36,0))*G10</f>
        <v>9033.5175</v>
      </c>
      <c r="M10" s="18" t="n">
        <f aca="false">$E10*INDEX(Escenarios!$I$12:$I$36,MATCH($A10,Escenarios!$A$12:$A$36,0))*H10</f>
        <v>0</v>
      </c>
      <c r="N10" s="18" t="n">
        <f aca="false">$E10*INDEX(Escenarios!$I$12:$I$36,MATCH($A10,Escenarios!$A$12:$A$36,0))*I10</f>
        <v>0</v>
      </c>
      <c r="O10" s="20" t="n">
        <f aca="false">SUM(K10:N10)</f>
        <v>90335.175</v>
      </c>
      <c r="P10" s="18" t="n">
        <f aca="false">IF(INDEX(Escenarios!$J$12:$J$36,MATCH($A10,Escenarios!$A$12:$A$36,0))&gt;0,$D10,0)</f>
        <v>385</v>
      </c>
      <c r="Q10" s="18" t="n">
        <f aca="false">$E10*INDEX(Escenarios!$J$12:$J$36,MATCH($A10,Escenarios!$A$12:$A$36,0))*F10</f>
        <v>81301.6575</v>
      </c>
      <c r="R10" s="18" t="n">
        <f aca="false">$E10*INDEX(Escenarios!$J$12:$J$36,MATCH($A10,Escenarios!$A$12:$A$36,0))*G10</f>
        <v>9033.5175</v>
      </c>
      <c r="S10" s="18" t="n">
        <f aca="false">$E10*INDEX(Escenarios!$J$12:$J$36,MATCH($A10,Escenarios!$A$12:$A$36,0))*H10</f>
        <v>0</v>
      </c>
      <c r="T10" s="18" t="n">
        <f aca="false">$E10*INDEX(Escenarios!$J$12:$J$36,MATCH($A10,Escenarios!$A$12:$A$36,0))*I10</f>
        <v>0</v>
      </c>
      <c r="U10" s="20" t="n">
        <f aca="false">SUM(Q10:T10)</f>
        <v>90335.175</v>
      </c>
      <c r="V10" s="18" t="n">
        <f aca="false">IF(INDEX(Escenarios!$K$12:$K$36,MATCH($A10,Escenarios!$A$12:$A$36,0))&gt;0,$D10,0)</f>
        <v>385</v>
      </c>
      <c r="W10" s="18" t="n">
        <f aca="false">$E10*INDEX(Escenarios!$K$12:$K$36,MATCH($A10,Escenarios!$A$12:$A$36,0))*F10</f>
        <v>81301.6575</v>
      </c>
      <c r="X10" s="18" t="n">
        <f aca="false">$E10*INDEX(Escenarios!$K$12:$K$36,MATCH($A10,Escenarios!$A$12:$A$36,0))*G10</f>
        <v>9033.5175</v>
      </c>
      <c r="Y10" s="18" t="n">
        <f aca="false">$E10*INDEX(Escenarios!$K$12:$K$36,MATCH($A10,Escenarios!$A$12:$A$36,0))*H10</f>
        <v>0</v>
      </c>
      <c r="Z10" s="18" t="n">
        <f aca="false">$E10*INDEX(Escenarios!$K$12:$K$36,MATCH($A10,Escenarios!$A$12:$A$36,0))*I10</f>
        <v>0</v>
      </c>
      <c r="AA10" s="20" t="n">
        <f aca="false">SUM(W10:Z10)</f>
        <v>90335.175</v>
      </c>
      <c r="AB10" s="18" t="n">
        <f aca="false">IF(INDEX(Escenarios!$L$12:$L$36,MATCH($A10,Escenarios!$A$12:$A$36,0))&gt;0,$D10,0)</f>
        <v>385</v>
      </c>
      <c r="AC10" s="18" t="n">
        <f aca="false">$E10*INDEX(Escenarios!$L$12:$L$36,MATCH($A10,Escenarios!$A$12:$A$36,0))*F10</f>
        <v>81301.6575</v>
      </c>
      <c r="AD10" s="18" t="n">
        <f aca="false">$E10*INDEX(Escenarios!$L$12:$L$36,MATCH($A10,Escenarios!$A$12:$A$36,0))*G10</f>
        <v>9033.5175</v>
      </c>
      <c r="AE10" s="18" t="n">
        <f aca="false">$E10*INDEX(Escenarios!$L$12:$L$36,MATCH($A10,Escenarios!$A$12:$A$36,0))*H10</f>
        <v>0</v>
      </c>
      <c r="AF10" s="18" t="n">
        <f aca="false">$E10*INDEX(Escenarios!$L$12:$L$36,MATCH($A10,Escenarios!$A$12:$A$36,0))*I10</f>
        <v>0</v>
      </c>
      <c r="AG10" s="20" t="n">
        <f aca="false">SUM(AC10:AF10)</f>
        <v>90335.175</v>
      </c>
    </row>
    <row r="11" customFormat="false" ht="15" hidden="false" customHeight="false" outlineLevel="0" collapsed="false">
      <c r="A11" s="3" t="s">
        <v>40</v>
      </c>
      <c r="B11" s="16" t="s">
        <v>41</v>
      </c>
      <c r="C11" s="17" t="str">
        <f aca="false">INDEX(Escenarios!$D$12:$D$36,MATCH($A11,Escenarios!$A$12:$A$36,0))</f>
        <v>IDOM</v>
      </c>
      <c r="D11" s="18" t="n">
        <f aca="false">SUMIFS(Datos!$H$5:$H$291,Datos!$E$5:$E$291,$A11,Datos!$F$5:$F$291,"S2")</f>
        <v>280</v>
      </c>
      <c r="E11" s="18" t="n">
        <f aca="false">SUMIFS(Datos!$J$5:$J$291,Datos!$E$5:$E$291,$A11,Datos!$F$5:$F$291,"S2")</f>
        <v>64455.825</v>
      </c>
      <c r="F11" s="19" t="n">
        <f aca="false">INDEX(Escenarios!$E$12:$E$36,MATCH($A11,Escenarios!$A$12:$A$36,0))</f>
        <v>1</v>
      </c>
      <c r="G11" s="19" t="n">
        <f aca="false">INDEX(Escenarios!$F$12:$F$36,MATCH($A11,Escenarios!$A$12:$A$36,0))</f>
        <v>0</v>
      </c>
      <c r="H11" s="19" t="n">
        <f aca="false">INDEX(Escenarios!$G$12:$G$36,MATCH($A11,Escenarios!$A$12:$A$36,0))</f>
        <v>0</v>
      </c>
      <c r="I11" s="19" t="n">
        <f aca="false">INDEX(Escenarios!$H$12:$H$36,MATCH($A11,Escenarios!$A$12:$A$36,0))</f>
        <v>0</v>
      </c>
      <c r="J11" s="18" t="n">
        <f aca="false">IF(INDEX(Escenarios!$I$12:$I$36,MATCH($A11,Escenarios!$A$12:$A$36,0))&gt;0,$D11,0)</f>
        <v>280</v>
      </c>
      <c r="K11" s="18" t="n">
        <f aca="false">$E11*INDEX(Escenarios!$I$12:$I$36,MATCH($A11,Escenarios!$A$12:$A$36,0))*F11</f>
        <v>64455.825</v>
      </c>
      <c r="L11" s="18" t="n">
        <f aca="false">$E11*INDEX(Escenarios!$I$12:$I$36,MATCH($A11,Escenarios!$A$12:$A$36,0))*G11</f>
        <v>0</v>
      </c>
      <c r="M11" s="18" t="n">
        <f aca="false">$E11*INDEX(Escenarios!$I$12:$I$36,MATCH($A11,Escenarios!$A$12:$A$36,0))*H11</f>
        <v>0</v>
      </c>
      <c r="N11" s="18" t="n">
        <f aca="false">$E11*INDEX(Escenarios!$I$12:$I$36,MATCH($A11,Escenarios!$A$12:$A$36,0))*I11</f>
        <v>0</v>
      </c>
      <c r="O11" s="20" t="n">
        <f aca="false">SUM(K11:N11)</f>
        <v>64455.825</v>
      </c>
      <c r="P11" s="18" t="n">
        <f aca="false">IF(INDEX(Escenarios!$J$12:$J$36,MATCH($A11,Escenarios!$A$12:$A$36,0))&gt;0,$D11,0)</f>
        <v>280</v>
      </c>
      <c r="Q11" s="18" t="n">
        <f aca="false">$E11*INDEX(Escenarios!$J$12:$J$36,MATCH($A11,Escenarios!$A$12:$A$36,0))*F11</f>
        <v>64455.825</v>
      </c>
      <c r="R11" s="18" t="n">
        <f aca="false">$E11*INDEX(Escenarios!$J$12:$J$36,MATCH($A11,Escenarios!$A$12:$A$36,0))*G11</f>
        <v>0</v>
      </c>
      <c r="S11" s="18" t="n">
        <f aca="false">$E11*INDEX(Escenarios!$J$12:$J$36,MATCH($A11,Escenarios!$A$12:$A$36,0))*H11</f>
        <v>0</v>
      </c>
      <c r="T11" s="18" t="n">
        <f aca="false">$E11*INDEX(Escenarios!$J$12:$J$36,MATCH($A11,Escenarios!$A$12:$A$36,0))*I11</f>
        <v>0</v>
      </c>
      <c r="U11" s="20" t="n">
        <f aca="false">SUM(Q11:T11)</f>
        <v>64455.825</v>
      </c>
      <c r="V11" s="18" t="n">
        <f aca="false">IF(INDEX(Escenarios!$K$12:$K$36,MATCH($A11,Escenarios!$A$12:$A$36,0))&gt;0,$D11,0)</f>
        <v>280</v>
      </c>
      <c r="W11" s="18" t="n">
        <f aca="false">$E11*INDEX(Escenarios!$K$12:$K$36,MATCH($A11,Escenarios!$A$12:$A$36,0))*F11</f>
        <v>64455.825</v>
      </c>
      <c r="X11" s="18" t="n">
        <f aca="false">$E11*INDEX(Escenarios!$K$12:$K$36,MATCH($A11,Escenarios!$A$12:$A$36,0))*G11</f>
        <v>0</v>
      </c>
      <c r="Y11" s="18" t="n">
        <f aca="false">$E11*INDEX(Escenarios!$K$12:$K$36,MATCH($A11,Escenarios!$A$12:$A$36,0))*H11</f>
        <v>0</v>
      </c>
      <c r="Z11" s="18" t="n">
        <f aca="false">$E11*INDEX(Escenarios!$K$12:$K$36,MATCH($A11,Escenarios!$A$12:$A$36,0))*I11</f>
        <v>0</v>
      </c>
      <c r="AA11" s="20" t="n">
        <f aca="false">SUM(W11:Z11)</f>
        <v>64455.825</v>
      </c>
      <c r="AB11" s="18" t="n">
        <f aca="false">IF(INDEX(Escenarios!$L$12:$L$36,MATCH($A11,Escenarios!$A$12:$A$36,0))&gt;0,$D11,0)</f>
        <v>280</v>
      </c>
      <c r="AC11" s="18" t="n">
        <f aca="false">$E11*INDEX(Escenarios!$L$12:$L$36,MATCH($A11,Escenarios!$A$12:$A$36,0))*F11</f>
        <v>64455.825</v>
      </c>
      <c r="AD11" s="18" t="n">
        <f aca="false">$E11*INDEX(Escenarios!$L$12:$L$36,MATCH($A11,Escenarios!$A$12:$A$36,0))*G11</f>
        <v>0</v>
      </c>
      <c r="AE11" s="18" t="n">
        <f aca="false">$E11*INDEX(Escenarios!$L$12:$L$36,MATCH($A11,Escenarios!$A$12:$A$36,0))*H11</f>
        <v>0</v>
      </c>
      <c r="AF11" s="18" t="n">
        <f aca="false">$E11*INDEX(Escenarios!$L$12:$L$36,MATCH($A11,Escenarios!$A$12:$A$36,0))*I11</f>
        <v>0</v>
      </c>
      <c r="AG11" s="20" t="n">
        <f aca="false">SUM(AC11:AF11)</f>
        <v>64455.825</v>
      </c>
    </row>
    <row r="12" customFormat="false" ht="15" hidden="false" customHeight="false" outlineLevel="0" collapsed="false">
      <c r="A12" s="3" t="s">
        <v>42</v>
      </c>
      <c r="B12" s="16" t="s">
        <v>43</v>
      </c>
      <c r="C12" s="17" t="str">
        <f aca="false">INDEX(Escenarios!$D$12:$D$36,MATCH($A12,Escenarios!$A$12:$A$36,0))</f>
        <v>IDOM</v>
      </c>
      <c r="D12" s="18" t="n">
        <f aca="false">SUMIFS(Datos!$H$5:$H$291,Datos!$E$5:$E$291,$A12,Datos!$F$5:$F$291,"S2")</f>
        <v>270</v>
      </c>
      <c r="E12" s="18" t="n">
        <f aca="false">SUMIFS(Datos!$J$5:$J$291,Datos!$E$5:$E$291,$A12,Datos!$F$5:$F$291,"S2")</f>
        <v>62552.175</v>
      </c>
      <c r="F12" s="19" t="n">
        <f aca="false">INDEX(Escenarios!$E$12:$E$36,MATCH($A12,Escenarios!$A$12:$A$36,0))</f>
        <v>1</v>
      </c>
      <c r="G12" s="19" t="n">
        <f aca="false">INDEX(Escenarios!$F$12:$F$36,MATCH($A12,Escenarios!$A$12:$A$36,0))</f>
        <v>0</v>
      </c>
      <c r="H12" s="19" t="n">
        <f aca="false">INDEX(Escenarios!$G$12:$G$36,MATCH($A12,Escenarios!$A$12:$A$36,0))</f>
        <v>0</v>
      </c>
      <c r="I12" s="19" t="n">
        <f aca="false">INDEX(Escenarios!$H$12:$H$36,MATCH($A12,Escenarios!$A$12:$A$36,0))</f>
        <v>0</v>
      </c>
      <c r="J12" s="18" t="n">
        <f aca="false">IF(INDEX(Escenarios!$I$12:$I$36,MATCH($A12,Escenarios!$A$12:$A$36,0))&gt;0,$D12,0)</f>
        <v>270</v>
      </c>
      <c r="K12" s="18" t="n">
        <f aca="false">$E12*INDEX(Escenarios!$I$12:$I$36,MATCH($A12,Escenarios!$A$12:$A$36,0))*F12</f>
        <v>62552.175</v>
      </c>
      <c r="L12" s="18" t="n">
        <f aca="false">$E12*INDEX(Escenarios!$I$12:$I$36,MATCH($A12,Escenarios!$A$12:$A$36,0))*G12</f>
        <v>0</v>
      </c>
      <c r="M12" s="18" t="n">
        <f aca="false">$E12*INDEX(Escenarios!$I$12:$I$36,MATCH($A12,Escenarios!$A$12:$A$36,0))*H12</f>
        <v>0</v>
      </c>
      <c r="N12" s="18" t="n">
        <f aca="false">$E12*INDEX(Escenarios!$I$12:$I$36,MATCH($A12,Escenarios!$A$12:$A$36,0))*I12</f>
        <v>0</v>
      </c>
      <c r="O12" s="20" t="n">
        <f aca="false">SUM(K12:N12)</f>
        <v>62552.175</v>
      </c>
      <c r="P12" s="18" t="n">
        <f aca="false">IF(INDEX(Escenarios!$J$12:$J$36,MATCH($A12,Escenarios!$A$12:$A$36,0))&gt;0,$D12,0)</f>
        <v>270</v>
      </c>
      <c r="Q12" s="18" t="n">
        <f aca="false">$E12*INDEX(Escenarios!$J$12:$J$36,MATCH($A12,Escenarios!$A$12:$A$36,0))*F12</f>
        <v>62552.175</v>
      </c>
      <c r="R12" s="18" t="n">
        <f aca="false">$E12*INDEX(Escenarios!$J$12:$J$36,MATCH($A12,Escenarios!$A$12:$A$36,0))*G12</f>
        <v>0</v>
      </c>
      <c r="S12" s="18" t="n">
        <f aca="false">$E12*INDEX(Escenarios!$J$12:$J$36,MATCH($A12,Escenarios!$A$12:$A$36,0))*H12</f>
        <v>0</v>
      </c>
      <c r="T12" s="18" t="n">
        <f aca="false">$E12*INDEX(Escenarios!$J$12:$J$36,MATCH($A12,Escenarios!$A$12:$A$36,0))*I12</f>
        <v>0</v>
      </c>
      <c r="U12" s="20" t="n">
        <f aca="false">SUM(Q12:T12)</f>
        <v>62552.175</v>
      </c>
      <c r="V12" s="18" t="n">
        <f aca="false">IF(INDEX(Escenarios!$K$12:$K$36,MATCH($A12,Escenarios!$A$12:$A$36,0))&gt;0,$D12,0)</f>
        <v>0</v>
      </c>
      <c r="W12" s="18" t="n">
        <f aca="false">$E12*INDEX(Escenarios!$K$12:$K$36,MATCH($A12,Escenarios!$A$12:$A$36,0))*F12</f>
        <v>0</v>
      </c>
      <c r="X12" s="18" t="n">
        <f aca="false">$E12*INDEX(Escenarios!$K$12:$K$36,MATCH($A12,Escenarios!$A$12:$A$36,0))*G12</f>
        <v>0</v>
      </c>
      <c r="Y12" s="18" t="n">
        <f aca="false">$E12*INDEX(Escenarios!$K$12:$K$36,MATCH($A12,Escenarios!$A$12:$A$36,0))*H12</f>
        <v>0</v>
      </c>
      <c r="Z12" s="18" t="n">
        <f aca="false">$E12*INDEX(Escenarios!$K$12:$K$36,MATCH($A12,Escenarios!$A$12:$A$36,0))*I12</f>
        <v>0</v>
      </c>
      <c r="AA12" s="20" t="n">
        <f aca="false">SUM(W12:Z12)</f>
        <v>0</v>
      </c>
      <c r="AB12" s="18" t="n">
        <f aca="false">IF(INDEX(Escenarios!$L$12:$L$36,MATCH($A12,Escenarios!$A$12:$A$36,0))&gt;0,$D12,0)</f>
        <v>0</v>
      </c>
      <c r="AC12" s="18" t="n">
        <f aca="false">$E12*INDEX(Escenarios!$L$12:$L$36,MATCH($A12,Escenarios!$A$12:$A$36,0))*F12</f>
        <v>0</v>
      </c>
      <c r="AD12" s="18" t="n">
        <f aca="false">$E12*INDEX(Escenarios!$L$12:$L$36,MATCH($A12,Escenarios!$A$12:$A$36,0))*G12</f>
        <v>0</v>
      </c>
      <c r="AE12" s="18" t="n">
        <f aca="false">$E12*INDEX(Escenarios!$L$12:$L$36,MATCH($A12,Escenarios!$A$12:$A$36,0))*H12</f>
        <v>0</v>
      </c>
      <c r="AF12" s="18" t="n">
        <f aca="false">$E12*INDEX(Escenarios!$L$12:$L$36,MATCH($A12,Escenarios!$A$12:$A$36,0))*I12</f>
        <v>0</v>
      </c>
      <c r="AG12" s="20" t="n">
        <f aca="false">SUM(AC12:AF12)</f>
        <v>0</v>
      </c>
    </row>
    <row r="13" customFormat="false" ht="15" hidden="false" customHeight="false" outlineLevel="0" collapsed="false">
      <c r="A13" s="3" t="s">
        <v>44</v>
      </c>
      <c r="B13" s="16" t="s">
        <v>45</v>
      </c>
      <c r="C13" s="17" t="str">
        <f aca="false">INDEX(Escenarios!$D$12:$D$36,MATCH($A13,Escenarios!$A$12:$A$36,0))</f>
        <v>IDOM</v>
      </c>
      <c r="D13" s="18" t="n">
        <f aca="false">SUMIFS(Datos!$H$5:$H$291,Datos!$E$5:$E$291,$A13,Datos!$F$5:$F$291,"S2")</f>
        <v>165</v>
      </c>
      <c r="E13" s="18" t="n">
        <f aca="false">SUMIFS(Datos!$J$5:$J$291,Datos!$E$5:$E$291,$A13,Datos!$F$5:$F$291,"S2")</f>
        <v>37183.65</v>
      </c>
      <c r="F13" s="19" t="n">
        <f aca="false">INDEX(Escenarios!$E$12:$E$36,MATCH($A13,Escenarios!$A$12:$A$36,0))</f>
        <v>1</v>
      </c>
      <c r="G13" s="19" t="n">
        <f aca="false">INDEX(Escenarios!$F$12:$F$36,MATCH($A13,Escenarios!$A$12:$A$36,0))</f>
        <v>0</v>
      </c>
      <c r="H13" s="19" t="n">
        <f aca="false">INDEX(Escenarios!$G$12:$G$36,MATCH($A13,Escenarios!$A$12:$A$36,0))</f>
        <v>0</v>
      </c>
      <c r="I13" s="19" t="n">
        <f aca="false">INDEX(Escenarios!$H$12:$H$36,MATCH($A13,Escenarios!$A$12:$A$36,0))</f>
        <v>0</v>
      </c>
      <c r="J13" s="18" t="n">
        <f aca="false">IF(INDEX(Escenarios!$I$12:$I$36,MATCH($A13,Escenarios!$A$12:$A$36,0))&gt;0,$D13,0)</f>
        <v>165</v>
      </c>
      <c r="K13" s="18" t="n">
        <f aca="false">$E13*INDEX(Escenarios!$I$12:$I$36,MATCH($A13,Escenarios!$A$12:$A$36,0))*F13</f>
        <v>37183.65</v>
      </c>
      <c r="L13" s="18" t="n">
        <f aca="false">$E13*INDEX(Escenarios!$I$12:$I$36,MATCH($A13,Escenarios!$A$12:$A$36,0))*G13</f>
        <v>0</v>
      </c>
      <c r="M13" s="18" t="n">
        <f aca="false">$E13*INDEX(Escenarios!$I$12:$I$36,MATCH($A13,Escenarios!$A$12:$A$36,0))*H13</f>
        <v>0</v>
      </c>
      <c r="N13" s="18" t="n">
        <f aca="false">$E13*INDEX(Escenarios!$I$12:$I$36,MATCH($A13,Escenarios!$A$12:$A$36,0))*I13</f>
        <v>0</v>
      </c>
      <c r="O13" s="20" t="n">
        <f aca="false">SUM(K13:N13)</f>
        <v>37183.65</v>
      </c>
      <c r="P13" s="18" t="n">
        <f aca="false">IF(INDEX(Escenarios!$J$12:$J$36,MATCH($A13,Escenarios!$A$12:$A$36,0))&gt;0,$D13,0)</f>
        <v>165</v>
      </c>
      <c r="Q13" s="18" t="n">
        <f aca="false">$E13*INDEX(Escenarios!$J$12:$J$36,MATCH($A13,Escenarios!$A$12:$A$36,0))*F13</f>
        <v>37183.65</v>
      </c>
      <c r="R13" s="18" t="n">
        <f aca="false">$E13*INDEX(Escenarios!$J$12:$J$36,MATCH($A13,Escenarios!$A$12:$A$36,0))*G13</f>
        <v>0</v>
      </c>
      <c r="S13" s="18" t="n">
        <f aca="false">$E13*INDEX(Escenarios!$J$12:$J$36,MATCH($A13,Escenarios!$A$12:$A$36,0))*H13</f>
        <v>0</v>
      </c>
      <c r="T13" s="18" t="n">
        <f aca="false">$E13*INDEX(Escenarios!$J$12:$J$36,MATCH($A13,Escenarios!$A$12:$A$36,0))*I13</f>
        <v>0</v>
      </c>
      <c r="U13" s="20" t="n">
        <f aca="false">SUM(Q13:T13)</f>
        <v>37183.65</v>
      </c>
      <c r="V13" s="18" t="n">
        <f aca="false">IF(INDEX(Escenarios!$K$12:$K$36,MATCH($A13,Escenarios!$A$12:$A$36,0))&gt;0,$D13,0)</f>
        <v>0</v>
      </c>
      <c r="W13" s="18" t="n">
        <f aca="false">$E13*INDEX(Escenarios!$K$12:$K$36,MATCH($A13,Escenarios!$A$12:$A$36,0))*F13</f>
        <v>0</v>
      </c>
      <c r="X13" s="18" t="n">
        <f aca="false">$E13*INDEX(Escenarios!$K$12:$K$36,MATCH($A13,Escenarios!$A$12:$A$36,0))*G13</f>
        <v>0</v>
      </c>
      <c r="Y13" s="18" t="n">
        <f aca="false">$E13*INDEX(Escenarios!$K$12:$K$36,MATCH($A13,Escenarios!$A$12:$A$36,0))*H13</f>
        <v>0</v>
      </c>
      <c r="Z13" s="18" t="n">
        <f aca="false">$E13*INDEX(Escenarios!$K$12:$K$36,MATCH($A13,Escenarios!$A$12:$A$36,0))*I13</f>
        <v>0</v>
      </c>
      <c r="AA13" s="20" t="n">
        <f aca="false">SUM(W13:Z13)</f>
        <v>0</v>
      </c>
      <c r="AB13" s="18" t="n">
        <f aca="false">IF(INDEX(Escenarios!$L$12:$L$36,MATCH($A13,Escenarios!$A$12:$A$36,0))&gt;0,$D13,0)</f>
        <v>0</v>
      </c>
      <c r="AC13" s="18" t="n">
        <f aca="false">$E13*INDEX(Escenarios!$L$12:$L$36,MATCH($A13,Escenarios!$A$12:$A$36,0))*F13</f>
        <v>0</v>
      </c>
      <c r="AD13" s="18" t="n">
        <f aca="false">$E13*INDEX(Escenarios!$L$12:$L$36,MATCH($A13,Escenarios!$A$12:$A$36,0))*G13</f>
        <v>0</v>
      </c>
      <c r="AE13" s="18" t="n">
        <f aca="false">$E13*INDEX(Escenarios!$L$12:$L$36,MATCH($A13,Escenarios!$A$12:$A$36,0))*H13</f>
        <v>0</v>
      </c>
      <c r="AF13" s="18" t="n">
        <f aca="false">$E13*INDEX(Escenarios!$L$12:$L$36,MATCH($A13,Escenarios!$A$12:$A$36,0))*I13</f>
        <v>0</v>
      </c>
      <c r="AG13" s="20" t="n">
        <f aca="false">SUM(AC13:AF13)</f>
        <v>0</v>
      </c>
    </row>
    <row r="14" customFormat="false" ht="15" hidden="false" customHeight="false" outlineLevel="0" collapsed="false">
      <c r="A14" s="3" t="s">
        <v>25</v>
      </c>
      <c r="B14" s="16" t="s">
        <v>26</v>
      </c>
      <c r="C14" s="17" t="str">
        <f aca="false">INDEX(Escenarios!$D$12:$D$36,MATCH($A14,Escenarios!$A$12:$A$36,0))</f>
        <v>Plan Safe</v>
      </c>
      <c r="D14" s="18" t="n">
        <f aca="false">SUMIFS(Datos!$H$5:$H$291,Datos!$E$5:$E$291,$A14,Datos!$F$5:$F$291,"S2")</f>
        <v>380</v>
      </c>
      <c r="E14" s="18" t="n">
        <f aca="false">SUMIFS(Datos!$J$5:$J$291,Datos!$E$5:$E$291,$A14,Datos!$F$5:$F$291,"S2")</f>
        <v>88244.1</v>
      </c>
      <c r="F14" s="19" t="n">
        <f aca="false">INDEX(Escenarios!$E$12:$E$36,MATCH($A14,Escenarios!$A$12:$A$36,0))</f>
        <v>0</v>
      </c>
      <c r="G14" s="19" t="n">
        <f aca="false">INDEX(Escenarios!$F$12:$F$36,MATCH($A14,Escenarios!$A$12:$A$36,0))</f>
        <v>1</v>
      </c>
      <c r="H14" s="19" t="n">
        <f aca="false">INDEX(Escenarios!$G$12:$G$36,MATCH($A14,Escenarios!$A$12:$A$36,0))</f>
        <v>0</v>
      </c>
      <c r="I14" s="19" t="n">
        <f aca="false">INDEX(Escenarios!$H$12:$H$36,MATCH($A14,Escenarios!$A$12:$A$36,0))</f>
        <v>0</v>
      </c>
      <c r="J14" s="18" t="n">
        <f aca="false">IF(INDEX(Escenarios!$I$12:$I$36,MATCH($A14,Escenarios!$A$12:$A$36,0))&gt;0,$D14,0)</f>
        <v>380</v>
      </c>
      <c r="K14" s="18" t="n">
        <f aca="false">$E14*INDEX(Escenarios!$I$12:$I$36,MATCH($A14,Escenarios!$A$12:$A$36,0))*F14</f>
        <v>0</v>
      </c>
      <c r="L14" s="18" t="n">
        <f aca="false">$E14*INDEX(Escenarios!$I$12:$I$36,MATCH($A14,Escenarios!$A$12:$A$36,0))*G14</f>
        <v>88244.1</v>
      </c>
      <c r="M14" s="18" t="n">
        <f aca="false">$E14*INDEX(Escenarios!$I$12:$I$36,MATCH($A14,Escenarios!$A$12:$A$36,0))*H14</f>
        <v>0</v>
      </c>
      <c r="N14" s="18" t="n">
        <f aca="false">$E14*INDEX(Escenarios!$I$12:$I$36,MATCH($A14,Escenarios!$A$12:$A$36,0))*I14</f>
        <v>0</v>
      </c>
      <c r="O14" s="20" t="n">
        <f aca="false">SUM(K14:N14)</f>
        <v>88244.1</v>
      </c>
      <c r="P14" s="18" t="n">
        <f aca="false">IF(INDEX(Escenarios!$J$12:$J$36,MATCH($A14,Escenarios!$A$12:$A$36,0))&gt;0,$D14,0)</f>
        <v>0</v>
      </c>
      <c r="Q14" s="18" t="n">
        <f aca="false">$E14*INDEX(Escenarios!$J$12:$J$36,MATCH($A14,Escenarios!$A$12:$A$36,0))*F14</f>
        <v>0</v>
      </c>
      <c r="R14" s="18" t="n">
        <f aca="false">$E14*INDEX(Escenarios!$J$12:$J$36,MATCH($A14,Escenarios!$A$12:$A$36,0))*G14</f>
        <v>0</v>
      </c>
      <c r="S14" s="18" t="n">
        <f aca="false">$E14*INDEX(Escenarios!$J$12:$J$36,MATCH($A14,Escenarios!$A$12:$A$36,0))*H14</f>
        <v>0</v>
      </c>
      <c r="T14" s="18" t="n">
        <f aca="false">$E14*INDEX(Escenarios!$J$12:$J$36,MATCH($A14,Escenarios!$A$12:$A$36,0))*I14</f>
        <v>0</v>
      </c>
      <c r="U14" s="20" t="n">
        <f aca="false">SUM(Q14:T14)</f>
        <v>0</v>
      </c>
      <c r="V14" s="18" t="n">
        <f aca="false">IF(INDEX(Escenarios!$K$12:$K$36,MATCH($A14,Escenarios!$A$12:$A$36,0))&gt;0,$D14,0)</f>
        <v>0</v>
      </c>
      <c r="W14" s="18" t="n">
        <f aca="false">$E14*INDEX(Escenarios!$K$12:$K$36,MATCH($A14,Escenarios!$A$12:$A$36,0))*F14</f>
        <v>0</v>
      </c>
      <c r="X14" s="18" t="n">
        <f aca="false">$E14*INDEX(Escenarios!$K$12:$K$36,MATCH($A14,Escenarios!$A$12:$A$36,0))*G14</f>
        <v>0</v>
      </c>
      <c r="Y14" s="18" t="n">
        <f aca="false">$E14*INDEX(Escenarios!$K$12:$K$36,MATCH($A14,Escenarios!$A$12:$A$36,0))*H14</f>
        <v>0</v>
      </c>
      <c r="Z14" s="18" t="n">
        <f aca="false">$E14*INDEX(Escenarios!$K$12:$K$36,MATCH($A14,Escenarios!$A$12:$A$36,0))*I14</f>
        <v>0</v>
      </c>
      <c r="AA14" s="20" t="n">
        <f aca="false">SUM(W14:Z14)</f>
        <v>0</v>
      </c>
      <c r="AB14" s="18" t="n">
        <f aca="false">IF(INDEX(Escenarios!$L$12:$L$36,MATCH($A14,Escenarios!$A$12:$A$36,0))&gt;0,$D14,0)</f>
        <v>380</v>
      </c>
      <c r="AC14" s="18" t="n">
        <f aca="false">$E14*INDEX(Escenarios!$L$12:$L$36,MATCH($A14,Escenarios!$A$12:$A$36,0))*F14</f>
        <v>0</v>
      </c>
      <c r="AD14" s="18" t="n">
        <f aca="false">$E14*INDEX(Escenarios!$L$12:$L$36,MATCH($A14,Escenarios!$A$12:$A$36,0))*G14</f>
        <v>44122.05</v>
      </c>
      <c r="AE14" s="18" t="n">
        <f aca="false">$E14*INDEX(Escenarios!$L$12:$L$36,MATCH($A14,Escenarios!$A$12:$A$36,0))*H14</f>
        <v>0</v>
      </c>
      <c r="AF14" s="18" t="n">
        <f aca="false">$E14*INDEX(Escenarios!$L$12:$L$36,MATCH($A14,Escenarios!$A$12:$A$36,0))*I14</f>
        <v>0</v>
      </c>
      <c r="AG14" s="20" t="n">
        <f aca="false">SUM(AC14:AF14)</f>
        <v>44122.05</v>
      </c>
    </row>
    <row r="15" customFormat="false" ht="15" hidden="false" customHeight="false" outlineLevel="0" collapsed="false">
      <c r="A15" s="3" t="s">
        <v>27</v>
      </c>
      <c r="B15" s="16" t="s">
        <v>28</v>
      </c>
      <c r="C15" s="17" t="str">
        <f aca="false">INDEX(Escenarios!$D$12:$D$36,MATCH($A15,Escenarios!$A$12:$A$36,0))</f>
        <v>Plan Safe</v>
      </c>
      <c r="D15" s="18" t="n">
        <f aca="false">SUMIFS(Datos!$H$5:$H$291,Datos!$E$5:$E$291,$A15,Datos!$F$5:$F$291,"S2")</f>
        <v>305</v>
      </c>
      <c r="E15" s="18" t="n">
        <f aca="false">SUMIFS(Datos!$J$5:$J$291,Datos!$E$5:$E$291,$A15,Datos!$F$5:$F$291,"S2")</f>
        <v>70622.475</v>
      </c>
      <c r="F15" s="19" t="n">
        <f aca="false">INDEX(Escenarios!$E$12:$E$36,MATCH($A15,Escenarios!$A$12:$A$36,0))</f>
        <v>0</v>
      </c>
      <c r="G15" s="19" t="n">
        <f aca="false">INDEX(Escenarios!$F$12:$F$36,MATCH($A15,Escenarios!$A$12:$A$36,0))</f>
        <v>1</v>
      </c>
      <c r="H15" s="19" t="n">
        <f aca="false">INDEX(Escenarios!$G$12:$G$36,MATCH($A15,Escenarios!$A$12:$A$36,0))</f>
        <v>0</v>
      </c>
      <c r="I15" s="19" t="n">
        <f aca="false">INDEX(Escenarios!$H$12:$H$36,MATCH($A15,Escenarios!$A$12:$A$36,0))</f>
        <v>0</v>
      </c>
      <c r="J15" s="18" t="n">
        <f aca="false">IF(INDEX(Escenarios!$I$12:$I$36,MATCH($A15,Escenarios!$A$12:$A$36,0))&gt;0,$D15,0)</f>
        <v>305</v>
      </c>
      <c r="K15" s="18" t="n">
        <f aca="false">$E15*INDEX(Escenarios!$I$12:$I$36,MATCH($A15,Escenarios!$A$12:$A$36,0))*F15</f>
        <v>0</v>
      </c>
      <c r="L15" s="18" t="n">
        <f aca="false">$E15*INDEX(Escenarios!$I$12:$I$36,MATCH($A15,Escenarios!$A$12:$A$36,0))*G15</f>
        <v>70622.475</v>
      </c>
      <c r="M15" s="18" t="n">
        <f aca="false">$E15*INDEX(Escenarios!$I$12:$I$36,MATCH($A15,Escenarios!$A$12:$A$36,0))*H15</f>
        <v>0</v>
      </c>
      <c r="N15" s="18" t="n">
        <f aca="false">$E15*INDEX(Escenarios!$I$12:$I$36,MATCH($A15,Escenarios!$A$12:$A$36,0))*I15</f>
        <v>0</v>
      </c>
      <c r="O15" s="20" t="n">
        <f aca="false">SUM(K15:N15)</f>
        <v>70622.475</v>
      </c>
      <c r="P15" s="18" t="n">
        <f aca="false">IF(INDEX(Escenarios!$J$12:$J$36,MATCH($A15,Escenarios!$A$12:$A$36,0))&gt;0,$D15,0)</f>
        <v>0</v>
      </c>
      <c r="Q15" s="18" t="n">
        <f aca="false">$E15*INDEX(Escenarios!$J$12:$J$36,MATCH($A15,Escenarios!$A$12:$A$36,0))*F15</f>
        <v>0</v>
      </c>
      <c r="R15" s="18" t="n">
        <f aca="false">$E15*INDEX(Escenarios!$J$12:$J$36,MATCH($A15,Escenarios!$A$12:$A$36,0))*G15</f>
        <v>0</v>
      </c>
      <c r="S15" s="18" t="n">
        <f aca="false">$E15*INDEX(Escenarios!$J$12:$J$36,MATCH($A15,Escenarios!$A$12:$A$36,0))*H15</f>
        <v>0</v>
      </c>
      <c r="T15" s="18" t="n">
        <f aca="false">$E15*INDEX(Escenarios!$J$12:$J$36,MATCH($A15,Escenarios!$A$12:$A$36,0))*I15</f>
        <v>0</v>
      </c>
      <c r="U15" s="20" t="n">
        <f aca="false">SUM(Q15:T15)</f>
        <v>0</v>
      </c>
      <c r="V15" s="18" t="n">
        <f aca="false">IF(INDEX(Escenarios!$K$12:$K$36,MATCH($A15,Escenarios!$A$12:$A$36,0))&gt;0,$D15,0)</f>
        <v>0</v>
      </c>
      <c r="W15" s="18" t="n">
        <f aca="false">$E15*INDEX(Escenarios!$K$12:$K$36,MATCH($A15,Escenarios!$A$12:$A$36,0))*F15</f>
        <v>0</v>
      </c>
      <c r="X15" s="18" t="n">
        <f aca="false">$E15*INDEX(Escenarios!$K$12:$K$36,MATCH($A15,Escenarios!$A$12:$A$36,0))*G15</f>
        <v>0</v>
      </c>
      <c r="Y15" s="18" t="n">
        <f aca="false">$E15*INDEX(Escenarios!$K$12:$K$36,MATCH($A15,Escenarios!$A$12:$A$36,0))*H15</f>
        <v>0</v>
      </c>
      <c r="Z15" s="18" t="n">
        <f aca="false">$E15*INDEX(Escenarios!$K$12:$K$36,MATCH($A15,Escenarios!$A$12:$A$36,0))*I15</f>
        <v>0</v>
      </c>
      <c r="AA15" s="20" t="n">
        <f aca="false">SUM(W15:Z15)</f>
        <v>0</v>
      </c>
      <c r="AB15" s="18" t="n">
        <f aca="false">IF(INDEX(Escenarios!$L$12:$L$36,MATCH($A15,Escenarios!$A$12:$A$36,0))&gt;0,$D15,0)</f>
        <v>305</v>
      </c>
      <c r="AC15" s="18" t="n">
        <f aca="false">$E15*INDEX(Escenarios!$L$12:$L$36,MATCH($A15,Escenarios!$A$12:$A$36,0))*F15</f>
        <v>0</v>
      </c>
      <c r="AD15" s="18" t="n">
        <f aca="false">$E15*INDEX(Escenarios!$L$12:$L$36,MATCH($A15,Escenarios!$A$12:$A$36,0))*G15</f>
        <v>35311.2375</v>
      </c>
      <c r="AE15" s="18" t="n">
        <f aca="false">$E15*INDEX(Escenarios!$L$12:$L$36,MATCH($A15,Escenarios!$A$12:$A$36,0))*H15</f>
        <v>0</v>
      </c>
      <c r="AF15" s="18" t="n">
        <f aca="false">$E15*INDEX(Escenarios!$L$12:$L$36,MATCH($A15,Escenarios!$A$12:$A$36,0))*I15</f>
        <v>0</v>
      </c>
      <c r="AG15" s="20" t="n">
        <f aca="false">SUM(AC15:AF15)</f>
        <v>35311.2375</v>
      </c>
    </row>
    <row r="16" customFormat="false" ht="15" hidden="false" customHeight="false" outlineLevel="0" collapsed="false">
      <c r="A16" s="21"/>
      <c r="B16" s="22" t="s">
        <v>46</v>
      </c>
      <c r="C16" s="21"/>
      <c r="D16" s="23" t="n">
        <f aca="false">SUM(D8:D15)</f>
        <v>3170</v>
      </c>
      <c r="E16" s="23" t="n">
        <f aca="false">SUM(E8:E15)</f>
        <v>732839.1</v>
      </c>
      <c r="F16" s="21"/>
      <c r="G16" s="21"/>
      <c r="H16" s="21"/>
      <c r="I16" s="21"/>
      <c r="J16" s="23" t="n">
        <f aca="false">SUM(J8:J15)</f>
        <v>3170</v>
      </c>
      <c r="K16" s="23" t="n">
        <f aca="false">SUM(K8:K15)</f>
        <v>536515.0875</v>
      </c>
      <c r="L16" s="23" t="n">
        <f aca="false">SUM(L8:L15)</f>
        <v>196324.0125</v>
      </c>
      <c r="M16" s="23" t="n">
        <f aca="false">SUM(M8:M15)</f>
        <v>0</v>
      </c>
      <c r="N16" s="23" t="n">
        <f aca="false">SUM(N8:N15)</f>
        <v>0</v>
      </c>
      <c r="O16" s="23" t="n">
        <f aca="false">SUM(O8:O15)</f>
        <v>732839.1</v>
      </c>
      <c r="P16" s="23" t="n">
        <f aca="false">SUM(P8:P15)</f>
        <v>2485</v>
      </c>
      <c r="Q16" s="23" t="n">
        <f aca="false">SUM(Q8:Q15)</f>
        <v>536515.0875</v>
      </c>
      <c r="R16" s="23" t="n">
        <f aca="false">SUM(R8:R15)</f>
        <v>37457.4375</v>
      </c>
      <c r="S16" s="23" t="n">
        <f aca="false">SUM(S8:S15)</f>
        <v>0</v>
      </c>
      <c r="T16" s="23" t="n">
        <f aca="false">SUM(T8:T15)</f>
        <v>0</v>
      </c>
      <c r="U16" s="23" t="n">
        <f aca="false">SUM(U8:U15)</f>
        <v>573972.525</v>
      </c>
      <c r="V16" s="23" t="n">
        <f aca="false">SUM(V8:V15)</f>
        <v>2050</v>
      </c>
      <c r="W16" s="23" t="n">
        <f aca="false">SUM(W8:W15)</f>
        <v>436779.2625</v>
      </c>
      <c r="X16" s="23" t="n">
        <f aca="false">SUM(X8:X15)</f>
        <v>37457.4375</v>
      </c>
      <c r="Y16" s="23" t="n">
        <f aca="false">SUM(Y8:Y15)</f>
        <v>0</v>
      </c>
      <c r="Z16" s="23" t="n">
        <f aca="false">SUM(Z8:Z15)</f>
        <v>0</v>
      </c>
      <c r="AA16" s="23" t="n">
        <f aca="false">SUM(AA8:AA15)</f>
        <v>474236.7</v>
      </c>
      <c r="AB16" s="23" t="n">
        <f aca="false">SUM(AB8:AB15)</f>
        <v>2735</v>
      </c>
      <c r="AC16" s="23" t="n">
        <f aca="false">SUM(AC8:AC15)</f>
        <v>436779.2625</v>
      </c>
      <c r="AD16" s="23" t="n">
        <f aca="false">SUM(AD8:AD15)</f>
        <v>116890.725</v>
      </c>
      <c r="AE16" s="23" t="n">
        <f aca="false">SUM(AE8:AE15)</f>
        <v>0</v>
      </c>
      <c r="AF16" s="23" t="n">
        <f aca="false">SUM(AF8:AF15)</f>
        <v>0</v>
      </c>
      <c r="AG16" s="23" t="n">
        <f aca="false">SUM(AG8:AG15)</f>
        <v>553669.9875</v>
      </c>
    </row>
    <row r="17" customFormat="false" ht="15" hidden="false" customHeight="false" outlineLevel="0" collapsed="false">
      <c r="B17" s="24" t="str">
        <f aca="false">"Retrabajo descontado (recargo "&amp;TEXT(Escenarios!$B$8,"0%")&amp;" sobre las tareas de IDOM): "&amp;$C$4</f>
        <v>Retrabajo descontado (recargo 35% sobre las tareas de IDOM): No</v>
      </c>
      <c r="K17" s="25" t="n">
        <f aca="false">-IF($C$4="Sí",K16*Escenarios!$B$8/(1+Escenarios!$B$8),0)</f>
        <v>-0</v>
      </c>
      <c r="L17" s="25" t="n">
        <v>0</v>
      </c>
      <c r="M17" s="25" t="n">
        <v>0</v>
      </c>
      <c r="N17" s="25" t="n">
        <v>0</v>
      </c>
      <c r="O17" s="25" t="n">
        <f aca="false">SUM(K17:N17)</f>
        <v>0</v>
      </c>
      <c r="Q17" s="25" t="n">
        <f aca="false">-IF($C$4="Sí",Q16*Escenarios!$B$8/(1+Escenarios!$B$8),0)</f>
        <v>-0</v>
      </c>
      <c r="R17" s="25" t="n">
        <v>0</v>
      </c>
      <c r="S17" s="25" t="n">
        <v>0</v>
      </c>
      <c r="T17" s="25" t="n">
        <v>0</v>
      </c>
      <c r="U17" s="25" t="n">
        <f aca="false">SUM(Q17:T17)</f>
        <v>0</v>
      </c>
      <c r="W17" s="25" t="n">
        <f aca="false">-IF($C$4="Sí",W16*Escenarios!$B$8/(1+Escenarios!$B$8),0)</f>
        <v>-0</v>
      </c>
      <c r="X17" s="25" t="n">
        <v>0</v>
      </c>
      <c r="Y17" s="25" t="n">
        <v>0</v>
      </c>
      <c r="Z17" s="25" t="n">
        <v>0</v>
      </c>
      <c r="AA17" s="25" t="n">
        <f aca="false">SUM(W17:Z17)</f>
        <v>0</v>
      </c>
      <c r="AC17" s="25" t="n">
        <f aca="false">-IF($C$4="Sí",AC16*Escenarios!$B$8/(1+Escenarios!$B$8),0)</f>
        <v>-0</v>
      </c>
      <c r="AD17" s="25" t="n">
        <v>0</v>
      </c>
      <c r="AE17" s="25" t="n">
        <v>0</v>
      </c>
      <c r="AF17" s="25" t="n">
        <v>0</v>
      </c>
      <c r="AG17" s="25" t="n">
        <f aca="false">SUM(AC17:AF17)</f>
        <v>0</v>
      </c>
    </row>
    <row r="18" customFormat="false" ht="15" hidden="false" customHeight="false" outlineLevel="0" collapsed="false">
      <c r="A18" s="26"/>
      <c r="B18" s="27" t="s">
        <v>47</v>
      </c>
      <c r="C18" s="26"/>
      <c r="D18" s="28" t="n">
        <f aca="false">D16</f>
        <v>3170</v>
      </c>
      <c r="E18" s="28" t="n">
        <f aca="false">E16</f>
        <v>732839.1</v>
      </c>
      <c r="F18" s="26"/>
      <c r="G18" s="26"/>
      <c r="H18" s="26"/>
      <c r="I18" s="26"/>
      <c r="J18" s="28" t="n">
        <f aca="false">J16</f>
        <v>3170</v>
      </c>
      <c r="K18" s="28" t="n">
        <f aca="false">K16+K17</f>
        <v>536515.0875</v>
      </c>
      <c r="L18" s="28" t="n">
        <f aca="false">L16+L17</f>
        <v>196324.0125</v>
      </c>
      <c r="M18" s="28" t="n">
        <f aca="false">M16+M17</f>
        <v>0</v>
      </c>
      <c r="N18" s="28" t="n">
        <f aca="false">N16+N17</f>
        <v>0</v>
      </c>
      <c r="O18" s="28" t="n">
        <f aca="false">O16+O17</f>
        <v>732839.1</v>
      </c>
      <c r="P18" s="28" t="n">
        <f aca="false">P16</f>
        <v>2485</v>
      </c>
      <c r="Q18" s="28" t="n">
        <f aca="false">Q16+Q17</f>
        <v>536515.0875</v>
      </c>
      <c r="R18" s="28" t="n">
        <f aca="false">R16+R17</f>
        <v>37457.4375</v>
      </c>
      <c r="S18" s="28" t="n">
        <f aca="false">S16+S17</f>
        <v>0</v>
      </c>
      <c r="T18" s="28" t="n">
        <f aca="false">T16+T17</f>
        <v>0</v>
      </c>
      <c r="U18" s="28" t="n">
        <f aca="false">U16+U17</f>
        <v>573972.525</v>
      </c>
      <c r="V18" s="28" t="n">
        <f aca="false">V16</f>
        <v>2050</v>
      </c>
      <c r="W18" s="28" t="n">
        <f aca="false">W16+W17</f>
        <v>436779.2625</v>
      </c>
      <c r="X18" s="28" t="n">
        <f aca="false">X16+X17</f>
        <v>37457.4375</v>
      </c>
      <c r="Y18" s="28" t="n">
        <f aca="false">Y16+Y17</f>
        <v>0</v>
      </c>
      <c r="Z18" s="28" t="n">
        <f aca="false">Z16+Z17</f>
        <v>0</v>
      </c>
      <c r="AA18" s="28" t="n">
        <f aca="false">AA16+AA17</f>
        <v>474236.7</v>
      </c>
      <c r="AB18" s="28" t="n">
        <f aca="false">AB16</f>
        <v>2735</v>
      </c>
      <c r="AC18" s="28" t="n">
        <f aca="false">AC16+AC17</f>
        <v>436779.2625</v>
      </c>
      <c r="AD18" s="28" t="n">
        <f aca="false">AD16+AD17</f>
        <v>116890.725</v>
      </c>
      <c r="AE18" s="28" t="n">
        <f aca="false">AE16+AE17</f>
        <v>0</v>
      </c>
      <c r="AF18" s="28" t="n">
        <f aca="false">AF16+AF17</f>
        <v>0</v>
      </c>
      <c r="AG18" s="28" t="n">
        <f aca="false">AG16+AG17</f>
        <v>553669.9875</v>
      </c>
    </row>
    <row r="20" customFormat="false" ht="15" hidden="false" customHeight="false" outlineLevel="0" collapsed="false">
      <c r="B20" s="2" t="s">
        <v>31</v>
      </c>
      <c r="E20" s="29" t="n">
        <f aca="false">SUM(F20:I20)</f>
        <v>732839.1</v>
      </c>
      <c r="F20" s="29" t="n">
        <f aca="false">SUMPRODUCT($E$8:$E$15,F$8:F$15)</f>
        <v>536515.0875</v>
      </c>
      <c r="G20" s="29" t="n">
        <f aca="false">SUMPRODUCT($E$8:$E$15,G$8:G$15)</f>
        <v>196324.0125</v>
      </c>
      <c r="H20" s="29" t="n">
        <f aca="false">SUMPRODUCT($E$8:$E$15,H$8:H$15)</f>
        <v>0</v>
      </c>
      <c r="I20" s="29" t="n">
        <f aca="false">SUMPRODUCT($E$8:$E$15,I$8:I$15)</f>
        <v>0</v>
      </c>
    </row>
  </sheetData>
  <mergeCells count="6">
    <mergeCell ref="A6:E6"/>
    <mergeCell ref="F6:I6"/>
    <mergeCell ref="J6:O6"/>
    <mergeCell ref="P6:U6"/>
    <mergeCell ref="V6:AA6"/>
    <mergeCell ref="AB6:AG6"/>
  </mergeCells>
  <dataValidations count="1">
    <dataValidation allowBlank="false" errorStyle="stop" operator="between" showDropDown="false" showErrorMessage="false" showInputMessage="false" sqref="C4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AG2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7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7"/>
    <col collapsed="false" customWidth="true" hidden="false" outlineLevel="0" max="10" min="10" style="0" width="8"/>
    <col collapsed="false" customWidth="true" hidden="false" outlineLevel="0" max="15" min="11" style="0" width="11"/>
    <col collapsed="false" customWidth="true" hidden="false" outlineLevel="0" max="16" min="16" style="0" width="8"/>
    <col collapsed="false" customWidth="true" hidden="false" outlineLevel="0" max="21" min="17" style="0" width="11"/>
    <col collapsed="false" customWidth="true" hidden="false" outlineLevel="0" max="22" min="22" style="0" width="8"/>
    <col collapsed="false" customWidth="true" hidden="false" outlineLevel="0" max="27" min="23" style="0" width="11"/>
    <col collapsed="false" customWidth="true" hidden="false" outlineLevel="0" max="28" min="28" style="0" width="8"/>
    <col collapsed="false" customWidth="true" hidden="false" outlineLevel="0" max="33" min="29" style="0" width="11"/>
  </cols>
  <sheetData>
    <row r="1" customFormat="false" ht="15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1</v>
      </c>
    </row>
    <row r="6" customFormat="false" ht="15" hidden="false" customHeight="false" outlineLevel="0" collapsed="false">
      <c r="A6" s="6" t="s">
        <v>4</v>
      </c>
      <c r="B6" s="6"/>
      <c r="C6" s="6"/>
      <c r="D6" s="6"/>
      <c r="E6" s="6"/>
      <c r="F6" s="6" t="s">
        <v>5</v>
      </c>
      <c r="G6" s="6"/>
      <c r="H6" s="6"/>
      <c r="I6" s="6"/>
      <c r="J6" s="6" t="str">
        <f aca="false">Escenarios!I$10&amp;" · "&amp;Escenarios!I$11</f>
        <v>Escenario 1 · Original</v>
      </c>
      <c r="K6" s="6"/>
      <c r="L6" s="6"/>
      <c r="M6" s="6"/>
      <c r="N6" s="6"/>
      <c r="O6" s="6"/>
      <c r="P6" s="7" t="str">
        <f aca="false">Escenarios!J$10&amp;" · "&amp;Escenarios!J$11</f>
        <v>Escenario 2 · Sin las 4 tareas de Plan Safe</v>
      </c>
      <c r="Q6" s="7"/>
      <c r="R6" s="7"/>
      <c r="S6" s="7"/>
      <c r="T6" s="7"/>
      <c r="U6" s="7"/>
      <c r="V6" s="8" t="str">
        <f aca="false">Escenarios!K$10&amp;" · "&amp;Escenarios!K$11</f>
        <v>Escenario 3 · Sin tareas Plan Safe ni SSC</v>
      </c>
      <c r="W6" s="8"/>
      <c r="X6" s="8"/>
      <c r="Y6" s="8"/>
      <c r="Z6" s="8"/>
      <c r="AA6" s="8"/>
      <c r="AB6" s="9" t="str">
        <f aca="false">Escenarios!L$10&amp;" · "&amp;Escenarios!L$11</f>
        <v>Escenario 4 · Sin SSC, tareas Plan Safe al 50 %</v>
      </c>
      <c r="AC6" s="9"/>
      <c r="AD6" s="9"/>
      <c r="AE6" s="9"/>
      <c r="AF6" s="9"/>
      <c r="AG6" s="9"/>
    </row>
    <row r="7" customFormat="false" ht="30" hidden="false" customHeight="true" outlineLevel="0" collapsed="false">
      <c r="A7" s="10" t="s">
        <v>6</v>
      </c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12</v>
      </c>
      <c r="H7" s="10" t="s">
        <v>13</v>
      </c>
      <c r="I7" s="10" t="s">
        <v>14</v>
      </c>
      <c r="J7" s="11" t="s">
        <v>15</v>
      </c>
      <c r="K7" s="12" t="s">
        <v>16</v>
      </c>
      <c r="L7" s="13" t="s">
        <v>17</v>
      </c>
      <c r="M7" s="14" t="s">
        <v>18</v>
      </c>
      <c r="N7" s="15" t="s">
        <v>19</v>
      </c>
      <c r="O7" s="11" t="s">
        <v>20</v>
      </c>
      <c r="P7" s="11" t="s">
        <v>15</v>
      </c>
      <c r="Q7" s="12" t="s">
        <v>16</v>
      </c>
      <c r="R7" s="13" t="s">
        <v>17</v>
      </c>
      <c r="S7" s="14" t="s">
        <v>18</v>
      </c>
      <c r="T7" s="15" t="s">
        <v>19</v>
      </c>
      <c r="U7" s="11" t="s">
        <v>20</v>
      </c>
      <c r="V7" s="11" t="s">
        <v>15</v>
      </c>
      <c r="W7" s="12" t="s">
        <v>16</v>
      </c>
      <c r="X7" s="13" t="s">
        <v>17</v>
      </c>
      <c r="Y7" s="14" t="s">
        <v>18</v>
      </c>
      <c r="Z7" s="15" t="s">
        <v>19</v>
      </c>
      <c r="AA7" s="11" t="s">
        <v>20</v>
      </c>
      <c r="AB7" s="11" t="s">
        <v>15</v>
      </c>
      <c r="AC7" s="12" t="s">
        <v>16</v>
      </c>
      <c r="AD7" s="13" t="s">
        <v>17</v>
      </c>
      <c r="AE7" s="14" t="s">
        <v>18</v>
      </c>
      <c r="AF7" s="15" t="s">
        <v>19</v>
      </c>
      <c r="AG7" s="11" t="s">
        <v>20</v>
      </c>
    </row>
    <row r="8" customFormat="false" ht="15" hidden="false" customHeight="false" outlineLevel="0" collapsed="false">
      <c r="A8" s="3" t="s">
        <v>36</v>
      </c>
      <c r="B8" s="16" t="s">
        <v>37</v>
      </c>
      <c r="C8" s="17" t="str">
        <f aca="false">INDEX(Escenarios!$D$12:$D$36,MATCH($A8,Escenarios!$A$12:$A$36,0))</f>
        <v>IDOM</v>
      </c>
      <c r="D8" s="18" t="n">
        <f aca="false">SUMIFS(Datos!$H$5:$H$291,Datos!$E$5:$E$291,$A8,Datos!$F$5:$F$291,"S3")</f>
        <v>315</v>
      </c>
      <c r="E8" s="18" t="n">
        <f aca="false">SUMIFS(Datos!$J$5:$J$291,Datos!$E$5:$E$291,$A8,Datos!$F$5:$F$291,"S3")</f>
        <v>58869.825</v>
      </c>
      <c r="F8" s="19" t="n">
        <f aca="false">INDEX(Escenarios!$E$12:$E$36,MATCH($A8,Escenarios!$A$12:$A$36,0))</f>
        <v>1</v>
      </c>
      <c r="G8" s="19" t="n">
        <f aca="false">INDEX(Escenarios!$F$12:$F$36,MATCH($A8,Escenarios!$A$12:$A$36,0))</f>
        <v>0</v>
      </c>
      <c r="H8" s="19" t="n">
        <f aca="false">INDEX(Escenarios!$G$12:$G$36,MATCH($A8,Escenarios!$A$12:$A$36,0))</f>
        <v>0</v>
      </c>
      <c r="I8" s="19" t="n">
        <f aca="false">INDEX(Escenarios!$H$12:$H$36,MATCH($A8,Escenarios!$A$12:$A$36,0))</f>
        <v>0</v>
      </c>
      <c r="J8" s="18" t="n">
        <f aca="false">IF(INDEX(Escenarios!$I$12:$I$36,MATCH($A8,Escenarios!$A$12:$A$36,0))&gt;0,$D8,0)</f>
        <v>315</v>
      </c>
      <c r="K8" s="18" t="n">
        <f aca="false">$E8*INDEX(Escenarios!$I$12:$I$36,MATCH($A8,Escenarios!$A$12:$A$36,0))*F8</f>
        <v>58869.825</v>
      </c>
      <c r="L8" s="18" t="n">
        <f aca="false">$E8*INDEX(Escenarios!$I$12:$I$36,MATCH($A8,Escenarios!$A$12:$A$36,0))*G8</f>
        <v>0</v>
      </c>
      <c r="M8" s="18" t="n">
        <f aca="false">$E8*INDEX(Escenarios!$I$12:$I$36,MATCH($A8,Escenarios!$A$12:$A$36,0))*H8</f>
        <v>0</v>
      </c>
      <c r="N8" s="18" t="n">
        <f aca="false">$E8*INDEX(Escenarios!$I$12:$I$36,MATCH($A8,Escenarios!$A$12:$A$36,0))*I8</f>
        <v>0</v>
      </c>
      <c r="O8" s="20" t="n">
        <f aca="false">SUM(K8:N8)</f>
        <v>58869.825</v>
      </c>
      <c r="P8" s="18" t="n">
        <f aca="false">IF(INDEX(Escenarios!$J$12:$J$36,MATCH($A8,Escenarios!$A$12:$A$36,0))&gt;0,$D8,0)</f>
        <v>315</v>
      </c>
      <c r="Q8" s="18" t="n">
        <f aca="false">$E8*INDEX(Escenarios!$J$12:$J$36,MATCH($A8,Escenarios!$A$12:$A$36,0))*F8</f>
        <v>58869.825</v>
      </c>
      <c r="R8" s="18" t="n">
        <f aca="false">$E8*INDEX(Escenarios!$J$12:$J$36,MATCH($A8,Escenarios!$A$12:$A$36,0))*G8</f>
        <v>0</v>
      </c>
      <c r="S8" s="18" t="n">
        <f aca="false">$E8*INDEX(Escenarios!$J$12:$J$36,MATCH($A8,Escenarios!$A$12:$A$36,0))*H8</f>
        <v>0</v>
      </c>
      <c r="T8" s="18" t="n">
        <f aca="false">$E8*INDEX(Escenarios!$J$12:$J$36,MATCH($A8,Escenarios!$A$12:$A$36,0))*I8</f>
        <v>0</v>
      </c>
      <c r="U8" s="20" t="n">
        <f aca="false">SUM(Q8:T8)</f>
        <v>58869.825</v>
      </c>
      <c r="V8" s="18" t="n">
        <f aca="false">IF(INDEX(Escenarios!$K$12:$K$36,MATCH($A8,Escenarios!$A$12:$A$36,0))&gt;0,$D8,0)</f>
        <v>315</v>
      </c>
      <c r="W8" s="18" t="n">
        <f aca="false">$E8*INDEX(Escenarios!$K$12:$K$36,MATCH($A8,Escenarios!$A$12:$A$36,0))*F8</f>
        <v>58869.825</v>
      </c>
      <c r="X8" s="18" t="n">
        <f aca="false">$E8*INDEX(Escenarios!$K$12:$K$36,MATCH($A8,Escenarios!$A$12:$A$36,0))*G8</f>
        <v>0</v>
      </c>
      <c r="Y8" s="18" t="n">
        <f aca="false">$E8*INDEX(Escenarios!$K$12:$K$36,MATCH($A8,Escenarios!$A$12:$A$36,0))*H8</f>
        <v>0</v>
      </c>
      <c r="Z8" s="18" t="n">
        <f aca="false">$E8*INDEX(Escenarios!$K$12:$K$36,MATCH($A8,Escenarios!$A$12:$A$36,0))*I8</f>
        <v>0</v>
      </c>
      <c r="AA8" s="20" t="n">
        <f aca="false">SUM(W8:Z8)</f>
        <v>58869.825</v>
      </c>
      <c r="AB8" s="18" t="n">
        <f aca="false">IF(INDEX(Escenarios!$L$12:$L$36,MATCH($A8,Escenarios!$A$12:$A$36,0))&gt;0,$D8,0)</f>
        <v>315</v>
      </c>
      <c r="AC8" s="18" t="n">
        <f aca="false">$E8*INDEX(Escenarios!$L$12:$L$36,MATCH($A8,Escenarios!$A$12:$A$36,0))*F8</f>
        <v>58869.825</v>
      </c>
      <c r="AD8" s="18" t="n">
        <f aca="false">$E8*INDEX(Escenarios!$L$12:$L$36,MATCH($A8,Escenarios!$A$12:$A$36,0))*G8</f>
        <v>0</v>
      </c>
      <c r="AE8" s="18" t="n">
        <f aca="false">$E8*INDEX(Escenarios!$L$12:$L$36,MATCH($A8,Escenarios!$A$12:$A$36,0))*H8</f>
        <v>0</v>
      </c>
      <c r="AF8" s="18" t="n">
        <f aca="false">$E8*INDEX(Escenarios!$L$12:$L$36,MATCH($A8,Escenarios!$A$12:$A$36,0))*I8</f>
        <v>0</v>
      </c>
      <c r="AG8" s="20" t="n">
        <f aca="false">SUM(AC8:AF8)</f>
        <v>58869.825</v>
      </c>
    </row>
    <row r="9" customFormat="false" ht="15" hidden="false" customHeight="false" outlineLevel="0" collapsed="false">
      <c r="A9" s="3" t="s">
        <v>49</v>
      </c>
      <c r="B9" s="16" t="s">
        <v>50</v>
      </c>
      <c r="C9" s="17" t="str">
        <f aca="false">INDEX(Escenarios!$D$12:$D$36,MATCH($A9,Escenarios!$A$12:$A$36,0))</f>
        <v>Compartido</v>
      </c>
      <c r="D9" s="18" t="n">
        <f aca="false">SUMIFS(Datos!$H$5:$H$291,Datos!$E$5:$E$291,$A9,Datos!$F$5:$F$291,"S3")</f>
        <v>1385</v>
      </c>
      <c r="E9" s="18" t="n">
        <f aca="false">SUMIFS(Datos!$J$5:$J$291,Datos!$E$5:$E$291,$A9,Datos!$F$5:$F$291,"S3")</f>
        <v>323392.65</v>
      </c>
      <c r="F9" s="19" t="n">
        <f aca="false">INDEX(Escenarios!$E$12:$E$36,MATCH($A9,Escenarios!$A$12:$A$36,0))</f>
        <v>0.9</v>
      </c>
      <c r="G9" s="19" t="n">
        <f aca="false">INDEX(Escenarios!$F$12:$F$36,MATCH($A9,Escenarios!$A$12:$A$36,0))</f>
        <v>0.1</v>
      </c>
      <c r="H9" s="19" t="n">
        <f aca="false">INDEX(Escenarios!$G$12:$G$36,MATCH($A9,Escenarios!$A$12:$A$36,0))</f>
        <v>0</v>
      </c>
      <c r="I9" s="19" t="n">
        <f aca="false">INDEX(Escenarios!$H$12:$H$36,MATCH($A9,Escenarios!$A$12:$A$36,0))</f>
        <v>0</v>
      </c>
      <c r="J9" s="18" t="n">
        <f aca="false">IF(INDEX(Escenarios!$I$12:$I$36,MATCH($A9,Escenarios!$A$12:$A$36,0))&gt;0,$D9,0)</f>
        <v>1385</v>
      </c>
      <c r="K9" s="18" t="n">
        <f aca="false">$E9*INDEX(Escenarios!$I$12:$I$36,MATCH($A9,Escenarios!$A$12:$A$36,0))*F9</f>
        <v>291053.385</v>
      </c>
      <c r="L9" s="18" t="n">
        <f aca="false">$E9*INDEX(Escenarios!$I$12:$I$36,MATCH($A9,Escenarios!$A$12:$A$36,0))*G9</f>
        <v>32339.265</v>
      </c>
      <c r="M9" s="18" t="n">
        <f aca="false">$E9*INDEX(Escenarios!$I$12:$I$36,MATCH($A9,Escenarios!$A$12:$A$36,0))*H9</f>
        <v>0</v>
      </c>
      <c r="N9" s="18" t="n">
        <f aca="false">$E9*INDEX(Escenarios!$I$12:$I$36,MATCH($A9,Escenarios!$A$12:$A$36,0))*I9</f>
        <v>0</v>
      </c>
      <c r="O9" s="20" t="n">
        <f aca="false">SUM(K9:N9)</f>
        <v>323392.65</v>
      </c>
      <c r="P9" s="18" t="n">
        <f aca="false">IF(INDEX(Escenarios!$J$12:$J$36,MATCH($A9,Escenarios!$A$12:$A$36,0))&gt;0,$D9,0)</f>
        <v>1385</v>
      </c>
      <c r="Q9" s="18" t="n">
        <f aca="false">$E9*INDEX(Escenarios!$J$12:$J$36,MATCH($A9,Escenarios!$A$12:$A$36,0))*F9</f>
        <v>291053.385</v>
      </c>
      <c r="R9" s="18" t="n">
        <f aca="false">$E9*INDEX(Escenarios!$J$12:$J$36,MATCH($A9,Escenarios!$A$12:$A$36,0))*G9</f>
        <v>32339.265</v>
      </c>
      <c r="S9" s="18" t="n">
        <f aca="false">$E9*INDEX(Escenarios!$J$12:$J$36,MATCH($A9,Escenarios!$A$12:$A$36,0))*H9</f>
        <v>0</v>
      </c>
      <c r="T9" s="18" t="n">
        <f aca="false">$E9*INDEX(Escenarios!$J$12:$J$36,MATCH($A9,Escenarios!$A$12:$A$36,0))*I9</f>
        <v>0</v>
      </c>
      <c r="U9" s="20" t="n">
        <f aca="false">SUM(Q9:T9)</f>
        <v>323392.65</v>
      </c>
      <c r="V9" s="18" t="n">
        <f aca="false">IF(INDEX(Escenarios!$K$12:$K$36,MATCH($A9,Escenarios!$A$12:$A$36,0))&gt;0,$D9,0)</f>
        <v>1385</v>
      </c>
      <c r="W9" s="18" t="n">
        <f aca="false">$E9*INDEX(Escenarios!$K$12:$K$36,MATCH($A9,Escenarios!$A$12:$A$36,0))*F9</f>
        <v>291053.385</v>
      </c>
      <c r="X9" s="18" t="n">
        <f aca="false">$E9*INDEX(Escenarios!$K$12:$K$36,MATCH($A9,Escenarios!$A$12:$A$36,0))*G9</f>
        <v>32339.265</v>
      </c>
      <c r="Y9" s="18" t="n">
        <f aca="false">$E9*INDEX(Escenarios!$K$12:$K$36,MATCH($A9,Escenarios!$A$12:$A$36,0))*H9</f>
        <v>0</v>
      </c>
      <c r="Z9" s="18" t="n">
        <f aca="false">$E9*INDEX(Escenarios!$K$12:$K$36,MATCH($A9,Escenarios!$A$12:$A$36,0))*I9</f>
        <v>0</v>
      </c>
      <c r="AA9" s="20" t="n">
        <f aca="false">SUM(W9:Z9)</f>
        <v>323392.65</v>
      </c>
      <c r="AB9" s="18" t="n">
        <f aca="false">IF(INDEX(Escenarios!$L$12:$L$36,MATCH($A9,Escenarios!$A$12:$A$36,0))&gt;0,$D9,0)</f>
        <v>1385</v>
      </c>
      <c r="AC9" s="18" t="n">
        <f aca="false">$E9*INDEX(Escenarios!$L$12:$L$36,MATCH($A9,Escenarios!$A$12:$A$36,0))*F9</f>
        <v>291053.385</v>
      </c>
      <c r="AD9" s="18" t="n">
        <f aca="false">$E9*INDEX(Escenarios!$L$12:$L$36,MATCH($A9,Escenarios!$A$12:$A$36,0))*G9</f>
        <v>32339.265</v>
      </c>
      <c r="AE9" s="18" t="n">
        <f aca="false">$E9*INDEX(Escenarios!$L$12:$L$36,MATCH($A9,Escenarios!$A$12:$A$36,0))*H9</f>
        <v>0</v>
      </c>
      <c r="AF9" s="18" t="n">
        <f aca="false">$E9*INDEX(Escenarios!$L$12:$L$36,MATCH($A9,Escenarios!$A$12:$A$36,0))*I9</f>
        <v>0</v>
      </c>
      <c r="AG9" s="20" t="n">
        <f aca="false">SUM(AC9:AF9)</f>
        <v>323392.65</v>
      </c>
    </row>
    <row r="10" customFormat="false" ht="15" hidden="false" customHeight="false" outlineLevel="0" collapsed="false">
      <c r="A10" s="3" t="s">
        <v>38</v>
      </c>
      <c r="B10" s="16" t="s">
        <v>39</v>
      </c>
      <c r="C10" s="17" t="str">
        <f aca="false">INDEX(Escenarios!$D$12:$D$36,MATCH($A10,Escenarios!$A$12:$A$36,0))</f>
        <v>Compartido</v>
      </c>
      <c r="D10" s="18" t="n">
        <f aca="false">SUMIFS(Datos!$H$5:$H$291,Datos!$E$5:$E$291,$A10,Datos!$F$5:$F$291,"S3")</f>
        <v>650</v>
      </c>
      <c r="E10" s="18" t="n">
        <f aca="false">SUMIFS(Datos!$J$5:$J$291,Datos!$E$5:$E$291,$A10,Datos!$F$5:$F$291,"S3")</f>
        <v>151656.225</v>
      </c>
      <c r="F10" s="19" t="n">
        <f aca="false">INDEX(Escenarios!$E$12:$E$36,MATCH($A10,Escenarios!$A$12:$A$36,0))</f>
        <v>0.9</v>
      </c>
      <c r="G10" s="19" t="n">
        <f aca="false">INDEX(Escenarios!$F$12:$F$36,MATCH($A10,Escenarios!$A$12:$A$36,0))</f>
        <v>0.1</v>
      </c>
      <c r="H10" s="19" t="n">
        <f aca="false">INDEX(Escenarios!$G$12:$G$36,MATCH($A10,Escenarios!$A$12:$A$36,0))</f>
        <v>0</v>
      </c>
      <c r="I10" s="19" t="n">
        <f aca="false">INDEX(Escenarios!$H$12:$H$36,MATCH($A10,Escenarios!$A$12:$A$36,0))</f>
        <v>0</v>
      </c>
      <c r="J10" s="18" t="n">
        <f aca="false">IF(INDEX(Escenarios!$I$12:$I$36,MATCH($A10,Escenarios!$A$12:$A$36,0))&gt;0,$D10,0)</f>
        <v>650</v>
      </c>
      <c r="K10" s="18" t="n">
        <f aca="false">$E10*INDEX(Escenarios!$I$12:$I$36,MATCH($A10,Escenarios!$A$12:$A$36,0))*F10</f>
        <v>136490.6025</v>
      </c>
      <c r="L10" s="18" t="n">
        <f aca="false">$E10*INDEX(Escenarios!$I$12:$I$36,MATCH($A10,Escenarios!$A$12:$A$36,0))*G10</f>
        <v>15165.6225</v>
      </c>
      <c r="M10" s="18" t="n">
        <f aca="false">$E10*INDEX(Escenarios!$I$12:$I$36,MATCH($A10,Escenarios!$A$12:$A$36,0))*H10</f>
        <v>0</v>
      </c>
      <c r="N10" s="18" t="n">
        <f aca="false">$E10*INDEX(Escenarios!$I$12:$I$36,MATCH($A10,Escenarios!$A$12:$A$36,0))*I10</f>
        <v>0</v>
      </c>
      <c r="O10" s="20" t="n">
        <f aca="false">SUM(K10:N10)</f>
        <v>151656.225</v>
      </c>
      <c r="P10" s="18" t="n">
        <f aca="false">IF(INDEX(Escenarios!$J$12:$J$36,MATCH($A10,Escenarios!$A$12:$A$36,0))&gt;0,$D10,0)</f>
        <v>650</v>
      </c>
      <c r="Q10" s="18" t="n">
        <f aca="false">$E10*INDEX(Escenarios!$J$12:$J$36,MATCH($A10,Escenarios!$A$12:$A$36,0))*F10</f>
        <v>136490.6025</v>
      </c>
      <c r="R10" s="18" t="n">
        <f aca="false">$E10*INDEX(Escenarios!$J$12:$J$36,MATCH($A10,Escenarios!$A$12:$A$36,0))*G10</f>
        <v>15165.6225</v>
      </c>
      <c r="S10" s="18" t="n">
        <f aca="false">$E10*INDEX(Escenarios!$J$12:$J$36,MATCH($A10,Escenarios!$A$12:$A$36,0))*H10</f>
        <v>0</v>
      </c>
      <c r="T10" s="18" t="n">
        <f aca="false">$E10*INDEX(Escenarios!$J$12:$J$36,MATCH($A10,Escenarios!$A$12:$A$36,0))*I10</f>
        <v>0</v>
      </c>
      <c r="U10" s="20" t="n">
        <f aca="false">SUM(Q10:T10)</f>
        <v>151656.225</v>
      </c>
      <c r="V10" s="18" t="n">
        <f aca="false">IF(INDEX(Escenarios!$K$12:$K$36,MATCH($A10,Escenarios!$A$12:$A$36,0))&gt;0,$D10,0)</f>
        <v>650</v>
      </c>
      <c r="W10" s="18" t="n">
        <f aca="false">$E10*INDEX(Escenarios!$K$12:$K$36,MATCH($A10,Escenarios!$A$12:$A$36,0))*F10</f>
        <v>136490.6025</v>
      </c>
      <c r="X10" s="18" t="n">
        <f aca="false">$E10*INDEX(Escenarios!$K$12:$K$36,MATCH($A10,Escenarios!$A$12:$A$36,0))*G10</f>
        <v>15165.6225</v>
      </c>
      <c r="Y10" s="18" t="n">
        <f aca="false">$E10*INDEX(Escenarios!$K$12:$K$36,MATCH($A10,Escenarios!$A$12:$A$36,0))*H10</f>
        <v>0</v>
      </c>
      <c r="Z10" s="18" t="n">
        <f aca="false">$E10*INDEX(Escenarios!$K$12:$K$36,MATCH($A10,Escenarios!$A$12:$A$36,0))*I10</f>
        <v>0</v>
      </c>
      <c r="AA10" s="20" t="n">
        <f aca="false">SUM(W10:Z10)</f>
        <v>151656.225</v>
      </c>
      <c r="AB10" s="18" t="n">
        <f aca="false">IF(INDEX(Escenarios!$L$12:$L$36,MATCH($A10,Escenarios!$A$12:$A$36,0))&gt;0,$D10,0)</f>
        <v>650</v>
      </c>
      <c r="AC10" s="18" t="n">
        <f aca="false">$E10*INDEX(Escenarios!$L$12:$L$36,MATCH($A10,Escenarios!$A$12:$A$36,0))*F10</f>
        <v>136490.6025</v>
      </c>
      <c r="AD10" s="18" t="n">
        <f aca="false">$E10*INDEX(Escenarios!$L$12:$L$36,MATCH($A10,Escenarios!$A$12:$A$36,0))*G10</f>
        <v>15165.6225</v>
      </c>
      <c r="AE10" s="18" t="n">
        <f aca="false">$E10*INDEX(Escenarios!$L$12:$L$36,MATCH($A10,Escenarios!$A$12:$A$36,0))*H10</f>
        <v>0</v>
      </c>
      <c r="AF10" s="18" t="n">
        <f aca="false">$E10*INDEX(Escenarios!$L$12:$L$36,MATCH($A10,Escenarios!$A$12:$A$36,0))*I10</f>
        <v>0</v>
      </c>
      <c r="AG10" s="20" t="n">
        <f aca="false">SUM(AC10:AF10)</f>
        <v>151656.225</v>
      </c>
    </row>
    <row r="11" customFormat="false" ht="15" hidden="false" customHeight="false" outlineLevel="0" collapsed="false">
      <c r="A11" s="3" t="s">
        <v>51</v>
      </c>
      <c r="B11" s="16" t="s">
        <v>52</v>
      </c>
      <c r="C11" s="17" t="str">
        <f aca="false">INDEX(Escenarios!$D$12:$D$36,MATCH($A11,Escenarios!$A$12:$A$36,0))</f>
        <v>IDOM</v>
      </c>
      <c r="D11" s="18" t="n">
        <f aca="false">SUMIFS(Datos!$H$5:$H$291,Datos!$E$5:$E$291,$A11,Datos!$F$5:$F$291,"S3")</f>
        <v>385</v>
      </c>
      <c r="E11" s="18" t="n">
        <f aca="false">SUMIFS(Datos!$J$5:$J$291,Datos!$E$5:$E$291,$A11,Datos!$F$5:$F$291,"S3")</f>
        <v>89229</v>
      </c>
      <c r="F11" s="19" t="n">
        <f aca="false">INDEX(Escenarios!$E$12:$E$36,MATCH($A11,Escenarios!$A$12:$A$36,0))</f>
        <v>1</v>
      </c>
      <c r="G11" s="19" t="n">
        <f aca="false">INDEX(Escenarios!$F$12:$F$36,MATCH($A11,Escenarios!$A$12:$A$36,0))</f>
        <v>0</v>
      </c>
      <c r="H11" s="19" t="n">
        <f aca="false">INDEX(Escenarios!$G$12:$G$36,MATCH($A11,Escenarios!$A$12:$A$36,0))</f>
        <v>0</v>
      </c>
      <c r="I11" s="19" t="n">
        <f aca="false">INDEX(Escenarios!$H$12:$H$36,MATCH($A11,Escenarios!$A$12:$A$36,0))</f>
        <v>0</v>
      </c>
      <c r="J11" s="18" t="n">
        <f aca="false">IF(INDEX(Escenarios!$I$12:$I$36,MATCH($A11,Escenarios!$A$12:$A$36,0))&gt;0,$D11,0)</f>
        <v>385</v>
      </c>
      <c r="K11" s="18" t="n">
        <f aca="false">$E11*INDEX(Escenarios!$I$12:$I$36,MATCH($A11,Escenarios!$A$12:$A$36,0))*F11</f>
        <v>89229</v>
      </c>
      <c r="L11" s="18" t="n">
        <f aca="false">$E11*INDEX(Escenarios!$I$12:$I$36,MATCH($A11,Escenarios!$A$12:$A$36,0))*G11</f>
        <v>0</v>
      </c>
      <c r="M11" s="18" t="n">
        <f aca="false">$E11*INDEX(Escenarios!$I$12:$I$36,MATCH($A11,Escenarios!$A$12:$A$36,0))*H11</f>
        <v>0</v>
      </c>
      <c r="N11" s="18" t="n">
        <f aca="false">$E11*INDEX(Escenarios!$I$12:$I$36,MATCH($A11,Escenarios!$A$12:$A$36,0))*I11</f>
        <v>0</v>
      </c>
      <c r="O11" s="20" t="n">
        <f aca="false">SUM(K11:N11)</f>
        <v>89229</v>
      </c>
      <c r="P11" s="18" t="n">
        <f aca="false">IF(INDEX(Escenarios!$J$12:$J$36,MATCH($A11,Escenarios!$A$12:$A$36,0))&gt;0,$D11,0)</f>
        <v>385</v>
      </c>
      <c r="Q11" s="18" t="n">
        <f aca="false">$E11*INDEX(Escenarios!$J$12:$J$36,MATCH($A11,Escenarios!$A$12:$A$36,0))*F11</f>
        <v>89229</v>
      </c>
      <c r="R11" s="18" t="n">
        <f aca="false">$E11*INDEX(Escenarios!$J$12:$J$36,MATCH($A11,Escenarios!$A$12:$A$36,0))*G11</f>
        <v>0</v>
      </c>
      <c r="S11" s="18" t="n">
        <f aca="false">$E11*INDEX(Escenarios!$J$12:$J$36,MATCH($A11,Escenarios!$A$12:$A$36,0))*H11</f>
        <v>0</v>
      </c>
      <c r="T11" s="18" t="n">
        <f aca="false">$E11*INDEX(Escenarios!$J$12:$J$36,MATCH($A11,Escenarios!$A$12:$A$36,0))*I11</f>
        <v>0</v>
      </c>
      <c r="U11" s="20" t="n">
        <f aca="false">SUM(Q11:T11)</f>
        <v>89229</v>
      </c>
      <c r="V11" s="18" t="n">
        <f aca="false">IF(INDEX(Escenarios!$K$12:$K$36,MATCH($A11,Escenarios!$A$12:$A$36,0))&gt;0,$D11,0)</f>
        <v>385</v>
      </c>
      <c r="W11" s="18" t="n">
        <f aca="false">$E11*INDEX(Escenarios!$K$12:$K$36,MATCH($A11,Escenarios!$A$12:$A$36,0))*F11</f>
        <v>89229</v>
      </c>
      <c r="X11" s="18" t="n">
        <f aca="false">$E11*INDEX(Escenarios!$K$12:$K$36,MATCH($A11,Escenarios!$A$12:$A$36,0))*G11</f>
        <v>0</v>
      </c>
      <c r="Y11" s="18" t="n">
        <f aca="false">$E11*INDEX(Escenarios!$K$12:$K$36,MATCH($A11,Escenarios!$A$12:$A$36,0))*H11</f>
        <v>0</v>
      </c>
      <c r="Z11" s="18" t="n">
        <f aca="false">$E11*INDEX(Escenarios!$K$12:$K$36,MATCH($A11,Escenarios!$A$12:$A$36,0))*I11</f>
        <v>0</v>
      </c>
      <c r="AA11" s="20" t="n">
        <f aca="false">SUM(W11:Z11)</f>
        <v>89229</v>
      </c>
      <c r="AB11" s="18" t="n">
        <f aca="false">IF(INDEX(Escenarios!$L$12:$L$36,MATCH($A11,Escenarios!$A$12:$A$36,0))&gt;0,$D11,0)</f>
        <v>385</v>
      </c>
      <c r="AC11" s="18" t="n">
        <f aca="false">$E11*INDEX(Escenarios!$L$12:$L$36,MATCH($A11,Escenarios!$A$12:$A$36,0))*F11</f>
        <v>89229</v>
      </c>
      <c r="AD11" s="18" t="n">
        <f aca="false">$E11*INDEX(Escenarios!$L$12:$L$36,MATCH($A11,Escenarios!$A$12:$A$36,0))*G11</f>
        <v>0</v>
      </c>
      <c r="AE11" s="18" t="n">
        <f aca="false">$E11*INDEX(Escenarios!$L$12:$L$36,MATCH($A11,Escenarios!$A$12:$A$36,0))*H11</f>
        <v>0</v>
      </c>
      <c r="AF11" s="18" t="n">
        <f aca="false">$E11*INDEX(Escenarios!$L$12:$L$36,MATCH($A11,Escenarios!$A$12:$A$36,0))*I11</f>
        <v>0</v>
      </c>
      <c r="AG11" s="20" t="n">
        <f aca="false">SUM(AC11:AF11)</f>
        <v>89229</v>
      </c>
    </row>
    <row r="12" customFormat="false" ht="15" hidden="false" customHeight="false" outlineLevel="0" collapsed="false">
      <c r="A12" s="3" t="s">
        <v>53</v>
      </c>
      <c r="B12" s="16" t="s">
        <v>54</v>
      </c>
      <c r="C12" s="17" t="str">
        <f aca="false">INDEX(Escenarios!$D$12:$D$36,MATCH($A12,Escenarios!$A$12:$A$36,0))</f>
        <v>IDOM</v>
      </c>
      <c r="D12" s="18" t="n">
        <f aca="false">SUMIFS(Datos!$H$5:$H$291,Datos!$E$5:$E$291,$A12,Datos!$F$5:$F$291,"S3")</f>
        <v>675</v>
      </c>
      <c r="E12" s="18" t="n">
        <f aca="false">SUMIFS(Datos!$J$5:$J$291,Datos!$E$5:$E$291,$A12,Datos!$F$5:$F$291,"S3")</f>
        <v>155044.575</v>
      </c>
      <c r="F12" s="19" t="n">
        <f aca="false">INDEX(Escenarios!$E$12:$E$36,MATCH($A12,Escenarios!$A$12:$A$36,0))</f>
        <v>1</v>
      </c>
      <c r="G12" s="19" t="n">
        <f aca="false">INDEX(Escenarios!$F$12:$F$36,MATCH($A12,Escenarios!$A$12:$A$36,0))</f>
        <v>0</v>
      </c>
      <c r="H12" s="19" t="n">
        <f aca="false">INDEX(Escenarios!$G$12:$G$36,MATCH($A12,Escenarios!$A$12:$A$36,0))</f>
        <v>0</v>
      </c>
      <c r="I12" s="19" t="n">
        <f aca="false">INDEX(Escenarios!$H$12:$H$36,MATCH($A12,Escenarios!$A$12:$A$36,0))</f>
        <v>0</v>
      </c>
      <c r="J12" s="18" t="n">
        <f aca="false">IF(INDEX(Escenarios!$I$12:$I$36,MATCH($A12,Escenarios!$A$12:$A$36,0))&gt;0,$D12,0)</f>
        <v>675</v>
      </c>
      <c r="K12" s="18" t="n">
        <f aca="false">$E12*INDEX(Escenarios!$I$12:$I$36,MATCH($A12,Escenarios!$A$12:$A$36,0))*F12</f>
        <v>155044.575</v>
      </c>
      <c r="L12" s="18" t="n">
        <f aca="false">$E12*INDEX(Escenarios!$I$12:$I$36,MATCH($A12,Escenarios!$A$12:$A$36,0))*G12</f>
        <v>0</v>
      </c>
      <c r="M12" s="18" t="n">
        <f aca="false">$E12*INDEX(Escenarios!$I$12:$I$36,MATCH($A12,Escenarios!$A$12:$A$36,0))*H12</f>
        <v>0</v>
      </c>
      <c r="N12" s="18" t="n">
        <f aca="false">$E12*INDEX(Escenarios!$I$12:$I$36,MATCH($A12,Escenarios!$A$12:$A$36,0))*I12</f>
        <v>0</v>
      </c>
      <c r="O12" s="20" t="n">
        <f aca="false">SUM(K12:N12)</f>
        <v>155044.575</v>
      </c>
      <c r="P12" s="18" t="n">
        <f aca="false">IF(INDEX(Escenarios!$J$12:$J$36,MATCH($A12,Escenarios!$A$12:$A$36,0))&gt;0,$D12,0)</f>
        <v>675</v>
      </c>
      <c r="Q12" s="18" t="n">
        <f aca="false">$E12*INDEX(Escenarios!$J$12:$J$36,MATCH($A12,Escenarios!$A$12:$A$36,0))*F12</f>
        <v>155044.575</v>
      </c>
      <c r="R12" s="18" t="n">
        <f aca="false">$E12*INDEX(Escenarios!$J$12:$J$36,MATCH($A12,Escenarios!$A$12:$A$36,0))*G12</f>
        <v>0</v>
      </c>
      <c r="S12" s="18" t="n">
        <f aca="false">$E12*INDEX(Escenarios!$J$12:$J$36,MATCH($A12,Escenarios!$A$12:$A$36,0))*H12</f>
        <v>0</v>
      </c>
      <c r="T12" s="18" t="n">
        <f aca="false">$E12*INDEX(Escenarios!$J$12:$J$36,MATCH($A12,Escenarios!$A$12:$A$36,0))*I12</f>
        <v>0</v>
      </c>
      <c r="U12" s="20" t="n">
        <f aca="false">SUM(Q12:T12)</f>
        <v>155044.575</v>
      </c>
      <c r="V12" s="18" t="n">
        <f aca="false">IF(INDEX(Escenarios!$K$12:$K$36,MATCH($A12,Escenarios!$A$12:$A$36,0))&gt;0,$D12,0)</f>
        <v>675</v>
      </c>
      <c r="W12" s="18" t="n">
        <f aca="false">$E12*INDEX(Escenarios!$K$12:$K$36,MATCH($A12,Escenarios!$A$12:$A$36,0))*F12</f>
        <v>155044.575</v>
      </c>
      <c r="X12" s="18" t="n">
        <f aca="false">$E12*INDEX(Escenarios!$K$12:$K$36,MATCH($A12,Escenarios!$A$12:$A$36,0))*G12</f>
        <v>0</v>
      </c>
      <c r="Y12" s="18" t="n">
        <f aca="false">$E12*INDEX(Escenarios!$K$12:$K$36,MATCH($A12,Escenarios!$A$12:$A$36,0))*H12</f>
        <v>0</v>
      </c>
      <c r="Z12" s="18" t="n">
        <f aca="false">$E12*INDEX(Escenarios!$K$12:$K$36,MATCH($A12,Escenarios!$A$12:$A$36,0))*I12</f>
        <v>0</v>
      </c>
      <c r="AA12" s="20" t="n">
        <f aca="false">SUM(W12:Z12)</f>
        <v>155044.575</v>
      </c>
      <c r="AB12" s="18" t="n">
        <f aca="false">IF(INDEX(Escenarios!$L$12:$L$36,MATCH($A12,Escenarios!$A$12:$A$36,0))&gt;0,$D12,0)</f>
        <v>675</v>
      </c>
      <c r="AC12" s="18" t="n">
        <f aca="false">$E12*INDEX(Escenarios!$L$12:$L$36,MATCH($A12,Escenarios!$A$12:$A$36,0))*F12</f>
        <v>155044.575</v>
      </c>
      <c r="AD12" s="18" t="n">
        <f aca="false">$E12*INDEX(Escenarios!$L$12:$L$36,MATCH($A12,Escenarios!$A$12:$A$36,0))*G12</f>
        <v>0</v>
      </c>
      <c r="AE12" s="18" t="n">
        <f aca="false">$E12*INDEX(Escenarios!$L$12:$L$36,MATCH($A12,Escenarios!$A$12:$A$36,0))*H12</f>
        <v>0</v>
      </c>
      <c r="AF12" s="18" t="n">
        <f aca="false">$E12*INDEX(Escenarios!$L$12:$L$36,MATCH($A12,Escenarios!$A$12:$A$36,0))*I12</f>
        <v>0</v>
      </c>
      <c r="AG12" s="20" t="n">
        <f aca="false">SUM(AC12:AF12)</f>
        <v>155044.575</v>
      </c>
    </row>
    <row r="13" customFormat="false" ht="15" hidden="false" customHeight="false" outlineLevel="0" collapsed="false">
      <c r="A13" s="3" t="s">
        <v>55</v>
      </c>
      <c r="B13" s="16" t="s">
        <v>56</v>
      </c>
      <c r="C13" s="17" t="str">
        <f aca="false">INDEX(Escenarios!$D$12:$D$36,MATCH($A13,Escenarios!$A$12:$A$36,0))</f>
        <v>Compartido</v>
      </c>
      <c r="D13" s="18" t="n">
        <f aca="false">SUMIFS(Datos!$H$5:$H$291,Datos!$E$5:$E$291,$A13,Datos!$F$5:$F$291,"S3")</f>
        <v>480</v>
      </c>
      <c r="E13" s="18" t="n">
        <f aca="false">SUMIFS(Datos!$J$5:$J$291,Datos!$E$5:$E$291,$A13,Datos!$F$5:$F$291,"S3")</f>
        <v>110536.65</v>
      </c>
      <c r="F13" s="19" t="n">
        <f aca="false">INDEX(Escenarios!$E$12:$E$36,MATCH($A13,Escenarios!$A$12:$A$36,0))</f>
        <v>0.9</v>
      </c>
      <c r="G13" s="19" t="n">
        <f aca="false">INDEX(Escenarios!$F$12:$F$36,MATCH($A13,Escenarios!$A$12:$A$36,0))</f>
        <v>0.1</v>
      </c>
      <c r="H13" s="19" t="n">
        <f aca="false">INDEX(Escenarios!$G$12:$G$36,MATCH($A13,Escenarios!$A$12:$A$36,0))</f>
        <v>0</v>
      </c>
      <c r="I13" s="19" t="n">
        <f aca="false">INDEX(Escenarios!$H$12:$H$36,MATCH($A13,Escenarios!$A$12:$A$36,0))</f>
        <v>0</v>
      </c>
      <c r="J13" s="18" t="n">
        <f aca="false">IF(INDEX(Escenarios!$I$12:$I$36,MATCH($A13,Escenarios!$A$12:$A$36,0))&gt;0,$D13,0)</f>
        <v>480</v>
      </c>
      <c r="K13" s="18" t="n">
        <f aca="false">$E13*INDEX(Escenarios!$I$12:$I$36,MATCH($A13,Escenarios!$A$12:$A$36,0))*F13</f>
        <v>99482.985</v>
      </c>
      <c r="L13" s="18" t="n">
        <f aca="false">$E13*INDEX(Escenarios!$I$12:$I$36,MATCH($A13,Escenarios!$A$12:$A$36,0))*G13</f>
        <v>11053.665</v>
      </c>
      <c r="M13" s="18" t="n">
        <f aca="false">$E13*INDEX(Escenarios!$I$12:$I$36,MATCH($A13,Escenarios!$A$12:$A$36,0))*H13</f>
        <v>0</v>
      </c>
      <c r="N13" s="18" t="n">
        <f aca="false">$E13*INDEX(Escenarios!$I$12:$I$36,MATCH($A13,Escenarios!$A$12:$A$36,0))*I13</f>
        <v>0</v>
      </c>
      <c r="O13" s="20" t="n">
        <f aca="false">SUM(K13:N13)</f>
        <v>110536.65</v>
      </c>
      <c r="P13" s="18" t="n">
        <f aca="false">IF(INDEX(Escenarios!$J$12:$J$36,MATCH($A13,Escenarios!$A$12:$A$36,0))&gt;0,$D13,0)</f>
        <v>480</v>
      </c>
      <c r="Q13" s="18" t="n">
        <f aca="false">$E13*INDEX(Escenarios!$J$12:$J$36,MATCH($A13,Escenarios!$A$12:$A$36,0))*F13</f>
        <v>99482.985</v>
      </c>
      <c r="R13" s="18" t="n">
        <f aca="false">$E13*INDEX(Escenarios!$J$12:$J$36,MATCH($A13,Escenarios!$A$12:$A$36,0))*G13</f>
        <v>11053.665</v>
      </c>
      <c r="S13" s="18" t="n">
        <f aca="false">$E13*INDEX(Escenarios!$J$12:$J$36,MATCH($A13,Escenarios!$A$12:$A$36,0))*H13</f>
        <v>0</v>
      </c>
      <c r="T13" s="18" t="n">
        <f aca="false">$E13*INDEX(Escenarios!$J$12:$J$36,MATCH($A13,Escenarios!$A$12:$A$36,0))*I13</f>
        <v>0</v>
      </c>
      <c r="U13" s="20" t="n">
        <f aca="false">SUM(Q13:T13)</f>
        <v>110536.65</v>
      </c>
      <c r="V13" s="18" t="n">
        <f aca="false">IF(INDEX(Escenarios!$K$12:$K$36,MATCH($A13,Escenarios!$A$12:$A$36,0))&gt;0,$D13,0)</f>
        <v>480</v>
      </c>
      <c r="W13" s="18" t="n">
        <f aca="false">$E13*INDEX(Escenarios!$K$12:$K$36,MATCH($A13,Escenarios!$A$12:$A$36,0))*F13</f>
        <v>99482.985</v>
      </c>
      <c r="X13" s="18" t="n">
        <f aca="false">$E13*INDEX(Escenarios!$K$12:$K$36,MATCH($A13,Escenarios!$A$12:$A$36,0))*G13</f>
        <v>11053.665</v>
      </c>
      <c r="Y13" s="18" t="n">
        <f aca="false">$E13*INDEX(Escenarios!$K$12:$K$36,MATCH($A13,Escenarios!$A$12:$A$36,0))*H13</f>
        <v>0</v>
      </c>
      <c r="Z13" s="18" t="n">
        <f aca="false">$E13*INDEX(Escenarios!$K$12:$K$36,MATCH($A13,Escenarios!$A$12:$A$36,0))*I13</f>
        <v>0</v>
      </c>
      <c r="AA13" s="20" t="n">
        <f aca="false">SUM(W13:Z13)</f>
        <v>110536.65</v>
      </c>
      <c r="AB13" s="18" t="n">
        <f aca="false">IF(INDEX(Escenarios!$L$12:$L$36,MATCH($A13,Escenarios!$A$12:$A$36,0))&gt;0,$D13,0)</f>
        <v>480</v>
      </c>
      <c r="AC13" s="18" t="n">
        <f aca="false">$E13*INDEX(Escenarios!$L$12:$L$36,MATCH($A13,Escenarios!$A$12:$A$36,0))*F13</f>
        <v>99482.985</v>
      </c>
      <c r="AD13" s="18" t="n">
        <f aca="false">$E13*INDEX(Escenarios!$L$12:$L$36,MATCH($A13,Escenarios!$A$12:$A$36,0))*G13</f>
        <v>11053.665</v>
      </c>
      <c r="AE13" s="18" t="n">
        <f aca="false">$E13*INDEX(Escenarios!$L$12:$L$36,MATCH($A13,Escenarios!$A$12:$A$36,0))*H13</f>
        <v>0</v>
      </c>
      <c r="AF13" s="18" t="n">
        <f aca="false">$E13*INDEX(Escenarios!$L$12:$L$36,MATCH($A13,Escenarios!$A$12:$A$36,0))*I13</f>
        <v>0</v>
      </c>
      <c r="AG13" s="20" t="n">
        <f aca="false">SUM(AC13:AF13)</f>
        <v>110536.65</v>
      </c>
    </row>
    <row r="14" customFormat="false" ht="15" hidden="false" customHeight="false" outlineLevel="0" collapsed="false">
      <c r="A14" s="3" t="s">
        <v>40</v>
      </c>
      <c r="B14" s="16" t="s">
        <v>41</v>
      </c>
      <c r="C14" s="17" t="str">
        <f aca="false">INDEX(Escenarios!$D$12:$D$36,MATCH($A14,Escenarios!$A$12:$A$36,0))</f>
        <v>IDOM</v>
      </c>
      <c r="D14" s="18" t="n">
        <f aca="false">SUMIFS(Datos!$H$5:$H$291,Datos!$E$5:$E$291,$A14,Datos!$F$5:$F$291,"S3")</f>
        <v>490</v>
      </c>
      <c r="E14" s="18" t="n">
        <f aca="false">SUMIFS(Datos!$J$5:$J$291,Datos!$E$5:$E$291,$A14,Datos!$F$5:$F$291,"S3")</f>
        <v>112300.65</v>
      </c>
      <c r="F14" s="19" t="n">
        <f aca="false">INDEX(Escenarios!$E$12:$E$36,MATCH($A14,Escenarios!$A$12:$A$36,0))</f>
        <v>1</v>
      </c>
      <c r="G14" s="19" t="n">
        <f aca="false">INDEX(Escenarios!$F$12:$F$36,MATCH($A14,Escenarios!$A$12:$A$36,0))</f>
        <v>0</v>
      </c>
      <c r="H14" s="19" t="n">
        <f aca="false">INDEX(Escenarios!$G$12:$G$36,MATCH($A14,Escenarios!$A$12:$A$36,0))</f>
        <v>0</v>
      </c>
      <c r="I14" s="19" t="n">
        <f aca="false">INDEX(Escenarios!$H$12:$H$36,MATCH($A14,Escenarios!$A$12:$A$36,0))</f>
        <v>0</v>
      </c>
      <c r="J14" s="18" t="n">
        <f aca="false">IF(INDEX(Escenarios!$I$12:$I$36,MATCH($A14,Escenarios!$A$12:$A$36,0))&gt;0,$D14,0)</f>
        <v>490</v>
      </c>
      <c r="K14" s="18" t="n">
        <f aca="false">$E14*INDEX(Escenarios!$I$12:$I$36,MATCH($A14,Escenarios!$A$12:$A$36,0))*F14</f>
        <v>112300.65</v>
      </c>
      <c r="L14" s="18" t="n">
        <f aca="false">$E14*INDEX(Escenarios!$I$12:$I$36,MATCH($A14,Escenarios!$A$12:$A$36,0))*G14</f>
        <v>0</v>
      </c>
      <c r="M14" s="18" t="n">
        <f aca="false">$E14*INDEX(Escenarios!$I$12:$I$36,MATCH($A14,Escenarios!$A$12:$A$36,0))*H14</f>
        <v>0</v>
      </c>
      <c r="N14" s="18" t="n">
        <f aca="false">$E14*INDEX(Escenarios!$I$12:$I$36,MATCH($A14,Escenarios!$A$12:$A$36,0))*I14</f>
        <v>0</v>
      </c>
      <c r="O14" s="20" t="n">
        <f aca="false">SUM(K14:N14)</f>
        <v>112300.65</v>
      </c>
      <c r="P14" s="18" t="n">
        <f aca="false">IF(INDEX(Escenarios!$J$12:$J$36,MATCH($A14,Escenarios!$A$12:$A$36,0))&gt;0,$D14,0)</f>
        <v>490</v>
      </c>
      <c r="Q14" s="18" t="n">
        <f aca="false">$E14*INDEX(Escenarios!$J$12:$J$36,MATCH($A14,Escenarios!$A$12:$A$36,0))*F14</f>
        <v>112300.65</v>
      </c>
      <c r="R14" s="18" t="n">
        <f aca="false">$E14*INDEX(Escenarios!$J$12:$J$36,MATCH($A14,Escenarios!$A$12:$A$36,0))*G14</f>
        <v>0</v>
      </c>
      <c r="S14" s="18" t="n">
        <f aca="false">$E14*INDEX(Escenarios!$J$12:$J$36,MATCH($A14,Escenarios!$A$12:$A$36,0))*H14</f>
        <v>0</v>
      </c>
      <c r="T14" s="18" t="n">
        <f aca="false">$E14*INDEX(Escenarios!$J$12:$J$36,MATCH($A14,Escenarios!$A$12:$A$36,0))*I14</f>
        <v>0</v>
      </c>
      <c r="U14" s="20" t="n">
        <f aca="false">SUM(Q14:T14)</f>
        <v>112300.65</v>
      </c>
      <c r="V14" s="18" t="n">
        <f aca="false">IF(INDEX(Escenarios!$K$12:$K$36,MATCH($A14,Escenarios!$A$12:$A$36,0))&gt;0,$D14,0)</f>
        <v>490</v>
      </c>
      <c r="W14" s="18" t="n">
        <f aca="false">$E14*INDEX(Escenarios!$K$12:$K$36,MATCH($A14,Escenarios!$A$12:$A$36,0))*F14</f>
        <v>112300.65</v>
      </c>
      <c r="X14" s="18" t="n">
        <f aca="false">$E14*INDEX(Escenarios!$K$12:$K$36,MATCH($A14,Escenarios!$A$12:$A$36,0))*G14</f>
        <v>0</v>
      </c>
      <c r="Y14" s="18" t="n">
        <f aca="false">$E14*INDEX(Escenarios!$K$12:$K$36,MATCH($A14,Escenarios!$A$12:$A$36,0))*H14</f>
        <v>0</v>
      </c>
      <c r="Z14" s="18" t="n">
        <f aca="false">$E14*INDEX(Escenarios!$K$12:$K$36,MATCH($A14,Escenarios!$A$12:$A$36,0))*I14</f>
        <v>0</v>
      </c>
      <c r="AA14" s="20" t="n">
        <f aca="false">SUM(W14:Z14)</f>
        <v>112300.65</v>
      </c>
      <c r="AB14" s="18" t="n">
        <f aca="false">IF(INDEX(Escenarios!$L$12:$L$36,MATCH($A14,Escenarios!$A$12:$A$36,0))&gt;0,$D14,0)</f>
        <v>490</v>
      </c>
      <c r="AC14" s="18" t="n">
        <f aca="false">$E14*INDEX(Escenarios!$L$12:$L$36,MATCH($A14,Escenarios!$A$12:$A$36,0))*F14</f>
        <v>112300.65</v>
      </c>
      <c r="AD14" s="18" t="n">
        <f aca="false">$E14*INDEX(Escenarios!$L$12:$L$36,MATCH($A14,Escenarios!$A$12:$A$36,0))*G14</f>
        <v>0</v>
      </c>
      <c r="AE14" s="18" t="n">
        <f aca="false">$E14*INDEX(Escenarios!$L$12:$L$36,MATCH($A14,Escenarios!$A$12:$A$36,0))*H14</f>
        <v>0</v>
      </c>
      <c r="AF14" s="18" t="n">
        <f aca="false">$E14*INDEX(Escenarios!$L$12:$L$36,MATCH($A14,Escenarios!$A$12:$A$36,0))*I14</f>
        <v>0</v>
      </c>
      <c r="AG14" s="20" t="n">
        <f aca="false">SUM(AC14:AF14)</f>
        <v>112300.65</v>
      </c>
    </row>
    <row r="15" customFormat="false" ht="15" hidden="false" customHeight="false" outlineLevel="0" collapsed="false">
      <c r="A15" s="3" t="s">
        <v>42</v>
      </c>
      <c r="B15" s="16" t="s">
        <v>43</v>
      </c>
      <c r="C15" s="17" t="str">
        <f aca="false">INDEX(Escenarios!$D$12:$D$36,MATCH($A15,Escenarios!$A$12:$A$36,0))</f>
        <v>IDOM</v>
      </c>
      <c r="D15" s="18" t="n">
        <f aca="false">SUMIFS(Datos!$H$5:$H$291,Datos!$E$5:$E$291,$A15,Datos!$F$5:$F$291,"S3")</f>
        <v>470</v>
      </c>
      <c r="E15" s="18" t="n">
        <f aca="false">SUMIFS(Datos!$J$5:$J$291,Datos!$E$5:$E$291,$A15,Datos!$F$5:$F$291,"S3")</f>
        <v>108941.7</v>
      </c>
      <c r="F15" s="19" t="n">
        <f aca="false">INDEX(Escenarios!$E$12:$E$36,MATCH($A15,Escenarios!$A$12:$A$36,0))</f>
        <v>1</v>
      </c>
      <c r="G15" s="19" t="n">
        <f aca="false">INDEX(Escenarios!$F$12:$F$36,MATCH($A15,Escenarios!$A$12:$A$36,0))</f>
        <v>0</v>
      </c>
      <c r="H15" s="19" t="n">
        <f aca="false">INDEX(Escenarios!$G$12:$G$36,MATCH($A15,Escenarios!$A$12:$A$36,0))</f>
        <v>0</v>
      </c>
      <c r="I15" s="19" t="n">
        <f aca="false">INDEX(Escenarios!$H$12:$H$36,MATCH($A15,Escenarios!$A$12:$A$36,0))</f>
        <v>0</v>
      </c>
      <c r="J15" s="18" t="n">
        <f aca="false">IF(INDEX(Escenarios!$I$12:$I$36,MATCH($A15,Escenarios!$A$12:$A$36,0))&gt;0,$D15,0)</f>
        <v>470</v>
      </c>
      <c r="K15" s="18" t="n">
        <f aca="false">$E15*INDEX(Escenarios!$I$12:$I$36,MATCH($A15,Escenarios!$A$12:$A$36,0))*F15</f>
        <v>108941.7</v>
      </c>
      <c r="L15" s="18" t="n">
        <f aca="false">$E15*INDEX(Escenarios!$I$12:$I$36,MATCH($A15,Escenarios!$A$12:$A$36,0))*G15</f>
        <v>0</v>
      </c>
      <c r="M15" s="18" t="n">
        <f aca="false">$E15*INDEX(Escenarios!$I$12:$I$36,MATCH($A15,Escenarios!$A$12:$A$36,0))*H15</f>
        <v>0</v>
      </c>
      <c r="N15" s="18" t="n">
        <f aca="false">$E15*INDEX(Escenarios!$I$12:$I$36,MATCH($A15,Escenarios!$A$12:$A$36,0))*I15</f>
        <v>0</v>
      </c>
      <c r="O15" s="20" t="n">
        <f aca="false">SUM(K15:N15)</f>
        <v>108941.7</v>
      </c>
      <c r="P15" s="18" t="n">
        <f aca="false">IF(INDEX(Escenarios!$J$12:$J$36,MATCH($A15,Escenarios!$A$12:$A$36,0))&gt;0,$D15,0)</f>
        <v>470</v>
      </c>
      <c r="Q15" s="18" t="n">
        <f aca="false">$E15*INDEX(Escenarios!$J$12:$J$36,MATCH($A15,Escenarios!$A$12:$A$36,0))*F15</f>
        <v>108941.7</v>
      </c>
      <c r="R15" s="18" t="n">
        <f aca="false">$E15*INDEX(Escenarios!$J$12:$J$36,MATCH($A15,Escenarios!$A$12:$A$36,0))*G15</f>
        <v>0</v>
      </c>
      <c r="S15" s="18" t="n">
        <f aca="false">$E15*INDEX(Escenarios!$J$12:$J$36,MATCH($A15,Escenarios!$A$12:$A$36,0))*H15</f>
        <v>0</v>
      </c>
      <c r="T15" s="18" t="n">
        <f aca="false">$E15*INDEX(Escenarios!$J$12:$J$36,MATCH($A15,Escenarios!$A$12:$A$36,0))*I15</f>
        <v>0</v>
      </c>
      <c r="U15" s="20" t="n">
        <f aca="false">SUM(Q15:T15)</f>
        <v>108941.7</v>
      </c>
      <c r="V15" s="18" t="n">
        <f aca="false">IF(INDEX(Escenarios!$K$12:$K$36,MATCH($A15,Escenarios!$A$12:$A$36,0))&gt;0,$D15,0)</f>
        <v>0</v>
      </c>
      <c r="W15" s="18" t="n">
        <f aca="false">$E15*INDEX(Escenarios!$K$12:$K$36,MATCH($A15,Escenarios!$A$12:$A$36,0))*F15</f>
        <v>0</v>
      </c>
      <c r="X15" s="18" t="n">
        <f aca="false">$E15*INDEX(Escenarios!$K$12:$K$36,MATCH($A15,Escenarios!$A$12:$A$36,0))*G15</f>
        <v>0</v>
      </c>
      <c r="Y15" s="18" t="n">
        <f aca="false">$E15*INDEX(Escenarios!$K$12:$K$36,MATCH($A15,Escenarios!$A$12:$A$36,0))*H15</f>
        <v>0</v>
      </c>
      <c r="Z15" s="18" t="n">
        <f aca="false">$E15*INDEX(Escenarios!$K$12:$K$36,MATCH($A15,Escenarios!$A$12:$A$36,0))*I15</f>
        <v>0</v>
      </c>
      <c r="AA15" s="20" t="n">
        <f aca="false">SUM(W15:Z15)</f>
        <v>0</v>
      </c>
      <c r="AB15" s="18" t="n">
        <f aca="false">IF(INDEX(Escenarios!$L$12:$L$36,MATCH($A15,Escenarios!$A$12:$A$36,0))&gt;0,$D15,0)</f>
        <v>0</v>
      </c>
      <c r="AC15" s="18" t="n">
        <f aca="false">$E15*INDEX(Escenarios!$L$12:$L$36,MATCH($A15,Escenarios!$A$12:$A$36,0))*F15</f>
        <v>0</v>
      </c>
      <c r="AD15" s="18" t="n">
        <f aca="false">$E15*INDEX(Escenarios!$L$12:$L$36,MATCH($A15,Escenarios!$A$12:$A$36,0))*G15</f>
        <v>0</v>
      </c>
      <c r="AE15" s="18" t="n">
        <f aca="false">$E15*INDEX(Escenarios!$L$12:$L$36,MATCH($A15,Escenarios!$A$12:$A$36,0))*H15</f>
        <v>0</v>
      </c>
      <c r="AF15" s="18" t="n">
        <f aca="false">$E15*INDEX(Escenarios!$L$12:$L$36,MATCH($A15,Escenarios!$A$12:$A$36,0))*I15</f>
        <v>0</v>
      </c>
      <c r="AG15" s="20" t="n">
        <f aca="false">SUM(AC15:AF15)</f>
        <v>0</v>
      </c>
    </row>
    <row r="16" customFormat="false" ht="15" hidden="false" customHeight="false" outlineLevel="0" collapsed="false">
      <c r="A16" s="3" t="s">
        <v>44</v>
      </c>
      <c r="B16" s="16" t="s">
        <v>45</v>
      </c>
      <c r="C16" s="17" t="str">
        <f aca="false">INDEX(Escenarios!$D$12:$D$36,MATCH($A16,Escenarios!$A$12:$A$36,0))</f>
        <v>IDOM</v>
      </c>
      <c r="D16" s="18" t="n">
        <f aca="false">SUMIFS(Datos!$H$5:$H$291,Datos!$E$5:$E$291,$A16,Datos!$F$5:$F$291,"S3")</f>
        <v>395</v>
      </c>
      <c r="E16" s="18" t="n">
        <f aca="false">SUMIFS(Datos!$J$5:$J$291,Datos!$E$5:$E$291,$A16,Datos!$F$5:$F$291,"S3")</f>
        <v>89100.375</v>
      </c>
      <c r="F16" s="19" t="n">
        <f aca="false">INDEX(Escenarios!$E$12:$E$36,MATCH($A16,Escenarios!$A$12:$A$36,0))</f>
        <v>1</v>
      </c>
      <c r="G16" s="19" t="n">
        <f aca="false">INDEX(Escenarios!$F$12:$F$36,MATCH($A16,Escenarios!$A$12:$A$36,0))</f>
        <v>0</v>
      </c>
      <c r="H16" s="19" t="n">
        <f aca="false">INDEX(Escenarios!$G$12:$G$36,MATCH($A16,Escenarios!$A$12:$A$36,0))</f>
        <v>0</v>
      </c>
      <c r="I16" s="19" t="n">
        <f aca="false">INDEX(Escenarios!$H$12:$H$36,MATCH($A16,Escenarios!$A$12:$A$36,0))</f>
        <v>0</v>
      </c>
      <c r="J16" s="18" t="n">
        <f aca="false">IF(INDEX(Escenarios!$I$12:$I$36,MATCH($A16,Escenarios!$A$12:$A$36,0))&gt;0,$D16,0)</f>
        <v>395</v>
      </c>
      <c r="K16" s="18" t="n">
        <f aca="false">$E16*INDEX(Escenarios!$I$12:$I$36,MATCH($A16,Escenarios!$A$12:$A$36,0))*F16</f>
        <v>89100.375</v>
      </c>
      <c r="L16" s="18" t="n">
        <f aca="false">$E16*INDEX(Escenarios!$I$12:$I$36,MATCH($A16,Escenarios!$A$12:$A$36,0))*G16</f>
        <v>0</v>
      </c>
      <c r="M16" s="18" t="n">
        <f aca="false">$E16*INDEX(Escenarios!$I$12:$I$36,MATCH($A16,Escenarios!$A$12:$A$36,0))*H16</f>
        <v>0</v>
      </c>
      <c r="N16" s="18" t="n">
        <f aca="false">$E16*INDEX(Escenarios!$I$12:$I$36,MATCH($A16,Escenarios!$A$12:$A$36,0))*I16</f>
        <v>0</v>
      </c>
      <c r="O16" s="20" t="n">
        <f aca="false">SUM(K16:N16)</f>
        <v>89100.375</v>
      </c>
      <c r="P16" s="18" t="n">
        <f aca="false">IF(INDEX(Escenarios!$J$12:$J$36,MATCH($A16,Escenarios!$A$12:$A$36,0))&gt;0,$D16,0)</f>
        <v>395</v>
      </c>
      <c r="Q16" s="18" t="n">
        <f aca="false">$E16*INDEX(Escenarios!$J$12:$J$36,MATCH($A16,Escenarios!$A$12:$A$36,0))*F16</f>
        <v>89100.375</v>
      </c>
      <c r="R16" s="18" t="n">
        <f aca="false">$E16*INDEX(Escenarios!$J$12:$J$36,MATCH($A16,Escenarios!$A$12:$A$36,0))*G16</f>
        <v>0</v>
      </c>
      <c r="S16" s="18" t="n">
        <f aca="false">$E16*INDEX(Escenarios!$J$12:$J$36,MATCH($A16,Escenarios!$A$12:$A$36,0))*H16</f>
        <v>0</v>
      </c>
      <c r="T16" s="18" t="n">
        <f aca="false">$E16*INDEX(Escenarios!$J$12:$J$36,MATCH($A16,Escenarios!$A$12:$A$36,0))*I16</f>
        <v>0</v>
      </c>
      <c r="U16" s="20" t="n">
        <f aca="false">SUM(Q16:T16)</f>
        <v>89100.375</v>
      </c>
      <c r="V16" s="18" t="n">
        <f aca="false">IF(INDEX(Escenarios!$K$12:$K$36,MATCH($A16,Escenarios!$A$12:$A$36,0))&gt;0,$D16,0)</f>
        <v>0</v>
      </c>
      <c r="W16" s="18" t="n">
        <f aca="false">$E16*INDEX(Escenarios!$K$12:$K$36,MATCH($A16,Escenarios!$A$12:$A$36,0))*F16</f>
        <v>0</v>
      </c>
      <c r="X16" s="18" t="n">
        <f aca="false">$E16*INDEX(Escenarios!$K$12:$K$36,MATCH($A16,Escenarios!$A$12:$A$36,0))*G16</f>
        <v>0</v>
      </c>
      <c r="Y16" s="18" t="n">
        <f aca="false">$E16*INDEX(Escenarios!$K$12:$K$36,MATCH($A16,Escenarios!$A$12:$A$36,0))*H16</f>
        <v>0</v>
      </c>
      <c r="Z16" s="18" t="n">
        <f aca="false">$E16*INDEX(Escenarios!$K$12:$K$36,MATCH($A16,Escenarios!$A$12:$A$36,0))*I16</f>
        <v>0</v>
      </c>
      <c r="AA16" s="20" t="n">
        <f aca="false">SUM(W16:Z16)</f>
        <v>0</v>
      </c>
      <c r="AB16" s="18" t="n">
        <f aca="false">IF(INDEX(Escenarios!$L$12:$L$36,MATCH($A16,Escenarios!$A$12:$A$36,0))&gt;0,$D16,0)</f>
        <v>0</v>
      </c>
      <c r="AC16" s="18" t="n">
        <f aca="false">$E16*INDEX(Escenarios!$L$12:$L$36,MATCH($A16,Escenarios!$A$12:$A$36,0))*F16</f>
        <v>0</v>
      </c>
      <c r="AD16" s="18" t="n">
        <f aca="false">$E16*INDEX(Escenarios!$L$12:$L$36,MATCH($A16,Escenarios!$A$12:$A$36,0))*G16</f>
        <v>0</v>
      </c>
      <c r="AE16" s="18" t="n">
        <f aca="false">$E16*INDEX(Escenarios!$L$12:$L$36,MATCH($A16,Escenarios!$A$12:$A$36,0))*H16</f>
        <v>0</v>
      </c>
      <c r="AF16" s="18" t="n">
        <f aca="false">$E16*INDEX(Escenarios!$L$12:$L$36,MATCH($A16,Escenarios!$A$12:$A$36,0))*I16</f>
        <v>0</v>
      </c>
      <c r="AG16" s="20" t="n">
        <f aca="false">SUM(AC16:AF16)</f>
        <v>0</v>
      </c>
    </row>
    <row r="17" customFormat="false" ht="15" hidden="false" customHeight="false" outlineLevel="0" collapsed="false">
      <c r="A17" s="3" t="s">
        <v>57</v>
      </c>
      <c r="B17" s="16" t="s">
        <v>58</v>
      </c>
      <c r="C17" s="17" t="str">
        <f aca="false">INDEX(Escenarios!$D$12:$D$36,MATCH($A17,Escenarios!$A$12:$A$36,0))</f>
        <v>Compartido</v>
      </c>
      <c r="D17" s="18" t="n">
        <f aca="false">SUMIFS(Datos!$H$5:$H$291,Datos!$E$5:$E$291,$A17,Datos!$F$5:$F$291,"S3")</f>
        <v>350</v>
      </c>
      <c r="E17" s="18" t="n">
        <f aca="false">SUMIFS(Datos!$J$5:$J$291,Datos!$E$5:$E$291,$A17,Datos!$F$5:$F$291,"S3")</f>
        <v>80445.75</v>
      </c>
      <c r="F17" s="19" t="n">
        <f aca="false">INDEX(Escenarios!$E$12:$E$36,MATCH($A17,Escenarios!$A$12:$A$36,0))</f>
        <v>0.9</v>
      </c>
      <c r="G17" s="19" t="n">
        <f aca="false">INDEX(Escenarios!$F$12:$F$36,MATCH($A17,Escenarios!$A$12:$A$36,0))</f>
        <v>0.1</v>
      </c>
      <c r="H17" s="19" t="n">
        <f aca="false">INDEX(Escenarios!$G$12:$G$36,MATCH($A17,Escenarios!$A$12:$A$36,0))</f>
        <v>0</v>
      </c>
      <c r="I17" s="19" t="n">
        <f aca="false">INDEX(Escenarios!$H$12:$H$36,MATCH($A17,Escenarios!$A$12:$A$36,0))</f>
        <v>0</v>
      </c>
      <c r="J17" s="18" t="n">
        <f aca="false">IF(INDEX(Escenarios!$I$12:$I$36,MATCH($A17,Escenarios!$A$12:$A$36,0))&gt;0,$D17,0)</f>
        <v>350</v>
      </c>
      <c r="K17" s="18" t="n">
        <f aca="false">$E17*INDEX(Escenarios!$I$12:$I$36,MATCH($A17,Escenarios!$A$12:$A$36,0))*F17</f>
        <v>72401.175</v>
      </c>
      <c r="L17" s="18" t="n">
        <f aca="false">$E17*INDEX(Escenarios!$I$12:$I$36,MATCH($A17,Escenarios!$A$12:$A$36,0))*G17</f>
        <v>8044.575</v>
      </c>
      <c r="M17" s="18" t="n">
        <f aca="false">$E17*INDEX(Escenarios!$I$12:$I$36,MATCH($A17,Escenarios!$A$12:$A$36,0))*H17</f>
        <v>0</v>
      </c>
      <c r="N17" s="18" t="n">
        <f aca="false">$E17*INDEX(Escenarios!$I$12:$I$36,MATCH($A17,Escenarios!$A$12:$A$36,0))*I17</f>
        <v>0</v>
      </c>
      <c r="O17" s="20" t="n">
        <f aca="false">SUM(K17:N17)</f>
        <v>80445.75</v>
      </c>
      <c r="P17" s="18" t="n">
        <f aca="false">IF(INDEX(Escenarios!$J$12:$J$36,MATCH($A17,Escenarios!$A$12:$A$36,0))&gt;0,$D17,0)</f>
        <v>350</v>
      </c>
      <c r="Q17" s="18" t="n">
        <f aca="false">$E17*INDEX(Escenarios!$J$12:$J$36,MATCH($A17,Escenarios!$A$12:$A$36,0))*F17</f>
        <v>72401.175</v>
      </c>
      <c r="R17" s="18" t="n">
        <f aca="false">$E17*INDEX(Escenarios!$J$12:$J$36,MATCH($A17,Escenarios!$A$12:$A$36,0))*G17</f>
        <v>8044.575</v>
      </c>
      <c r="S17" s="18" t="n">
        <f aca="false">$E17*INDEX(Escenarios!$J$12:$J$36,MATCH($A17,Escenarios!$A$12:$A$36,0))*H17</f>
        <v>0</v>
      </c>
      <c r="T17" s="18" t="n">
        <f aca="false">$E17*INDEX(Escenarios!$J$12:$J$36,MATCH($A17,Escenarios!$A$12:$A$36,0))*I17</f>
        <v>0</v>
      </c>
      <c r="U17" s="20" t="n">
        <f aca="false">SUM(Q17:T17)</f>
        <v>80445.75</v>
      </c>
      <c r="V17" s="18" t="n">
        <f aca="false">IF(INDEX(Escenarios!$K$12:$K$36,MATCH($A17,Escenarios!$A$12:$A$36,0))&gt;0,$D17,0)</f>
        <v>350</v>
      </c>
      <c r="W17" s="18" t="n">
        <f aca="false">$E17*INDEX(Escenarios!$K$12:$K$36,MATCH($A17,Escenarios!$A$12:$A$36,0))*F17</f>
        <v>72401.175</v>
      </c>
      <c r="X17" s="18" t="n">
        <f aca="false">$E17*INDEX(Escenarios!$K$12:$K$36,MATCH($A17,Escenarios!$A$12:$A$36,0))*G17</f>
        <v>8044.575</v>
      </c>
      <c r="Y17" s="18" t="n">
        <f aca="false">$E17*INDEX(Escenarios!$K$12:$K$36,MATCH($A17,Escenarios!$A$12:$A$36,0))*H17</f>
        <v>0</v>
      </c>
      <c r="Z17" s="18" t="n">
        <f aca="false">$E17*INDEX(Escenarios!$K$12:$K$36,MATCH($A17,Escenarios!$A$12:$A$36,0))*I17</f>
        <v>0</v>
      </c>
      <c r="AA17" s="20" t="n">
        <f aca="false">SUM(W17:Z17)</f>
        <v>80445.75</v>
      </c>
      <c r="AB17" s="18" t="n">
        <f aca="false">IF(INDEX(Escenarios!$L$12:$L$36,MATCH($A17,Escenarios!$A$12:$A$36,0))&gt;0,$D17,0)</f>
        <v>350</v>
      </c>
      <c r="AC17" s="18" t="n">
        <f aca="false">$E17*INDEX(Escenarios!$L$12:$L$36,MATCH($A17,Escenarios!$A$12:$A$36,0))*F17</f>
        <v>72401.175</v>
      </c>
      <c r="AD17" s="18" t="n">
        <f aca="false">$E17*INDEX(Escenarios!$L$12:$L$36,MATCH($A17,Escenarios!$A$12:$A$36,0))*G17</f>
        <v>8044.575</v>
      </c>
      <c r="AE17" s="18" t="n">
        <f aca="false">$E17*INDEX(Escenarios!$L$12:$L$36,MATCH($A17,Escenarios!$A$12:$A$36,0))*H17</f>
        <v>0</v>
      </c>
      <c r="AF17" s="18" t="n">
        <f aca="false">$E17*INDEX(Escenarios!$L$12:$L$36,MATCH($A17,Escenarios!$A$12:$A$36,0))*I17</f>
        <v>0</v>
      </c>
      <c r="AG17" s="20" t="n">
        <f aca="false">SUM(AC17:AF17)</f>
        <v>80445.75</v>
      </c>
    </row>
    <row r="18" customFormat="false" ht="15" hidden="false" customHeight="false" outlineLevel="0" collapsed="false">
      <c r="A18" s="3" t="s">
        <v>27</v>
      </c>
      <c r="B18" s="16" t="s">
        <v>28</v>
      </c>
      <c r="C18" s="17" t="str">
        <f aca="false">INDEX(Escenarios!$D$12:$D$36,MATCH($A18,Escenarios!$A$12:$A$36,0))</f>
        <v>Plan Safe</v>
      </c>
      <c r="D18" s="18" t="n">
        <f aca="false">SUMIFS(Datos!$H$5:$H$291,Datos!$E$5:$E$291,$A18,Datos!$F$5:$F$291,"S3")</f>
        <v>540</v>
      </c>
      <c r="E18" s="18" t="n">
        <f aca="false">SUMIFS(Datos!$J$5:$J$291,Datos!$E$5:$E$291,$A18,Datos!$F$5:$F$291,"S3")</f>
        <v>124531.05</v>
      </c>
      <c r="F18" s="19" t="n">
        <f aca="false">INDEX(Escenarios!$E$12:$E$36,MATCH($A18,Escenarios!$A$12:$A$36,0))</f>
        <v>0</v>
      </c>
      <c r="G18" s="19" t="n">
        <f aca="false">INDEX(Escenarios!$F$12:$F$36,MATCH($A18,Escenarios!$A$12:$A$36,0))</f>
        <v>1</v>
      </c>
      <c r="H18" s="19" t="n">
        <f aca="false">INDEX(Escenarios!$G$12:$G$36,MATCH($A18,Escenarios!$A$12:$A$36,0))</f>
        <v>0</v>
      </c>
      <c r="I18" s="19" t="n">
        <f aca="false">INDEX(Escenarios!$H$12:$H$36,MATCH($A18,Escenarios!$A$12:$A$36,0))</f>
        <v>0</v>
      </c>
      <c r="J18" s="18" t="n">
        <f aca="false">IF(INDEX(Escenarios!$I$12:$I$36,MATCH($A18,Escenarios!$A$12:$A$36,0))&gt;0,$D18,0)</f>
        <v>540</v>
      </c>
      <c r="K18" s="18" t="n">
        <f aca="false">$E18*INDEX(Escenarios!$I$12:$I$36,MATCH($A18,Escenarios!$A$12:$A$36,0))*F18</f>
        <v>0</v>
      </c>
      <c r="L18" s="18" t="n">
        <f aca="false">$E18*INDEX(Escenarios!$I$12:$I$36,MATCH($A18,Escenarios!$A$12:$A$36,0))*G18</f>
        <v>124531.05</v>
      </c>
      <c r="M18" s="18" t="n">
        <f aca="false">$E18*INDEX(Escenarios!$I$12:$I$36,MATCH($A18,Escenarios!$A$12:$A$36,0))*H18</f>
        <v>0</v>
      </c>
      <c r="N18" s="18" t="n">
        <f aca="false">$E18*INDEX(Escenarios!$I$12:$I$36,MATCH($A18,Escenarios!$A$12:$A$36,0))*I18</f>
        <v>0</v>
      </c>
      <c r="O18" s="20" t="n">
        <f aca="false">SUM(K18:N18)</f>
        <v>124531.05</v>
      </c>
      <c r="P18" s="18" t="n">
        <f aca="false">IF(INDEX(Escenarios!$J$12:$J$36,MATCH($A18,Escenarios!$A$12:$A$36,0))&gt;0,$D18,0)</f>
        <v>0</v>
      </c>
      <c r="Q18" s="18" t="n">
        <f aca="false">$E18*INDEX(Escenarios!$J$12:$J$36,MATCH($A18,Escenarios!$A$12:$A$36,0))*F18</f>
        <v>0</v>
      </c>
      <c r="R18" s="18" t="n">
        <f aca="false">$E18*INDEX(Escenarios!$J$12:$J$36,MATCH($A18,Escenarios!$A$12:$A$36,0))*G18</f>
        <v>0</v>
      </c>
      <c r="S18" s="18" t="n">
        <f aca="false">$E18*INDEX(Escenarios!$J$12:$J$36,MATCH($A18,Escenarios!$A$12:$A$36,0))*H18</f>
        <v>0</v>
      </c>
      <c r="T18" s="18" t="n">
        <f aca="false">$E18*INDEX(Escenarios!$J$12:$J$36,MATCH($A18,Escenarios!$A$12:$A$36,0))*I18</f>
        <v>0</v>
      </c>
      <c r="U18" s="20" t="n">
        <f aca="false">SUM(Q18:T18)</f>
        <v>0</v>
      </c>
      <c r="V18" s="18" t="n">
        <f aca="false">IF(INDEX(Escenarios!$K$12:$K$36,MATCH($A18,Escenarios!$A$12:$A$36,0))&gt;0,$D18,0)</f>
        <v>0</v>
      </c>
      <c r="W18" s="18" t="n">
        <f aca="false">$E18*INDEX(Escenarios!$K$12:$K$36,MATCH($A18,Escenarios!$A$12:$A$36,0))*F18</f>
        <v>0</v>
      </c>
      <c r="X18" s="18" t="n">
        <f aca="false">$E18*INDEX(Escenarios!$K$12:$K$36,MATCH($A18,Escenarios!$A$12:$A$36,0))*G18</f>
        <v>0</v>
      </c>
      <c r="Y18" s="18" t="n">
        <f aca="false">$E18*INDEX(Escenarios!$K$12:$K$36,MATCH($A18,Escenarios!$A$12:$A$36,0))*H18</f>
        <v>0</v>
      </c>
      <c r="Z18" s="18" t="n">
        <f aca="false">$E18*INDEX(Escenarios!$K$12:$K$36,MATCH($A18,Escenarios!$A$12:$A$36,0))*I18</f>
        <v>0</v>
      </c>
      <c r="AA18" s="20" t="n">
        <f aca="false">SUM(W18:Z18)</f>
        <v>0</v>
      </c>
      <c r="AB18" s="18" t="n">
        <f aca="false">IF(INDEX(Escenarios!$L$12:$L$36,MATCH($A18,Escenarios!$A$12:$A$36,0))&gt;0,$D18,0)</f>
        <v>540</v>
      </c>
      <c r="AC18" s="18" t="n">
        <f aca="false">$E18*INDEX(Escenarios!$L$12:$L$36,MATCH($A18,Escenarios!$A$12:$A$36,0))*F18</f>
        <v>0</v>
      </c>
      <c r="AD18" s="18" t="n">
        <f aca="false">$E18*INDEX(Escenarios!$L$12:$L$36,MATCH($A18,Escenarios!$A$12:$A$36,0))*G18</f>
        <v>62265.525</v>
      </c>
      <c r="AE18" s="18" t="n">
        <f aca="false">$E18*INDEX(Escenarios!$L$12:$L$36,MATCH($A18,Escenarios!$A$12:$A$36,0))*H18</f>
        <v>0</v>
      </c>
      <c r="AF18" s="18" t="n">
        <f aca="false">$E18*INDEX(Escenarios!$L$12:$L$36,MATCH($A18,Escenarios!$A$12:$A$36,0))*I18</f>
        <v>0</v>
      </c>
      <c r="AG18" s="20" t="n">
        <f aca="false">SUM(AC18:AF18)</f>
        <v>62265.525</v>
      </c>
    </row>
    <row r="19" customFormat="false" ht="15" hidden="false" customHeight="false" outlineLevel="0" collapsed="false">
      <c r="A19" s="3" t="s">
        <v>59</v>
      </c>
      <c r="B19" s="16" t="s">
        <v>60</v>
      </c>
      <c r="C19" s="17" t="str">
        <f aca="false">INDEX(Escenarios!$D$12:$D$36,MATCH($A19,Escenarios!$A$12:$A$36,0))</f>
        <v>Plan Safe</v>
      </c>
      <c r="D19" s="18" t="n">
        <f aca="false">SUMIFS(Datos!$H$5:$H$291,Datos!$E$5:$E$291,$A19,Datos!$F$5:$F$291,"S3")</f>
        <v>285</v>
      </c>
      <c r="E19" s="18" t="n">
        <f aca="false">SUMIFS(Datos!$J$5:$J$291,Datos!$E$5:$E$291,$A19,Datos!$F$5:$F$291,"S3")</f>
        <v>65275.35</v>
      </c>
      <c r="F19" s="19" t="n">
        <f aca="false">INDEX(Escenarios!$E$12:$E$36,MATCH($A19,Escenarios!$A$12:$A$36,0))</f>
        <v>0</v>
      </c>
      <c r="G19" s="19" t="n">
        <f aca="false">INDEX(Escenarios!$F$12:$F$36,MATCH($A19,Escenarios!$A$12:$A$36,0))</f>
        <v>1</v>
      </c>
      <c r="H19" s="19" t="n">
        <f aca="false">INDEX(Escenarios!$G$12:$G$36,MATCH($A19,Escenarios!$A$12:$A$36,0))</f>
        <v>0</v>
      </c>
      <c r="I19" s="19" t="n">
        <f aca="false">INDEX(Escenarios!$H$12:$H$36,MATCH($A19,Escenarios!$A$12:$A$36,0))</f>
        <v>0</v>
      </c>
      <c r="J19" s="18" t="n">
        <f aca="false">IF(INDEX(Escenarios!$I$12:$I$36,MATCH($A19,Escenarios!$A$12:$A$36,0))&gt;0,$D19,0)</f>
        <v>285</v>
      </c>
      <c r="K19" s="18" t="n">
        <f aca="false">$E19*INDEX(Escenarios!$I$12:$I$36,MATCH($A19,Escenarios!$A$12:$A$36,0))*F19</f>
        <v>0</v>
      </c>
      <c r="L19" s="18" t="n">
        <f aca="false">$E19*INDEX(Escenarios!$I$12:$I$36,MATCH($A19,Escenarios!$A$12:$A$36,0))*G19</f>
        <v>65275.35</v>
      </c>
      <c r="M19" s="18" t="n">
        <f aca="false">$E19*INDEX(Escenarios!$I$12:$I$36,MATCH($A19,Escenarios!$A$12:$A$36,0))*H19</f>
        <v>0</v>
      </c>
      <c r="N19" s="18" t="n">
        <f aca="false">$E19*INDEX(Escenarios!$I$12:$I$36,MATCH($A19,Escenarios!$A$12:$A$36,0))*I19</f>
        <v>0</v>
      </c>
      <c r="O19" s="20" t="n">
        <f aca="false">SUM(K19:N19)</f>
        <v>65275.35</v>
      </c>
      <c r="P19" s="18" t="n">
        <f aca="false">IF(INDEX(Escenarios!$J$12:$J$36,MATCH($A19,Escenarios!$A$12:$A$36,0))&gt;0,$D19,0)</f>
        <v>0</v>
      </c>
      <c r="Q19" s="18" t="n">
        <f aca="false">$E19*INDEX(Escenarios!$J$12:$J$36,MATCH($A19,Escenarios!$A$12:$A$36,0))*F19</f>
        <v>0</v>
      </c>
      <c r="R19" s="18" t="n">
        <f aca="false">$E19*INDEX(Escenarios!$J$12:$J$36,MATCH($A19,Escenarios!$A$12:$A$36,0))*G19</f>
        <v>0</v>
      </c>
      <c r="S19" s="18" t="n">
        <f aca="false">$E19*INDEX(Escenarios!$J$12:$J$36,MATCH($A19,Escenarios!$A$12:$A$36,0))*H19</f>
        <v>0</v>
      </c>
      <c r="T19" s="18" t="n">
        <f aca="false">$E19*INDEX(Escenarios!$J$12:$J$36,MATCH($A19,Escenarios!$A$12:$A$36,0))*I19</f>
        <v>0</v>
      </c>
      <c r="U19" s="20" t="n">
        <f aca="false">SUM(Q19:T19)</f>
        <v>0</v>
      </c>
      <c r="V19" s="18" t="n">
        <f aca="false">IF(INDEX(Escenarios!$K$12:$K$36,MATCH($A19,Escenarios!$A$12:$A$36,0))&gt;0,$D19,0)</f>
        <v>0</v>
      </c>
      <c r="W19" s="18" t="n">
        <f aca="false">$E19*INDEX(Escenarios!$K$12:$K$36,MATCH($A19,Escenarios!$A$12:$A$36,0))*F19</f>
        <v>0</v>
      </c>
      <c r="X19" s="18" t="n">
        <f aca="false">$E19*INDEX(Escenarios!$K$12:$K$36,MATCH($A19,Escenarios!$A$12:$A$36,0))*G19</f>
        <v>0</v>
      </c>
      <c r="Y19" s="18" t="n">
        <f aca="false">$E19*INDEX(Escenarios!$K$12:$K$36,MATCH($A19,Escenarios!$A$12:$A$36,0))*H19</f>
        <v>0</v>
      </c>
      <c r="Z19" s="18" t="n">
        <f aca="false">$E19*INDEX(Escenarios!$K$12:$K$36,MATCH($A19,Escenarios!$A$12:$A$36,0))*I19</f>
        <v>0</v>
      </c>
      <c r="AA19" s="20" t="n">
        <f aca="false">SUM(W19:Z19)</f>
        <v>0</v>
      </c>
      <c r="AB19" s="18" t="n">
        <f aca="false">IF(INDEX(Escenarios!$L$12:$L$36,MATCH($A19,Escenarios!$A$12:$A$36,0))&gt;0,$D19,0)</f>
        <v>285</v>
      </c>
      <c r="AC19" s="18" t="n">
        <f aca="false">$E19*INDEX(Escenarios!$L$12:$L$36,MATCH($A19,Escenarios!$A$12:$A$36,0))*F19</f>
        <v>0</v>
      </c>
      <c r="AD19" s="18" t="n">
        <f aca="false">$E19*INDEX(Escenarios!$L$12:$L$36,MATCH($A19,Escenarios!$A$12:$A$36,0))*G19</f>
        <v>32637.675</v>
      </c>
      <c r="AE19" s="18" t="n">
        <f aca="false">$E19*INDEX(Escenarios!$L$12:$L$36,MATCH($A19,Escenarios!$A$12:$A$36,0))*H19</f>
        <v>0</v>
      </c>
      <c r="AF19" s="18" t="n">
        <f aca="false">$E19*INDEX(Escenarios!$L$12:$L$36,MATCH($A19,Escenarios!$A$12:$A$36,0))*I19</f>
        <v>0</v>
      </c>
      <c r="AG19" s="20" t="n">
        <f aca="false">SUM(AC19:AF19)</f>
        <v>32637.675</v>
      </c>
    </row>
    <row r="20" customFormat="false" ht="15" hidden="false" customHeight="false" outlineLevel="0" collapsed="false">
      <c r="A20" s="21"/>
      <c r="B20" s="22" t="s">
        <v>61</v>
      </c>
      <c r="C20" s="21"/>
      <c r="D20" s="23" t="n">
        <f aca="false">SUM(D8:D19)</f>
        <v>6420</v>
      </c>
      <c r="E20" s="23" t="n">
        <f aca="false">SUM(E8:E19)</f>
        <v>1469323.8</v>
      </c>
      <c r="F20" s="21"/>
      <c r="G20" s="21"/>
      <c r="H20" s="21"/>
      <c r="I20" s="21"/>
      <c r="J20" s="23" t="n">
        <f aca="false">SUM(J8:J19)</f>
        <v>6420</v>
      </c>
      <c r="K20" s="23" t="n">
        <f aca="false">SUM(K8:K19)</f>
        <v>1212914.2725</v>
      </c>
      <c r="L20" s="23" t="n">
        <f aca="false">SUM(L8:L19)</f>
        <v>256409.5275</v>
      </c>
      <c r="M20" s="23" t="n">
        <f aca="false">SUM(M8:M19)</f>
        <v>0</v>
      </c>
      <c r="N20" s="23" t="n">
        <f aca="false">SUM(N8:N19)</f>
        <v>0</v>
      </c>
      <c r="O20" s="23" t="n">
        <f aca="false">SUM(O8:O19)</f>
        <v>1469323.8</v>
      </c>
      <c r="P20" s="23" t="n">
        <f aca="false">SUM(P8:P19)</f>
        <v>5595</v>
      </c>
      <c r="Q20" s="23" t="n">
        <f aca="false">SUM(Q8:Q19)</f>
        <v>1212914.2725</v>
      </c>
      <c r="R20" s="23" t="n">
        <f aca="false">SUM(R8:R19)</f>
        <v>66603.1275</v>
      </c>
      <c r="S20" s="23" t="n">
        <f aca="false">SUM(S8:S19)</f>
        <v>0</v>
      </c>
      <c r="T20" s="23" t="n">
        <f aca="false">SUM(T8:T19)</f>
        <v>0</v>
      </c>
      <c r="U20" s="23" t="n">
        <f aca="false">SUM(U8:U19)</f>
        <v>1279517.4</v>
      </c>
      <c r="V20" s="23" t="n">
        <f aca="false">SUM(V8:V19)</f>
        <v>4730</v>
      </c>
      <c r="W20" s="23" t="n">
        <f aca="false">SUM(W8:W19)</f>
        <v>1014872.1975</v>
      </c>
      <c r="X20" s="23" t="n">
        <f aca="false">SUM(X8:X19)</f>
        <v>66603.1275</v>
      </c>
      <c r="Y20" s="23" t="n">
        <f aca="false">SUM(Y8:Y19)</f>
        <v>0</v>
      </c>
      <c r="Z20" s="23" t="n">
        <f aca="false">SUM(Z8:Z19)</f>
        <v>0</v>
      </c>
      <c r="AA20" s="23" t="n">
        <f aca="false">SUM(AA8:AA19)</f>
        <v>1081475.325</v>
      </c>
      <c r="AB20" s="23" t="n">
        <f aca="false">SUM(AB8:AB19)</f>
        <v>5555</v>
      </c>
      <c r="AC20" s="23" t="n">
        <f aca="false">SUM(AC8:AC19)</f>
        <v>1014872.1975</v>
      </c>
      <c r="AD20" s="23" t="n">
        <f aca="false">SUM(AD8:AD19)</f>
        <v>161506.3275</v>
      </c>
      <c r="AE20" s="23" t="n">
        <f aca="false">SUM(AE8:AE19)</f>
        <v>0</v>
      </c>
      <c r="AF20" s="23" t="n">
        <f aca="false">SUM(AF8:AF19)</f>
        <v>0</v>
      </c>
      <c r="AG20" s="23" t="n">
        <f aca="false">SUM(AG8:AG19)</f>
        <v>1176378.525</v>
      </c>
    </row>
    <row r="21" customFormat="false" ht="15" hidden="false" customHeight="false" outlineLevel="0" collapsed="false">
      <c r="B21" s="24" t="s">
        <v>62</v>
      </c>
      <c r="K21" s="25" t="n">
        <v>0</v>
      </c>
      <c r="L21" s="25" t="n">
        <v>0</v>
      </c>
      <c r="M21" s="25" t="n">
        <v>0</v>
      </c>
      <c r="N21" s="25" t="n">
        <v>0</v>
      </c>
      <c r="O21" s="25" t="n">
        <v>0</v>
      </c>
      <c r="Q21" s="25" t="n">
        <v>0</v>
      </c>
      <c r="R21" s="25" t="n">
        <v>0</v>
      </c>
      <c r="S21" s="25" t="n">
        <v>0</v>
      </c>
      <c r="T21" s="25" t="n">
        <v>0</v>
      </c>
      <c r="U21" s="25" t="n">
        <v>0</v>
      </c>
      <c r="W21" s="25" t="n">
        <v>0</v>
      </c>
      <c r="X21" s="25" t="n">
        <v>0</v>
      </c>
      <c r="Y21" s="25" t="n">
        <v>0</v>
      </c>
      <c r="Z21" s="25" t="n">
        <v>0</v>
      </c>
      <c r="AA21" s="25" t="n">
        <v>0</v>
      </c>
      <c r="AC21" s="25" t="n">
        <v>0</v>
      </c>
      <c r="AD21" s="25" t="n">
        <v>0</v>
      </c>
      <c r="AE21" s="25" t="n">
        <v>0</v>
      </c>
      <c r="AF21" s="25" t="n">
        <v>0</v>
      </c>
      <c r="AG21" s="25" t="n">
        <v>0</v>
      </c>
    </row>
    <row r="22" customFormat="false" ht="15" hidden="false" customHeight="false" outlineLevel="0" collapsed="false">
      <c r="A22" s="26"/>
      <c r="B22" s="27" t="s">
        <v>63</v>
      </c>
      <c r="C22" s="26"/>
      <c r="D22" s="28" t="n">
        <f aca="false">D20</f>
        <v>6420</v>
      </c>
      <c r="E22" s="28" t="n">
        <f aca="false">E20</f>
        <v>1469323.8</v>
      </c>
      <c r="F22" s="26"/>
      <c r="G22" s="26"/>
      <c r="H22" s="26"/>
      <c r="I22" s="26"/>
      <c r="J22" s="28" t="n">
        <f aca="false">J20</f>
        <v>6420</v>
      </c>
      <c r="K22" s="28" t="n">
        <f aca="false">K20+K21</f>
        <v>1212914.2725</v>
      </c>
      <c r="L22" s="28" t="n">
        <f aca="false">L20+L21</f>
        <v>256409.5275</v>
      </c>
      <c r="M22" s="28" t="n">
        <f aca="false">M20+M21</f>
        <v>0</v>
      </c>
      <c r="N22" s="28" t="n">
        <f aca="false">N20+N21</f>
        <v>0</v>
      </c>
      <c r="O22" s="28" t="n">
        <f aca="false">O20+O21</f>
        <v>1469323.8</v>
      </c>
      <c r="P22" s="28" t="n">
        <f aca="false">P20</f>
        <v>5595</v>
      </c>
      <c r="Q22" s="28" t="n">
        <f aca="false">Q20+Q21</f>
        <v>1212914.2725</v>
      </c>
      <c r="R22" s="28" t="n">
        <f aca="false">R20+R21</f>
        <v>66603.1275</v>
      </c>
      <c r="S22" s="28" t="n">
        <f aca="false">S20+S21</f>
        <v>0</v>
      </c>
      <c r="T22" s="28" t="n">
        <f aca="false">T20+T21</f>
        <v>0</v>
      </c>
      <c r="U22" s="28" t="n">
        <f aca="false">U20+U21</f>
        <v>1279517.4</v>
      </c>
      <c r="V22" s="28" t="n">
        <f aca="false">V20</f>
        <v>4730</v>
      </c>
      <c r="W22" s="28" t="n">
        <f aca="false">W20+W21</f>
        <v>1014872.1975</v>
      </c>
      <c r="X22" s="28" t="n">
        <f aca="false">X20+X21</f>
        <v>66603.1275</v>
      </c>
      <c r="Y22" s="28" t="n">
        <f aca="false">Y20+Y21</f>
        <v>0</v>
      </c>
      <c r="Z22" s="28" t="n">
        <f aca="false">Z20+Z21</f>
        <v>0</v>
      </c>
      <c r="AA22" s="28" t="n">
        <f aca="false">AA20+AA21</f>
        <v>1081475.325</v>
      </c>
      <c r="AB22" s="28" t="n">
        <f aca="false">AB20</f>
        <v>5555</v>
      </c>
      <c r="AC22" s="28" t="n">
        <f aca="false">AC20+AC21</f>
        <v>1014872.1975</v>
      </c>
      <c r="AD22" s="28" t="n">
        <f aca="false">AD20+AD21</f>
        <v>161506.3275</v>
      </c>
      <c r="AE22" s="28" t="n">
        <f aca="false">AE20+AE21</f>
        <v>0</v>
      </c>
      <c r="AF22" s="28" t="n">
        <f aca="false">AF20+AF21</f>
        <v>0</v>
      </c>
      <c r="AG22" s="28" t="n">
        <f aca="false">AG20+AG21</f>
        <v>1176378.525</v>
      </c>
    </row>
    <row r="24" customFormat="false" ht="15" hidden="false" customHeight="false" outlineLevel="0" collapsed="false">
      <c r="B24" s="2" t="s">
        <v>31</v>
      </c>
      <c r="E24" s="29" t="n">
        <f aca="false">SUM(F24:I24)</f>
        <v>1469323.8</v>
      </c>
      <c r="F24" s="29" t="n">
        <f aca="false">SUMPRODUCT($E$8:$E$19,F$8:F$19)</f>
        <v>1212914.2725</v>
      </c>
      <c r="G24" s="29" t="n">
        <f aca="false">SUMPRODUCT($E$8:$E$19,G$8:G$19)</f>
        <v>256409.5275</v>
      </c>
      <c r="H24" s="29" t="n">
        <f aca="false">SUMPRODUCT($E$8:$E$19,H$8:H$19)</f>
        <v>0</v>
      </c>
      <c r="I24" s="29" t="n">
        <f aca="false">SUMPRODUCT($E$8:$E$19,I$8:I$19)</f>
        <v>0</v>
      </c>
    </row>
  </sheetData>
  <mergeCells count="6">
    <mergeCell ref="A6:E6"/>
    <mergeCell ref="F6:I6"/>
    <mergeCell ref="J6:O6"/>
    <mergeCell ref="P6:U6"/>
    <mergeCell ref="V6:AA6"/>
    <mergeCell ref="AB6:AG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B1:J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0"/>
    <col collapsed="false" customWidth="true" hidden="false" outlineLevel="0" max="7" min="4" style="0" width="14"/>
    <col collapsed="false" customWidth="true" hidden="false" outlineLevel="0" max="9" min="8" style="0" width="15"/>
    <col collapsed="false" customWidth="true" hidden="false" outlineLevel="0" max="10" min="10" style="0" width="13"/>
  </cols>
  <sheetData>
    <row r="1" customFormat="false" ht="16.15" hidden="false" customHeight="false" outlineLevel="0" collapsed="false">
      <c r="B1" s="31" t="s">
        <v>64</v>
      </c>
    </row>
    <row r="2" customFormat="false" ht="15" hidden="false" customHeight="false" outlineLevel="0" collapsed="false">
      <c r="B2" s="2" t="s">
        <v>65</v>
      </c>
    </row>
    <row r="4" customFormat="false" ht="15" hidden="false" customHeight="false" outlineLevel="0" collapsed="false">
      <c r="B4" s="27" t="s">
        <v>66</v>
      </c>
      <c r="C4" s="32"/>
      <c r="D4" s="32"/>
    </row>
    <row r="5" customFormat="false" ht="15" hidden="false" customHeight="false" outlineLevel="0" collapsed="false">
      <c r="B5" s="16" t="s">
        <v>2</v>
      </c>
      <c r="C5" s="33" t="n">
        <v>0</v>
      </c>
      <c r="D5" s="2" t="s">
        <v>67</v>
      </c>
    </row>
    <row r="6" customFormat="false" ht="15" hidden="false" customHeight="false" outlineLevel="0" collapsed="false">
      <c r="B6" s="16" t="s">
        <v>68</v>
      </c>
      <c r="C6" s="30" t="s">
        <v>16</v>
      </c>
      <c r="D6" s="2" t="s">
        <v>69</v>
      </c>
    </row>
    <row r="7" customFormat="false" ht="15" hidden="false" customHeight="false" outlineLevel="0" collapsed="false">
      <c r="B7" s="16" t="s">
        <v>70</v>
      </c>
      <c r="C7" s="34" t="str">
        <f aca="false">'Stage 2'!$C$4</f>
        <v>No</v>
      </c>
      <c r="D7" s="2" t="s">
        <v>71</v>
      </c>
    </row>
    <row r="8" customFormat="false" ht="15" hidden="false" customHeight="false" outlineLevel="0" collapsed="false">
      <c r="B8" s="16" t="s">
        <v>72</v>
      </c>
      <c r="C8" s="5" t="str">
        <f aca="false">TEXT(Escenarios!$B$5,"0%")&amp;" / "&amp;TEXT(Escenarios!$B$6,"0%")</f>
        <v>10% / 0%</v>
      </c>
      <c r="D8" s="2" t="s">
        <v>73</v>
      </c>
    </row>
    <row r="11" customFormat="false" ht="15" hidden="false" customHeight="false" outlineLevel="0" collapsed="false">
      <c r="B11" s="35" t="s">
        <v>74</v>
      </c>
    </row>
    <row r="12" customFormat="false" ht="15" hidden="false" customHeight="false" outlineLevel="0" collapsed="false">
      <c r="B12" s="36" t="s">
        <v>75</v>
      </c>
      <c r="C12" s="36" t="s">
        <v>15</v>
      </c>
      <c r="D12" s="37" t="s">
        <v>16</v>
      </c>
      <c r="E12" s="38" t="s">
        <v>17</v>
      </c>
      <c r="F12" s="39" t="s">
        <v>18</v>
      </c>
      <c r="G12" s="40" t="s">
        <v>19</v>
      </c>
      <c r="H12" s="36" t="s">
        <v>20</v>
      </c>
      <c r="I12" s="36" t="s">
        <v>76</v>
      </c>
      <c r="J12" s="36" t="s">
        <v>77</v>
      </c>
    </row>
    <row r="13" customFormat="false" ht="15" hidden="false" customHeight="false" outlineLevel="0" collapsed="false">
      <c r="B13" s="41" t="s">
        <v>78</v>
      </c>
      <c r="C13" s="42" t="n">
        <f aca="false">'Stage 1'!D14+'Stage 2'!D18+'Stage 3'!D22</f>
        <v>11025</v>
      </c>
      <c r="D13" s="42" t="n">
        <f aca="false">'Stage 1'!F16+'Stage 2'!F20+'Stage 3'!F24</f>
        <v>1882791.0675</v>
      </c>
      <c r="E13" s="42" t="n">
        <f aca="false">'Stage 1'!G16+'Stage 2'!G20+'Stage 3'!G24</f>
        <v>575618.5575</v>
      </c>
      <c r="F13" s="42" t="n">
        <f aca="false">'Stage 1'!H16+'Stage 2'!H20+'Stage 3'!H24</f>
        <v>0</v>
      </c>
      <c r="G13" s="42" t="n">
        <f aca="false">'Stage 1'!I16+'Stage 2'!I20+'Stage 3'!I24</f>
        <v>78836.1</v>
      </c>
      <c r="H13" s="43" t="n">
        <f aca="false">SUM(D13:G13)</f>
        <v>2537245.725</v>
      </c>
      <c r="I13" s="44" t="s">
        <v>79</v>
      </c>
      <c r="J13" s="44" t="s">
        <v>79</v>
      </c>
    </row>
    <row r="14" customFormat="false" ht="15" hidden="false" customHeight="false" outlineLevel="0" collapsed="false">
      <c r="B14" s="45" t="str">
        <f aca="false">"Esc. 1 · "&amp;Escenarios!I$11</f>
        <v>Esc. 1 · Original</v>
      </c>
      <c r="C14" s="46" t="n">
        <f aca="false">'Stage 1'!J14+'Stage 2'!J18+'Stage 3'!J22</f>
        <v>11025</v>
      </c>
      <c r="D14" s="46" t="n">
        <f aca="false">'Stage 1'!K14+'Stage 2'!K18+'Stage 3'!K22</f>
        <v>1882791.0675</v>
      </c>
      <c r="E14" s="46" t="n">
        <f aca="false">'Stage 1'!L14+'Stage 2'!L18+'Stage 3'!L22</f>
        <v>575618.5575</v>
      </c>
      <c r="F14" s="46" t="n">
        <f aca="false">'Stage 1'!M14+'Stage 2'!M18+'Stage 3'!M22</f>
        <v>0</v>
      </c>
      <c r="G14" s="46" t="n">
        <f aca="false">'Stage 1'!N14+'Stage 2'!N18+'Stage 3'!N22</f>
        <v>78836.1</v>
      </c>
      <c r="H14" s="47" t="n">
        <f aca="false">SUM(D14:G14)</f>
        <v>2537245.725</v>
      </c>
      <c r="I14" s="46" t="n">
        <f aca="false">H14-$H$13</f>
        <v>0</v>
      </c>
      <c r="J14" s="48" t="n">
        <f aca="false">IF($H$13=0,0,1-H14/$H$13)</f>
        <v>0</v>
      </c>
    </row>
    <row r="15" customFormat="false" ht="15" hidden="false" customHeight="false" outlineLevel="0" collapsed="false">
      <c r="B15" s="45" t="str">
        <f aca="false">"Esc. 2 · "&amp;Escenarios!J$11</f>
        <v>Esc. 2 · Sin las 4 tareas de Plan Safe</v>
      </c>
      <c r="C15" s="46" t="n">
        <f aca="false">'Stage 1'!P14+'Stage 2'!P18+'Stage 3'!P22</f>
        <v>9050</v>
      </c>
      <c r="D15" s="46" t="n">
        <f aca="false">'Stage 1'!Q14+'Stage 2'!Q18+'Stage 3'!Q22</f>
        <v>1882791.0675</v>
      </c>
      <c r="E15" s="46" t="n">
        <f aca="false">'Stage 1'!R14+'Stage 2'!R18+'Stage 3'!R22</f>
        <v>118878.5325</v>
      </c>
      <c r="F15" s="46" t="n">
        <f aca="false">'Stage 1'!S14+'Stage 2'!S18+'Stage 3'!S22</f>
        <v>0</v>
      </c>
      <c r="G15" s="46" t="n">
        <f aca="false">'Stage 1'!T14+'Stage 2'!T18+'Stage 3'!T22</f>
        <v>78836.1</v>
      </c>
      <c r="H15" s="47" t="n">
        <f aca="false">SUM(D15:G15)</f>
        <v>2080505.7</v>
      </c>
      <c r="I15" s="46" t="n">
        <f aca="false">H15-$H$13</f>
        <v>-456740.025</v>
      </c>
      <c r="J15" s="48" t="n">
        <f aca="false">IF($H$13=0,0,1-H15/$H$13)</f>
        <v>0.180014107620577</v>
      </c>
    </row>
    <row r="16" customFormat="false" ht="15" hidden="false" customHeight="false" outlineLevel="0" collapsed="false">
      <c r="B16" s="45" t="str">
        <f aca="false">"Esc. 3 · "&amp;Escenarios!K$11</f>
        <v>Esc. 3 · Sin tareas Plan Safe ni SSC</v>
      </c>
      <c r="C16" s="46" t="n">
        <f aca="false">'Stage 1'!V14+'Stage 2'!V18+'Stage 3'!V22</f>
        <v>7750</v>
      </c>
      <c r="D16" s="46" t="n">
        <f aca="false">'Stage 1'!W14+'Stage 2'!W18+'Stage 3'!W22</f>
        <v>1585013.1675</v>
      </c>
      <c r="E16" s="46" t="n">
        <f aca="false">'Stage 1'!X14+'Stage 2'!X18+'Stage 3'!X22</f>
        <v>118878.5325</v>
      </c>
      <c r="F16" s="46" t="n">
        <f aca="false">'Stage 1'!Y14+'Stage 2'!Y18+'Stage 3'!Y22</f>
        <v>0</v>
      </c>
      <c r="G16" s="46" t="n">
        <f aca="false">'Stage 1'!Z14+'Stage 2'!Z18+'Stage 3'!Z22</f>
        <v>78836.1</v>
      </c>
      <c r="H16" s="47" t="n">
        <f aca="false">SUM(D16:G16)</f>
        <v>1782727.8</v>
      </c>
      <c r="I16" s="46" t="n">
        <f aca="false">H16-$H$13</f>
        <v>-754517.925</v>
      </c>
      <c r="J16" s="48" t="n">
        <f aca="false">IF($H$13=0,0,1-H16/$H$13)</f>
        <v>0.297376764719941</v>
      </c>
    </row>
    <row r="17" customFormat="false" ht="15" hidden="false" customHeight="false" outlineLevel="0" collapsed="false">
      <c r="B17" s="45" t="str">
        <f aca="false">"Esc. 4 · "&amp;Escenarios!L$11</f>
        <v>Esc. 4 · Sin SSC, tareas Plan Safe al 50 %</v>
      </c>
      <c r="C17" s="46" t="n">
        <f aca="false">'Stage 1'!AB14+'Stage 2'!AB18+'Stage 3'!AB22</f>
        <v>9725</v>
      </c>
      <c r="D17" s="46" t="n">
        <f aca="false">'Stage 1'!AC14+'Stage 2'!AC18+'Stage 3'!AC22</f>
        <v>1585013.1675</v>
      </c>
      <c r="E17" s="46" t="n">
        <f aca="false">'Stage 1'!AD14+'Stage 2'!AD18+'Stage 3'!AD22</f>
        <v>347248.545</v>
      </c>
      <c r="F17" s="46" t="n">
        <f aca="false">'Stage 1'!AE14+'Stage 2'!AE18+'Stage 3'!AE22</f>
        <v>0</v>
      </c>
      <c r="G17" s="46" t="n">
        <f aca="false">'Stage 1'!AF14+'Stage 2'!AF18+'Stage 3'!AF22</f>
        <v>78836.1</v>
      </c>
      <c r="H17" s="47" t="n">
        <f aca="false">SUM(D17:G17)</f>
        <v>2011097.8125</v>
      </c>
      <c r="I17" s="46" t="n">
        <f aca="false">H17-$H$13</f>
        <v>-526147.9125</v>
      </c>
      <c r="J17" s="48" t="n">
        <f aca="false">IF($H$13=0,0,1-H17/$H$13)</f>
        <v>0.207369710909652</v>
      </c>
    </row>
    <row r="18" customFormat="false" ht="15" hidden="false" customHeight="false" outlineLevel="0" collapsed="false">
      <c r="B18" s="2" t="s">
        <v>80</v>
      </c>
      <c r="H18" s="49" t="n">
        <v>2537246</v>
      </c>
      <c r="I18" s="29" t="n">
        <f aca="false">ROUND(H13-H18,0)</f>
        <v>-0</v>
      </c>
      <c r="J18" s="50" t="str">
        <f aca="false">IF(ABS(I18)&lt;=1,"cuadra","revisar")</f>
        <v>cuadra</v>
      </c>
    </row>
    <row r="21" customFormat="false" ht="15" hidden="false" customHeight="false" outlineLevel="0" collapsed="false">
      <c r="B21" s="35" t="s">
        <v>81</v>
      </c>
    </row>
    <row r="22" customFormat="false" ht="15" hidden="false" customHeight="false" outlineLevel="0" collapsed="false">
      <c r="B22" s="11" t="s">
        <v>75</v>
      </c>
      <c r="C22" s="11"/>
      <c r="D22" s="12" t="s">
        <v>16</v>
      </c>
      <c r="E22" s="13" t="s">
        <v>17</v>
      </c>
      <c r="F22" s="14" t="s">
        <v>18</v>
      </c>
      <c r="G22" s="15" t="s">
        <v>19</v>
      </c>
      <c r="H22" s="11" t="s">
        <v>20</v>
      </c>
    </row>
    <row r="23" customFormat="false" ht="15" hidden="false" customHeight="false" outlineLevel="0" collapsed="false">
      <c r="B23" s="45" t="str">
        <f aca="false">B14</f>
        <v>Esc. 1 · Original</v>
      </c>
      <c r="C23" s="51"/>
      <c r="D23" s="52" t="n">
        <f aca="false">IF(D$13=0,0,1-D14/D$13)</f>
        <v>0</v>
      </c>
      <c r="E23" s="52" t="n">
        <f aca="false">IF(E$13=0,0,1-E14/E$13)</f>
        <v>0</v>
      </c>
      <c r="F23" s="52" t="n">
        <f aca="false">IF(F$13=0,0,1-F14/F$13)</f>
        <v>0</v>
      </c>
      <c r="G23" s="52" t="n">
        <f aca="false">IF(G$13=0,0,1-G14/G$13)</f>
        <v>0</v>
      </c>
      <c r="H23" s="52" t="n">
        <f aca="false">IF(H$13=0,0,1-H14/H$13)</f>
        <v>0</v>
      </c>
    </row>
    <row r="24" customFormat="false" ht="15" hidden="false" customHeight="false" outlineLevel="0" collapsed="false">
      <c r="B24" s="45" t="str">
        <f aca="false">B15</f>
        <v>Esc. 2 · Sin las 4 tareas de Plan Safe</v>
      </c>
      <c r="C24" s="51"/>
      <c r="D24" s="52" t="n">
        <f aca="false">IF(D$13=0,0,1-D15/D$13)</f>
        <v>0</v>
      </c>
      <c r="E24" s="52" t="n">
        <f aca="false">IF(E$13=0,0,1-E15/E$13)</f>
        <v>0.79347689376745</v>
      </c>
      <c r="F24" s="52" t="n">
        <f aca="false">IF(F$13=0,0,1-F15/F$13)</f>
        <v>0</v>
      </c>
      <c r="G24" s="52" t="n">
        <f aca="false">IF(G$13=0,0,1-G15/G$13)</f>
        <v>0</v>
      </c>
      <c r="H24" s="52" t="n">
        <f aca="false">IF(H$13=0,0,1-H15/H$13)</f>
        <v>0.180014107620577</v>
      </c>
    </row>
    <row r="25" customFormat="false" ht="15" hidden="false" customHeight="false" outlineLevel="0" collapsed="false">
      <c r="B25" s="45" t="str">
        <f aca="false">B16</f>
        <v>Esc. 3 · Sin tareas Plan Safe ni SSC</v>
      </c>
      <c r="C25" s="51"/>
      <c r="D25" s="52" t="n">
        <f aca="false">IF(D$13=0,0,1-D16/D$13)</f>
        <v>0.158157697441912</v>
      </c>
      <c r="E25" s="52" t="n">
        <f aca="false">IF(E$13=0,0,1-E16/E$13)</f>
        <v>0.79347689376745</v>
      </c>
      <c r="F25" s="52" t="n">
        <f aca="false">IF(F$13=0,0,1-F16/F$13)</f>
        <v>0</v>
      </c>
      <c r="G25" s="52" t="n">
        <f aca="false">IF(G$13=0,0,1-G16/G$13)</f>
        <v>0</v>
      </c>
      <c r="H25" s="52" t="n">
        <f aca="false">IF(H$13=0,0,1-H16/H$13)</f>
        <v>0.297376764719941</v>
      </c>
    </row>
    <row r="26" customFormat="false" ht="15" hidden="false" customHeight="false" outlineLevel="0" collapsed="false">
      <c r="B26" s="45" t="str">
        <f aca="false">B17</f>
        <v>Esc. 4 · Sin SSC, tareas Plan Safe al 50 %</v>
      </c>
      <c r="C26" s="51"/>
      <c r="D26" s="52" t="n">
        <f aca="false">IF(D$13=0,0,1-D17/D$13)</f>
        <v>0.158157697441912</v>
      </c>
      <c r="E26" s="52" t="n">
        <f aca="false">IF(E$13=0,0,1-E17/E$13)</f>
        <v>0.396738446883725</v>
      </c>
      <c r="F26" s="52" t="n">
        <f aca="false">IF(F$13=0,0,1-F17/F$13)</f>
        <v>0</v>
      </c>
      <c r="G26" s="52" t="n">
        <f aca="false">IF(G$13=0,0,1-G17/G$13)</f>
        <v>0</v>
      </c>
      <c r="H26" s="52" t="n">
        <f aca="false">IF(H$13=0,0,1-H17/H$13)</f>
        <v>0.207369710909652</v>
      </c>
    </row>
    <row r="27" customFormat="false" ht="15" hidden="false" customHeight="false" outlineLevel="0" collapsed="false">
      <c r="B27" s="2" t="s">
        <v>82</v>
      </c>
    </row>
    <row r="29" customFormat="false" ht="15" hidden="false" customHeight="false" outlineLevel="0" collapsed="false">
      <c r="B29" s="35" t="s">
        <v>83</v>
      </c>
    </row>
    <row r="30" customFormat="false" ht="15" hidden="false" customHeight="false" outlineLevel="0" collapsed="false">
      <c r="B30" s="11" t="s">
        <v>75</v>
      </c>
      <c r="C30" s="11"/>
      <c r="D30" s="12" t="s">
        <v>16</v>
      </c>
      <c r="E30" s="13" t="s">
        <v>17</v>
      </c>
      <c r="F30" s="14" t="s">
        <v>18</v>
      </c>
      <c r="G30" s="15" t="s">
        <v>19</v>
      </c>
      <c r="H30" s="11" t="s">
        <v>20</v>
      </c>
    </row>
    <row r="31" customFormat="false" ht="15" hidden="false" customHeight="false" outlineLevel="0" collapsed="false">
      <c r="B31" s="45" t="str">
        <f aca="false">B13</f>
        <v>Oferta original (referencia)</v>
      </c>
      <c r="C31" s="51"/>
      <c r="D31" s="52" t="n">
        <f aca="false">IF($H13=0,0,D13/$H13)</f>
        <v>0.742060987214788</v>
      </c>
      <c r="E31" s="52" t="n">
        <f aca="false">IF($H13=0,0,E13/$H13)</f>
        <v>0.226867485410779</v>
      </c>
      <c r="F31" s="52" t="n">
        <f aca="false">IF($H13=0,0,F13/$H13)</f>
        <v>0</v>
      </c>
      <c r="G31" s="52" t="n">
        <f aca="false">IF($H13=0,0,G13/$H13)</f>
        <v>0.0310715273744328</v>
      </c>
      <c r="H31" s="52" t="n">
        <f aca="false">IF($H13=0,0,H13/$H13)</f>
        <v>1</v>
      </c>
    </row>
    <row r="32" customFormat="false" ht="15" hidden="false" customHeight="false" outlineLevel="0" collapsed="false">
      <c r="B32" s="45" t="str">
        <f aca="false">B14</f>
        <v>Esc. 1 · Original</v>
      </c>
      <c r="C32" s="51"/>
      <c r="D32" s="52" t="n">
        <f aca="false">IF($H14=0,0,D14/$H14)</f>
        <v>0.742060987214788</v>
      </c>
      <c r="E32" s="52" t="n">
        <f aca="false">IF($H14=0,0,E14/$H14)</f>
        <v>0.226867485410779</v>
      </c>
      <c r="F32" s="52" t="n">
        <f aca="false">IF($H14=0,0,F14/$H14)</f>
        <v>0</v>
      </c>
      <c r="G32" s="52" t="n">
        <f aca="false">IF($H14=0,0,G14/$H14)</f>
        <v>0.0310715273744328</v>
      </c>
      <c r="H32" s="52" t="n">
        <f aca="false">IF($H14=0,0,H14/$H14)</f>
        <v>1</v>
      </c>
    </row>
    <row r="33" customFormat="false" ht="15" hidden="false" customHeight="false" outlineLevel="0" collapsed="false">
      <c r="B33" s="45" t="str">
        <f aca="false">B15</f>
        <v>Esc. 2 · Sin las 4 tareas de Plan Safe</v>
      </c>
      <c r="C33" s="51"/>
      <c r="D33" s="52" t="n">
        <f aca="false">IF($H15=0,0,D15/$H15)</f>
        <v>0.904967992877885</v>
      </c>
      <c r="E33" s="52" t="n">
        <f aca="false">IF($H15=0,0,E15/$H15)</f>
        <v>0.0571392486451731</v>
      </c>
      <c r="F33" s="52" t="n">
        <f aca="false">IF($H15=0,0,F15/$H15)</f>
        <v>0</v>
      </c>
      <c r="G33" s="52" t="n">
        <f aca="false">IF($H15=0,0,G15/$H15)</f>
        <v>0.0378927584769414</v>
      </c>
      <c r="H33" s="52" t="n">
        <f aca="false">IF($H15=0,0,H15/$H15)</f>
        <v>1</v>
      </c>
    </row>
    <row r="34" customFormat="false" ht="15" hidden="false" customHeight="false" outlineLevel="0" collapsed="false">
      <c r="B34" s="45" t="str">
        <f aca="false">B16</f>
        <v>Esc. 3 · Sin tareas Plan Safe ni SSC</v>
      </c>
      <c r="C34" s="51"/>
      <c r="D34" s="52" t="n">
        <f aca="false">IF($H16=0,0,D16/$H16)</f>
        <v>0.889094323597803</v>
      </c>
      <c r="E34" s="52" t="n">
        <f aca="false">IF($H16=0,0,E16/$H16)</f>
        <v>0.0666835018223197</v>
      </c>
      <c r="F34" s="52" t="n">
        <f aca="false">IF($H16=0,0,F16/$H16)</f>
        <v>0</v>
      </c>
      <c r="G34" s="52" t="n">
        <f aca="false">IF($H16=0,0,G16/$H16)</f>
        <v>0.044222174579877</v>
      </c>
      <c r="H34" s="52" t="n">
        <f aca="false">IF($H16=0,0,H16/$H16)</f>
        <v>1</v>
      </c>
    </row>
    <row r="35" customFormat="false" ht="15" hidden="false" customHeight="false" outlineLevel="0" collapsed="false">
      <c r="B35" s="45" t="str">
        <f aca="false">B17</f>
        <v>Esc. 4 · Sin SSC, tareas Plan Safe al 50 %</v>
      </c>
      <c r="C35" s="51"/>
      <c r="D35" s="52" t="n">
        <f aca="false">IF($H17=0,0,D17/$H17)</f>
        <v>0.788133305922931</v>
      </c>
      <c r="E35" s="52" t="n">
        <f aca="false">IF($H17=0,0,E17/$H17)</f>
        <v>0.172666164142625</v>
      </c>
      <c r="F35" s="52" t="n">
        <f aca="false">IF($H17=0,0,F17/$H17)</f>
        <v>0</v>
      </c>
      <c r="G35" s="52" t="n">
        <f aca="false">IF($H17=0,0,G17/$H17)</f>
        <v>0.0392005299344435</v>
      </c>
      <c r="H35" s="52" t="n">
        <f aca="false">IF($H17=0,0,H17/$H17)</f>
        <v>1</v>
      </c>
    </row>
    <row r="38" customFormat="false" ht="15" hidden="false" customHeight="false" outlineLevel="0" collapsed="false">
      <c r="B38" s="35" t="s">
        <v>84</v>
      </c>
    </row>
    <row r="39" customFormat="false" ht="15" hidden="false" customHeight="false" outlineLevel="0" collapsed="false">
      <c r="B39" s="53" t="s">
        <v>75</v>
      </c>
      <c r="C39" s="53"/>
      <c r="D39" s="53" t="s">
        <v>85</v>
      </c>
      <c r="E39" s="53" t="s">
        <v>86</v>
      </c>
      <c r="F39" s="53" t="s">
        <v>87</v>
      </c>
      <c r="G39" s="53" t="s">
        <v>88</v>
      </c>
      <c r="H39" s="53" t="s">
        <v>77</v>
      </c>
    </row>
    <row r="40" customFormat="false" ht="15" hidden="false" customHeight="false" outlineLevel="0" collapsed="false">
      <c r="B40" s="54" t="s">
        <v>78</v>
      </c>
      <c r="C40" s="51"/>
      <c r="D40" s="46" t="n">
        <f aca="false">'Stage 1'!E16</f>
        <v>335082.825</v>
      </c>
      <c r="E40" s="46" t="n">
        <f aca="false">'Stage 2'!E20</f>
        <v>732839.1</v>
      </c>
      <c r="F40" s="46" t="n">
        <f aca="false">'Stage 3'!E24</f>
        <v>1469323.8</v>
      </c>
      <c r="G40" s="47" t="n">
        <f aca="false">SUM(D40:F40)</f>
        <v>2537245.725</v>
      </c>
      <c r="H40" s="55" t="s">
        <v>79</v>
      </c>
    </row>
    <row r="41" customFormat="false" ht="15" hidden="false" customHeight="false" outlineLevel="0" collapsed="false">
      <c r="B41" s="45" t="str">
        <f aca="false">B14</f>
        <v>Esc. 1 · Original</v>
      </c>
      <c r="C41" s="51"/>
      <c r="D41" s="46" t="n">
        <f aca="false">'Stage 1'!O14</f>
        <v>335082.825</v>
      </c>
      <c r="E41" s="46" t="n">
        <f aca="false">'Stage 2'!O18</f>
        <v>732839.1</v>
      </c>
      <c r="F41" s="46" t="n">
        <f aca="false">'Stage 3'!O22</f>
        <v>1469323.8</v>
      </c>
      <c r="G41" s="47" t="n">
        <f aca="false">SUM(D41:F41)</f>
        <v>2537245.725</v>
      </c>
      <c r="H41" s="52" t="n">
        <f aca="false">IF($G$40=0,0,1-G41/$G$40)</f>
        <v>0</v>
      </c>
    </row>
    <row r="42" customFormat="false" ht="15" hidden="false" customHeight="false" outlineLevel="0" collapsed="false">
      <c r="B42" s="45" t="str">
        <f aca="false">B15</f>
        <v>Esc. 2 · Sin las 4 tareas de Plan Safe</v>
      </c>
      <c r="C42" s="51"/>
      <c r="D42" s="46" t="n">
        <f aca="false">'Stage 1'!U14</f>
        <v>227015.775</v>
      </c>
      <c r="E42" s="46" t="n">
        <f aca="false">'Stage 2'!U18</f>
        <v>573972.525</v>
      </c>
      <c r="F42" s="46" t="n">
        <f aca="false">'Stage 3'!U22</f>
        <v>1279517.4</v>
      </c>
      <c r="G42" s="47" t="n">
        <f aca="false">SUM(D42:F42)</f>
        <v>2080505.7</v>
      </c>
      <c r="H42" s="52" t="n">
        <f aca="false">IF($G$40=0,0,1-G42/$G$40)</f>
        <v>0.180014107620577</v>
      </c>
    </row>
    <row r="43" customFormat="false" ht="15" hidden="false" customHeight="false" outlineLevel="0" collapsed="false">
      <c r="B43" s="45" t="str">
        <f aca="false">B16</f>
        <v>Esc. 3 · Sin tareas Plan Safe ni SSC</v>
      </c>
      <c r="C43" s="51"/>
      <c r="D43" s="46" t="n">
        <f aca="false">'Stage 1'!AA14</f>
        <v>227015.775</v>
      </c>
      <c r="E43" s="46" t="n">
        <f aca="false">'Stage 2'!AA18</f>
        <v>474236.7</v>
      </c>
      <c r="F43" s="46" t="n">
        <f aca="false">'Stage 3'!AA22</f>
        <v>1081475.325</v>
      </c>
      <c r="G43" s="47" t="n">
        <f aca="false">SUM(D43:F43)</f>
        <v>1782727.8</v>
      </c>
      <c r="H43" s="52" t="n">
        <f aca="false">IF($G$40=0,0,1-G43/$G$40)</f>
        <v>0.297376764719941</v>
      </c>
    </row>
    <row r="44" customFormat="false" ht="15" hidden="false" customHeight="false" outlineLevel="0" collapsed="false">
      <c r="B44" s="45" t="str">
        <f aca="false">B17</f>
        <v>Esc. 4 · Sin SSC, tareas Plan Safe al 50 %</v>
      </c>
      <c r="C44" s="51"/>
      <c r="D44" s="46" t="n">
        <f aca="false">'Stage 1'!AG14</f>
        <v>281049.3</v>
      </c>
      <c r="E44" s="46" t="n">
        <f aca="false">'Stage 2'!AG18</f>
        <v>553669.9875</v>
      </c>
      <c r="F44" s="46" t="n">
        <f aca="false">'Stage 3'!AG22</f>
        <v>1176378.525</v>
      </c>
      <c r="G44" s="47" t="n">
        <f aca="false">SUM(D44:F44)</f>
        <v>2011097.8125</v>
      </c>
      <c r="H44" s="52" t="n">
        <f aca="false">IF($G$40=0,0,1-G44/$G$40)</f>
        <v>0.207369710909652</v>
      </c>
    </row>
    <row r="47" customFormat="false" ht="15" hidden="false" customHeight="false" outlineLevel="0" collapsed="false">
      <c r="B47" s="35" t="s">
        <v>89</v>
      </c>
    </row>
    <row r="48" customFormat="false" ht="30" hidden="false" customHeight="true" outlineLevel="0" collapsed="false">
      <c r="B48" s="56" t="s">
        <v>75</v>
      </c>
      <c r="C48" s="56"/>
      <c r="D48" s="56" t="s">
        <v>90</v>
      </c>
      <c r="E48" s="56" t="s">
        <v>91</v>
      </c>
      <c r="F48" s="56" t="s">
        <v>92</v>
      </c>
      <c r="G48" s="56" t="s">
        <v>93</v>
      </c>
      <c r="H48" s="56" t="s">
        <v>94</v>
      </c>
    </row>
    <row r="49" customFormat="false" ht="15" hidden="false" customHeight="false" outlineLevel="0" collapsed="false">
      <c r="B49" s="45" t="str">
        <f aca="false">B14</f>
        <v>Esc. 1 · Original</v>
      </c>
      <c r="C49" s="51"/>
      <c r="D49" s="46" t="n">
        <f aca="false">'Stage 1'!O12</f>
        <v>335082.825</v>
      </c>
      <c r="E49" s="46" t="n">
        <f aca="false">'Stage 1'!O13</f>
        <v>0</v>
      </c>
      <c r="F49" s="47" t="n">
        <f aca="false">D49+E49</f>
        <v>335082.825</v>
      </c>
      <c r="G49" s="52" t="n">
        <f aca="false">IF(H14=0,0,-E49/(H14-E49-H49))</f>
        <v>-0</v>
      </c>
      <c r="H49" s="46" t="n">
        <f aca="false">'Stage 2'!O17</f>
        <v>0</v>
      </c>
    </row>
    <row r="50" customFormat="false" ht="15" hidden="false" customHeight="false" outlineLevel="0" collapsed="false">
      <c r="B50" s="45" t="str">
        <f aca="false">B15</f>
        <v>Esc. 2 · Sin las 4 tareas de Plan Safe</v>
      </c>
      <c r="C50" s="51"/>
      <c r="D50" s="46" t="n">
        <f aca="false">'Stage 1'!U12</f>
        <v>227015.775</v>
      </c>
      <c r="E50" s="46" t="n">
        <f aca="false">'Stage 1'!U13</f>
        <v>0</v>
      </c>
      <c r="F50" s="47" t="n">
        <f aca="false">D50+E50</f>
        <v>227015.775</v>
      </c>
      <c r="G50" s="52" t="n">
        <f aca="false">IF(H15=0,0,-E50/(H15-E50-H50))</f>
        <v>-0</v>
      </c>
      <c r="H50" s="46" t="n">
        <f aca="false">'Stage 2'!U17</f>
        <v>0</v>
      </c>
    </row>
    <row r="51" customFormat="false" ht="15" hidden="false" customHeight="false" outlineLevel="0" collapsed="false">
      <c r="B51" s="45" t="str">
        <f aca="false">B16</f>
        <v>Esc. 3 · Sin tareas Plan Safe ni SSC</v>
      </c>
      <c r="C51" s="51"/>
      <c r="D51" s="46" t="n">
        <f aca="false">'Stage 1'!AA12</f>
        <v>227015.775</v>
      </c>
      <c r="E51" s="46" t="n">
        <f aca="false">'Stage 1'!AA13</f>
        <v>0</v>
      </c>
      <c r="F51" s="47" t="n">
        <f aca="false">D51+E51</f>
        <v>227015.775</v>
      </c>
      <c r="G51" s="52" t="n">
        <f aca="false">IF(H16=0,0,-E51/(H16-E51-H51))</f>
        <v>-0</v>
      </c>
      <c r="H51" s="46" t="n">
        <f aca="false">'Stage 2'!AA17</f>
        <v>0</v>
      </c>
    </row>
    <row r="52" customFormat="false" ht="15" hidden="false" customHeight="false" outlineLevel="0" collapsed="false">
      <c r="B52" s="45" t="str">
        <f aca="false">B17</f>
        <v>Esc. 4 · Sin SSC, tareas Plan Safe al 50 %</v>
      </c>
      <c r="C52" s="51"/>
      <c r="D52" s="46" t="n">
        <f aca="false">'Stage 1'!AG12</f>
        <v>281049.3</v>
      </c>
      <c r="E52" s="46" t="n">
        <f aca="false">'Stage 1'!AG13</f>
        <v>0</v>
      </c>
      <c r="F52" s="47" t="n">
        <f aca="false">D52+E52</f>
        <v>281049.3</v>
      </c>
      <c r="G52" s="52" t="n">
        <f aca="false">IF(H17=0,0,-E52/(H17-E52-H52))</f>
        <v>-0</v>
      </c>
      <c r="H52" s="46" t="n">
        <f aca="false">'Stage 2'!AG17</f>
        <v>0</v>
      </c>
    </row>
    <row r="53" customFormat="false" ht="15" hidden="false" customHeight="false" outlineLevel="0" collapsed="false">
      <c r="B53" s="2" t="s">
        <v>95</v>
      </c>
    </row>
    <row r="55" customFormat="false" ht="15" hidden="false" customHeight="false" outlineLevel="0" collapsed="false">
      <c r="B55" s="57" t="s">
        <v>96</v>
      </c>
    </row>
    <row r="56" customFormat="false" ht="15" hidden="false" customHeight="false" outlineLevel="0" collapsed="false">
      <c r="B56" s="2" t="s">
        <v>97</v>
      </c>
    </row>
    <row r="57" customFormat="false" ht="15" hidden="false" customHeight="false" outlineLevel="0" collapsed="false">
      <c r="B57" s="2" t="s">
        <v>98</v>
      </c>
    </row>
    <row r="58" customFormat="false" ht="15" hidden="false" customHeight="false" outlineLevel="0" collapsed="false">
      <c r="B58" s="2" t="s">
        <v>99</v>
      </c>
    </row>
    <row r="59" customFormat="false" ht="15" hidden="false" customHeight="false" outlineLevel="0" collapsed="false">
      <c r="B59" s="2" t="s">
        <v>100</v>
      </c>
    </row>
  </sheetData>
  <dataValidations count="1">
    <dataValidation allowBlank="false" errorStyle="stop" operator="between" showDropDown="false" showErrorMessage="false" showInputMessage="false" sqref="C6" type="list">
      <formula1>"IDOM,Proporcional"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5C1E"/>
    <pageSetUpPr fitToPage="false"/>
  </sheetPr>
  <dimension ref="A1:L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60"/>
    <col collapsed="false" customWidth="true" hidden="false" outlineLevel="0" max="3" min="3" style="0" width="32"/>
    <col collapsed="false" customWidth="true" hidden="false" outlineLevel="0" max="4" min="4" style="0" width="15"/>
    <col collapsed="false" customWidth="true" hidden="false" outlineLevel="0" max="5" min="5" style="0" width="9"/>
    <col collapsed="false" customWidth="true" hidden="false" outlineLevel="0" max="7" min="6" style="0" width="10"/>
    <col collapsed="false" customWidth="true" hidden="false" outlineLevel="0" max="8" min="8" style="0" width="9"/>
    <col collapsed="false" customWidth="true" hidden="false" outlineLevel="0" max="12" min="9" style="0" width="14"/>
  </cols>
  <sheetData>
    <row r="1" customFormat="false" ht="1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2" t="s">
        <v>102</v>
      </c>
    </row>
    <row r="4" customFormat="false" ht="15" hidden="false" customHeight="false" outlineLevel="0" collapsed="false">
      <c r="A4" s="27" t="s">
        <v>103</v>
      </c>
      <c r="B4" s="27" t="s">
        <v>104</v>
      </c>
      <c r="C4" s="27" t="s">
        <v>105</v>
      </c>
    </row>
    <row r="5" customFormat="false" ht="15" hidden="false" customHeight="false" outlineLevel="0" collapsed="false">
      <c r="A5" s="58" t="s">
        <v>106</v>
      </c>
      <c r="B5" s="59" t="n">
        <v>0.1</v>
      </c>
      <c r="C5" s="60" t="s">
        <v>107</v>
      </c>
      <c r="D5" s="60"/>
      <c r="E5" s="60"/>
      <c r="F5" s="60"/>
      <c r="G5" s="60"/>
      <c r="H5" s="60"/>
      <c r="I5" s="60"/>
      <c r="J5" s="60"/>
      <c r="K5" s="60"/>
      <c r="L5" s="60"/>
    </row>
    <row r="6" customFormat="false" ht="15" hidden="false" customHeight="false" outlineLevel="0" collapsed="false">
      <c r="A6" s="58" t="s">
        <v>108</v>
      </c>
      <c r="B6" s="59" t="n">
        <v>0</v>
      </c>
      <c r="C6" s="60" t="s">
        <v>109</v>
      </c>
      <c r="D6" s="60"/>
      <c r="E6" s="60"/>
      <c r="F6" s="60"/>
      <c r="G6" s="60"/>
      <c r="H6" s="60"/>
      <c r="I6" s="60"/>
      <c r="J6" s="60"/>
      <c r="K6" s="60"/>
      <c r="L6" s="60"/>
    </row>
    <row r="7" customFormat="false" ht="15" hidden="false" customHeight="false" outlineLevel="0" collapsed="false">
      <c r="A7" s="58" t="s">
        <v>110</v>
      </c>
      <c r="B7" s="59" t="n">
        <v>0.5</v>
      </c>
      <c r="C7" s="60" t="s">
        <v>111</v>
      </c>
      <c r="D7" s="60"/>
      <c r="E7" s="60"/>
      <c r="F7" s="60"/>
      <c r="G7" s="60"/>
      <c r="H7" s="60"/>
      <c r="I7" s="60"/>
      <c r="J7" s="60"/>
      <c r="K7" s="60"/>
      <c r="L7" s="60"/>
    </row>
    <row r="8" customFormat="false" ht="15" hidden="false" customHeight="false" outlineLevel="0" collapsed="false">
      <c r="A8" s="58" t="s">
        <v>112</v>
      </c>
      <c r="B8" s="59" t="n">
        <v>0.35</v>
      </c>
      <c r="C8" s="60" t="s">
        <v>113</v>
      </c>
      <c r="D8" s="60"/>
      <c r="E8" s="60"/>
      <c r="F8" s="60"/>
      <c r="G8" s="60"/>
      <c r="H8" s="60"/>
      <c r="I8" s="60"/>
      <c r="J8" s="60"/>
      <c r="K8" s="60"/>
      <c r="L8" s="60"/>
    </row>
    <row r="10" customFormat="false" ht="15" hidden="false" customHeight="false" outlineLevel="0" collapsed="false">
      <c r="I10" s="61" t="s">
        <v>114</v>
      </c>
      <c r="J10" s="62" t="s">
        <v>115</v>
      </c>
      <c r="K10" s="63" t="s">
        <v>116</v>
      </c>
      <c r="L10" s="64" t="s">
        <v>117</v>
      </c>
    </row>
    <row r="11" customFormat="false" ht="42" hidden="false" customHeight="true" outlineLevel="0" collapsed="false">
      <c r="A11" s="10" t="s">
        <v>6</v>
      </c>
      <c r="B11" s="10" t="s">
        <v>7</v>
      </c>
      <c r="C11" s="10" t="s">
        <v>118</v>
      </c>
      <c r="D11" s="10" t="s">
        <v>119</v>
      </c>
      <c r="E11" s="10" t="s">
        <v>11</v>
      </c>
      <c r="F11" s="10" t="s">
        <v>12</v>
      </c>
      <c r="G11" s="10" t="s">
        <v>13</v>
      </c>
      <c r="H11" s="10" t="s">
        <v>14</v>
      </c>
      <c r="I11" s="65" t="s">
        <v>120</v>
      </c>
      <c r="J11" s="65" t="s">
        <v>121</v>
      </c>
      <c r="K11" s="65" t="s">
        <v>122</v>
      </c>
      <c r="L11" s="65" t="s">
        <v>123</v>
      </c>
    </row>
    <row r="12" customFormat="false" ht="15" hidden="false" customHeight="false" outlineLevel="0" collapsed="false">
      <c r="A12" s="3" t="s">
        <v>36</v>
      </c>
      <c r="B12" s="16" t="s">
        <v>37</v>
      </c>
      <c r="C12" s="66" t="s">
        <v>124</v>
      </c>
      <c r="D12" s="67" t="s">
        <v>16</v>
      </c>
      <c r="E12" s="68" t="n">
        <f aca="false">IF(D12="IDOM",1,IF(D12="Compartido",1-Escenarios!$B$5-Escenarios!$B$6,0))</f>
        <v>1</v>
      </c>
      <c r="F12" s="68" t="n">
        <f aca="false">IF(D12="Plan Safe",1,IF(D12="Compartido",Escenarios!$B$5,0))</f>
        <v>0</v>
      </c>
      <c r="G12" s="68" t="n">
        <f aca="false">IF(D12="Synertec",1,IF(D12="Compartido",Escenarios!$B$6,0))</f>
        <v>0</v>
      </c>
      <c r="H12" s="68" t="n">
        <f aca="false">IF(D12="INVAP",1,0)</f>
        <v>0</v>
      </c>
      <c r="I12" s="69" t="n">
        <v>1</v>
      </c>
      <c r="J12" s="69" t="n">
        <v>1</v>
      </c>
      <c r="K12" s="69" t="n">
        <v>1</v>
      </c>
      <c r="L12" s="69" t="n">
        <v>1</v>
      </c>
    </row>
    <row r="13" customFormat="false" ht="15" hidden="false" customHeight="false" outlineLevel="0" collapsed="false">
      <c r="A13" s="3" t="s">
        <v>21</v>
      </c>
      <c r="B13" s="16" t="s">
        <v>22</v>
      </c>
      <c r="C13" s="66" t="s">
        <v>125</v>
      </c>
      <c r="D13" s="67" t="s">
        <v>126</v>
      </c>
      <c r="E13" s="68" t="n">
        <f aca="false">IF(D13="IDOM",1,IF(D13="Compartido",1-Escenarios!$B$5-Escenarios!$B$6,0))</f>
        <v>0.9</v>
      </c>
      <c r="F13" s="68" t="n">
        <f aca="false">IF(D13="Plan Safe",1,IF(D13="Compartido",Escenarios!$B$5,0))</f>
        <v>0.1</v>
      </c>
      <c r="G13" s="68" t="n">
        <f aca="false">IF(D13="Synertec",1,IF(D13="Compartido",Escenarios!$B$6,0))</f>
        <v>0</v>
      </c>
      <c r="H13" s="68" t="n">
        <f aca="false">IF(D13="INVAP",1,0)</f>
        <v>0</v>
      </c>
      <c r="I13" s="69" t="n">
        <v>1</v>
      </c>
      <c r="J13" s="69" t="n">
        <v>1</v>
      </c>
      <c r="K13" s="69" t="n">
        <v>1</v>
      </c>
      <c r="L13" s="69" t="n">
        <v>1</v>
      </c>
    </row>
    <row r="14" customFormat="false" ht="15" hidden="false" customHeight="false" outlineLevel="0" collapsed="false">
      <c r="A14" s="3" t="s">
        <v>49</v>
      </c>
      <c r="B14" s="16" t="s">
        <v>50</v>
      </c>
      <c r="C14" s="66" t="s">
        <v>127</v>
      </c>
      <c r="D14" s="67" t="s">
        <v>126</v>
      </c>
      <c r="E14" s="68" t="n">
        <f aca="false">IF(D14="IDOM",1,IF(D14="Compartido",1-Escenarios!$B$5-Escenarios!$B$6,0))</f>
        <v>0.9</v>
      </c>
      <c r="F14" s="68" t="n">
        <f aca="false">IF(D14="Plan Safe",1,IF(D14="Compartido",Escenarios!$B$5,0))</f>
        <v>0.1</v>
      </c>
      <c r="G14" s="68" t="n">
        <f aca="false">IF(D14="Synertec",1,IF(D14="Compartido",Escenarios!$B$6,0))</f>
        <v>0</v>
      </c>
      <c r="H14" s="68" t="n">
        <f aca="false">IF(D14="INVAP",1,0)</f>
        <v>0</v>
      </c>
      <c r="I14" s="69" t="n">
        <v>1</v>
      </c>
      <c r="J14" s="69" t="n">
        <v>1</v>
      </c>
      <c r="K14" s="69" t="n">
        <v>1</v>
      </c>
      <c r="L14" s="69" t="n">
        <v>1</v>
      </c>
    </row>
    <row r="15" customFormat="false" ht="15" hidden="false" customHeight="false" outlineLevel="0" collapsed="false">
      <c r="A15" s="3" t="s">
        <v>128</v>
      </c>
      <c r="B15" s="16" t="s">
        <v>129</v>
      </c>
      <c r="C15" s="66" t="s">
        <v>127</v>
      </c>
      <c r="D15" s="67" t="s">
        <v>126</v>
      </c>
      <c r="E15" s="68" t="n">
        <f aca="false">IF(D15="IDOM",1,IF(D15="Compartido",1-Escenarios!$B$5-Escenarios!$B$6,0))</f>
        <v>0.9</v>
      </c>
      <c r="F15" s="68" t="n">
        <f aca="false">IF(D15="Plan Safe",1,IF(D15="Compartido",Escenarios!$B$5,0))</f>
        <v>0.1</v>
      </c>
      <c r="G15" s="68" t="n">
        <f aca="false">IF(D15="Synertec",1,IF(D15="Compartido",Escenarios!$B$6,0))</f>
        <v>0</v>
      </c>
      <c r="H15" s="68" t="n">
        <f aca="false">IF(D15="INVAP",1,0)</f>
        <v>0</v>
      </c>
      <c r="I15" s="69" t="n">
        <v>1</v>
      </c>
      <c r="J15" s="69" t="n">
        <v>1</v>
      </c>
      <c r="K15" s="69" t="n">
        <v>1</v>
      </c>
      <c r="L15" s="69" t="n">
        <v>1</v>
      </c>
    </row>
    <row r="16" customFormat="false" ht="15" hidden="false" customHeight="false" outlineLevel="0" collapsed="false">
      <c r="A16" s="3" t="s">
        <v>38</v>
      </c>
      <c r="B16" s="16" t="s">
        <v>39</v>
      </c>
      <c r="C16" s="66" t="s">
        <v>130</v>
      </c>
      <c r="D16" s="67" t="s">
        <v>126</v>
      </c>
      <c r="E16" s="68" t="n">
        <f aca="false">IF(D16="IDOM",1,IF(D16="Compartido",1-Escenarios!$B$5-Escenarios!$B$6,0))</f>
        <v>0.9</v>
      </c>
      <c r="F16" s="68" t="n">
        <f aca="false">IF(D16="Plan Safe",1,IF(D16="Compartido",Escenarios!$B$5,0))</f>
        <v>0.1</v>
      </c>
      <c r="G16" s="68" t="n">
        <f aca="false">IF(D16="Synertec",1,IF(D16="Compartido",Escenarios!$B$6,0))</f>
        <v>0</v>
      </c>
      <c r="H16" s="68" t="n">
        <f aca="false">IF(D16="INVAP",1,0)</f>
        <v>0</v>
      </c>
      <c r="I16" s="69" t="n">
        <v>1</v>
      </c>
      <c r="J16" s="69" t="n">
        <v>1</v>
      </c>
      <c r="K16" s="69" t="n">
        <v>1</v>
      </c>
      <c r="L16" s="69" t="n">
        <v>1</v>
      </c>
    </row>
    <row r="17" customFormat="false" ht="15" hidden="false" customHeight="false" outlineLevel="0" collapsed="false">
      <c r="A17" s="3" t="s">
        <v>131</v>
      </c>
      <c r="B17" s="16" t="s">
        <v>132</v>
      </c>
      <c r="C17" s="66" t="s">
        <v>130</v>
      </c>
      <c r="D17" s="67" t="s">
        <v>126</v>
      </c>
      <c r="E17" s="68" t="n">
        <f aca="false">IF(D17="IDOM",1,IF(D17="Compartido",1-Escenarios!$B$5-Escenarios!$B$6,0))</f>
        <v>0.9</v>
      </c>
      <c r="F17" s="68" t="n">
        <f aca="false">IF(D17="Plan Safe",1,IF(D17="Compartido",Escenarios!$B$5,0))</f>
        <v>0.1</v>
      </c>
      <c r="G17" s="68" t="n">
        <f aca="false">IF(D17="Synertec",1,IF(D17="Compartido",Escenarios!$B$6,0))</f>
        <v>0</v>
      </c>
      <c r="H17" s="68" t="n">
        <f aca="false">IF(D17="INVAP",1,0)</f>
        <v>0</v>
      </c>
      <c r="I17" s="69" t="n">
        <v>1</v>
      </c>
      <c r="J17" s="69" t="n">
        <v>1</v>
      </c>
      <c r="K17" s="69" t="n">
        <v>1</v>
      </c>
      <c r="L17" s="69" t="n">
        <v>1</v>
      </c>
    </row>
    <row r="18" customFormat="false" ht="15" hidden="false" customHeight="false" outlineLevel="0" collapsed="false">
      <c r="A18" s="3" t="s">
        <v>133</v>
      </c>
      <c r="B18" s="16" t="s">
        <v>134</v>
      </c>
      <c r="C18" s="66" t="s">
        <v>135</v>
      </c>
      <c r="D18" s="67" t="s">
        <v>16</v>
      </c>
      <c r="E18" s="68" t="n">
        <f aca="false">IF(D18="IDOM",1,IF(D18="Compartido",1-Escenarios!$B$5-Escenarios!$B$6,0))</f>
        <v>1</v>
      </c>
      <c r="F18" s="68" t="n">
        <f aca="false">IF(D18="Plan Safe",1,IF(D18="Compartido",Escenarios!$B$5,0))</f>
        <v>0</v>
      </c>
      <c r="G18" s="68" t="n">
        <f aca="false">IF(D18="Synertec",1,IF(D18="Compartido",Escenarios!$B$6,0))</f>
        <v>0</v>
      </c>
      <c r="H18" s="68" t="n">
        <f aca="false">IF(D18="INVAP",1,0)</f>
        <v>0</v>
      </c>
      <c r="I18" s="69" t="n">
        <v>1</v>
      </c>
      <c r="J18" s="69" t="n">
        <v>1</v>
      </c>
      <c r="K18" s="69" t="n">
        <v>1</v>
      </c>
      <c r="L18" s="69" t="n">
        <v>1</v>
      </c>
    </row>
    <row r="19" customFormat="false" ht="15" hidden="false" customHeight="false" outlineLevel="0" collapsed="false">
      <c r="A19" s="3" t="s">
        <v>51</v>
      </c>
      <c r="B19" s="16" t="s">
        <v>52</v>
      </c>
      <c r="C19" s="66" t="s">
        <v>136</v>
      </c>
      <c r="D19" s="67" t="s">
        <v>16</v>
      </c>
      <c r="E19" s="68" t="n">
        <f aca="false">IF(D19="IDOM",1,IF(D19="Compartido",1-Escenarios!$B$5-Escenarios!$B$6,0))</f>
        <v>1</v>
      </c>
      <c r="F19" s="68" t="n">
        <f aca="false">IF(D19="Plan Safe",1,IF(D19="Compartido",Escenarios!$B$5,0))</f>
        <v>0</v>
      </c>
      <c r="G19" s="68" t="n">
        <f aca="false">IF(D19="Synertec",1,IF(D19="Compartido",Escenarios!$B$6,0))</f>
        <v>0</v>
      </c>
      <c r="H19" s="68" t="n">
        <f aca="false">IF(D19="INVAP",1,0)</f>
        <v>0</v>
      </c>
      <c r="I19" s="69" t="n">
        <v>1</v>
      </c>
      <c r="J19" s="69" t="n">
        <v>1</v>
      </c>
      <c r="K19" s="69" t="n">
        <v>1</v>
      </c>
      <c r="L19" s="69" t="n">
        <v>1</v>
      </c>
    </row>
    <row r="20" customFormat="false" ht="15" hidden="false" customHeight="false" outlineLevel="0" collapsed="false">
      <c r="A20" s="3" t="s">
        <v>53</v>
      </c>
      <c r="B20" s="16" t="s">
        <v>54</v>
      </c>
      <c r="C20" s="66" t="s">
        <v>136</v>
      </c>
      <c r="D20" s="67" t="s">
        <v>16</v>
      </c>
      <c r="E20" s="68" t="n">
        <f aca="false">IF(D20="IDOM",1,IF(D20="Compartido",1-Escenarios!$B$5-Escenarios!$B$6,0))</f>
        <v>1</v>
      </c>
      <c r="F20" s="68" t="n">
        <f aca="false">IF(D20="Plan Safe",1,IF(D20="Compartido",Escenarios!$B$5,0))</f>
        <v>0</v>
      </c>
      <c r="G20" s="68" t="n">
        <f aca="false">IF(D20="Synertec",1,IF(D20="Compartido",Escenarios!$B$6,0))</f>
        <v>0</v>
      </c>
      <c r="H20" s="68" t="n">
        <f aca="false">IF(D20="INVAP",1,0)</f>
        <v>0</v>
      </c>
      <c r="I20" s="69" t="n">
        <v>1</v>
      </c>
      <c r="J20" s="69" t="n">
        <v>1</v>
      </c>
      <c r="K20" s="69" t="n">
        <v>1</v>
      </c>
      <c r="L20" s="69" t="n">
        <v>1</v>
      </c>
    </row>
    <row r="21" customFormat="false" ht="15" hidden="false" customHeight="false" outlineLevel="0" collapsed="false">
      <c r="A21" s="3" t="s">
        <v>55</v>
      </c>
      <c r="B21" s="16" t="s">
        <v>56</v>
      </c>
      <c r="C21" s="66" t="s">
        <v>137</v>
      </c>
      <c r="D21" s="67" t="s">
        <v>126</v>
      </c>
      <c r="E21" s="68" t="n">
        <f aca="false">IF(D21="IDOM",1,IF(D21="Compartido",1-Escenarios!$B$5-Escenarios!$B$6,0))</f>
        <v>0.9</v>
      </c>
      <c r="F21" s="68" t="n">
        <f aca="false">IF(D21="Plan Safe",1,IF(D21="Compartido",Escenarios!$B$5,0))</f>
        <v>0.1</v>
      </c>
      <c r="G21" s="68" t="n">
        <f aca="false">IF(D21="Synertec",1,IF(D21="Compartido",Escenarios!$B$6,0))</f>
        <v>0</v>
      </c>
      <c r="H21" s="68" t="n">
        <f aca="false">IF(D21="INVAP",1,0)</f>
        <v>0</v>
      </c>
      <c r="I21" s="69" t="n">
        <v>1</v>
      </c>
      <c r="J21" s="69" t="n">
        <v>1</v>
      </c>
      <c r="K21" s="69" t="n">
        <v>1</v>
      </c>
      <c r="L21" s="69" t="n">
        <v>1</v>
      </c>
    </row>
    <row r="22" customFormat="false" ht="15" hidden="false" customHeight="false" outlineLevel="0" collapsed="false">
      <c r="A22" s="3" t="s">
        <v>40</v>
      </c>
      <c r="B22" s="16" t="s">
        <v>41</v>
      </c>
      <c r="C22" s="66" t="s">
        <v>124</v>
      </c>
      <c r="D22" s="67" t="s">
        <v>16</v>
      </c>
      <c r="E22" s="68" t="n">
        <f aca="false">IF(D22="IDOM",1,IF(D22="Compartido",1-Escenarios!$B$5-Escenarios!$B$6,0))</f>
        <v>1</v>
      </c>
      <c r="F22" s="68" t="n">
        <f aca="false">IF(D22="Plan Safe",1,IF(D22="Compartido",Escenarios!$B$5,0))</f>
        <v>0</v>
      </c>
      <c r="G22" s="68" t="n">
        <f aca="false">IF(D22="Synertec",1,IF(D22="Compartido",Escenarios!$B$6,0))</f>
        <v>0</v>
      </c>
      <c r="H22" s="68" t="n">
        <f aca="false">IF(D22="INVAP",1,0)</f>
        <v>0</v>
      </c>
      <c r="I22" s="69" t="n">
        <v>1</v>
      </c>
      <c r="J22" s="69" t="n">
        <v>1</v>
      </c>
      <c r="K22" s="69" t="n">
        <v>1</v>
      </c>
      <c r="L22" s="69" t="n">
        <v>1</v>
      </c>
    </row>
    <row r="23" customFormat="false" ht="15" hidden="false" customHeight="false" outlineLevel="0" collapsed="false">
      <c r="A23" s="3" t="s">
        <v>138</v>
      </c>
      <c r="B23" s="16" t="s">
        <v>139</v>
      </c>
      <c r="C23" s="66" t="s">
        <v>124</v>
      </c>
      <c r="D23" s="67" t="s">
        <v>16</v>
      </c>
      <c r="E23" s="68" t="n">
        <f aca="false">IF(D23="IDOM",1,IF(D23="Compartido",1-Escenarios!$B$5-Escenarios!$B$6,0))</f>
        <v>1</v>
      </c>
      <c r="F23" s="68" t="n">
        <f aca="false">IF(D23="Plan Safe",1,IF(D23="Compartido",Escenarios!$B$5,0))</f>
        <v>0</v>
      </c>
      <c r="G23" s="68" t="n">
        <f aca="false">IF(D23="Synertec",1,IF(D23="Compartido",Escenarios!$B$6,0))</f>
        <v>0</v>
      </c>
      <c r="H23" s="68" t="n">
        <f aca="false">IF(D23="INVAP",1,0)</f>
        <v>0</v>
      </c>
      <c r="I23" s="69" t="n">
        <v>1</v>
      </c>
      <c r="J23" s="69" t="n">
        <v>1</v>
      </c>
      <c r="K23" s="69" t="n">
        <v>1</v>
      </c>
      <c r="L23" s="69" t="n">
        <v>1</v>
      </c>
    </row>
    <row r="24" customFormat="false" ht="15" hidden="false" customHeight="false" outlineLevel="0" collapsed="false">
      <c r="A24" s="3" t="s">
        <v>42</v>
      </c>
      <c r="B24" s="16" t="s">
        <v>43</v>
      </c>
      <c r="C24" s="66" t="s">
        <v>140</v>
      </c>
      <c r="D24" s="67" t="s">
        <v>16</v>
      </c>
      <c r="E24" s="68" t="n">
        <f aca="false">IF(D24="IDOM",1,IF(D24="Compartido",1-Escenarios!$B$5-Escenarios!$B$6,0))</f>
        <v>1</v>
      </c>
      <c r="F24" s="68" t="n">
        <f aca="false">IF(D24="Plan Safe",1,IF(D24="Compartido",Escenarios!$B$5,0))</f>
        <v>0</v>
      </c>
      <c r="G24" s="68" t="n">
        <f aca="false">IF(D24="Synertec",1,IF(D24="Compartido",Escenarios!$B$6,0))</f>
        <v>0</v>
      </c>
      <c r="H24" s="68" t="n">
        <f aca="false">IF(D24="INVAP",1,0)</f>
        <v>0</v>
      </c>
      <c r="I24" s="69" t="n">
        <v>1</v>
      </c>
      <c r="J24" s="69" t="n">
        <v>1</v>
      </c>
      <c r="K24" s="70" t="n">
        <v>0</v>
      </c>
      <c r="L24" s="70" t="n">
        <v>0</v>
      </c>
    </row>
    <row r="25" customFormat="false" ht="15" hidden="false" customHeight="false" outlineLevel="0" collapsed="false">
      <c r="A25" s="3" t="s">
        <v>44</v>
      </c>
      <c r="B25" s="16" t="s">
        <v>45</v>
      </c>
      <c r="C25" s="66" t="s">
        <v>140</v>
      </c>
      <c r="D25" s="67" t="s">
        <v>16</v>
      </c>
      <c r="E25" s="68" t="n">
        <f aca="false">IF(D25="IDOM",1,IF(D25="Compartido",1-Escenarios!$B$5-Escenarios!$B$6,0))</f>
        <v>1</v>
      </c>
      <c r="F25" s="68" t="n">
        <f aca="false">IF(D25="Plan Safe",1,IF(D25="Compartido",Escenarios!$B$5,0))</f>
        <v>0</v>
      </c>
      <c r="G25" s="68" t="n">
        <f aca="false">IF(D25="Synertec",1,IF(D25="Compartido",Escenarios!$B$6,0))</f>
        <v>0</v>
      </c>
      <c r="H25" s="68" t="n">
        <f aca="false">IF(D25="INVAP",1,0)</f>
        <v>0</v>
      </c>
      <c r="I25" s="69" t="n">
        <v>1</v>
      </c>
      <c r="J25" s="69" t="n">
        <v>1</v>
      </c>
      <c r="K25" s="70" t="n">
        <v>0</v>
      </c>
      <c r="L25" s="70" t="n">
        <v>0</v>
      </c>
    </row>
    <row r="26" customFormat="false" ht="15" hidden="false" customHeight="false" outlineLevel="0" collapsed="false">
      <c r="A26" s="3" t="s">
        <v>141</v>
      </c>
      <c r="B26" s="16" t="s">
        <v>142</v>
      </c>
      <c r="C26" s="66" t="s">
        <v>140</v>
      </c>
      <c r="D26" s="67" t="s">
        <v>126</v>
      </c>
      <c r="E26" s="68" t="n">
        <f aca="false">IF(D26="IDOM",1,IF(D26="Compartido",1-Escenarios!$B$5-Escenarios!$B$6,0))</f>
        <v>0.9</v>
      </c>
      <c r="F26" s="68" t="n">
        <f aca="false">IF(D26="Plan Safe",1,IF(D26="Compartido",Escenarios!$B$5,0))</f>
        <v>0.1</v>
      </c>
      <c r="G26" s="68" t="n">
        <f aca="false">IF(D26="Synertec",1,IF(D26="Compartido",Escenarios!$B$6,0))</f>
        <v>0</v>
      </c>
      <c r="H26" s="68" t="n">
        <f aca="false">IF(D26="INVAP",1,0)</f>
        <v>0</v>
      </c>
      <c r="I26" s="69" t="n">
        <v>1</v>
      </c>
      <c r="J26" s="69" t="n">
        <v>1</v>
      </c>
      <c r="K26" s="70" t="n">
        <v>0</v>
      </c>
      <c r="L26" s="70" t="n">
        <v>0</v>
      </c>
    </row>
    <row r="27" customFormat="false" ht="15" hidden="false" customHeight="false" outlineLevel="0" collapsed="false">
      <c r="A27" s="3" t="s">
        <v>57</v>
      </c>
      <c r="B27" s="16" t="s">
        <v>58</v>
      </c>
      <c r="C27" s="66" t="s">
        <v>143</v>
      </c>
      <c r="D27" s="67" t="s">
        <v>126</v>
      </c>
      <c r="E27" s="68" t="n">
        <f aca="false">IF(D27="IDOM",1,IF(D27="Compartido",1-Escenarios!$B$5-Escenarios!$B$6,0))</f>
        <v>0.9</v>
      </c>
      <c r="F27" s="68" t="n">
        <f aca="false">IF(D27="Plan Safe",1,IF(D27="Compartido",Escenarios!$B$5,0))</f>
        <v>0.1</v>
      </c>
      <c r="G27" s="68" t="n">
        <f aca="false">IF(D27="Synertec",1,IF(D27="Compartido",Escenarios!$B$6,0))</f>
        <v>0</v>
      </c>
      <c r="H27" s="68" t="n">
        <f aca="false">IF(D27="INVAP",1,0)</f>
        <v>0</v>
      </c>
      <c r="I27" s="69" t="n">
        <v>1</v>
      </c>
      <c r="J27" s="69" t="n">
        <v>1</v>
      </c>
      <c r="K27" s="69" t="n">
        <v>1</v>
      </c>
      <c r="L27" s="69" t="n">
        <v>1</v>
      </c>
    </row>
    <row r="28" customFormat="false" ht="15" hidden="false" customHeight="false" outlineLevel="0" collapsed="false">
      <c r="A28" s="3" t="s">
        <v>144</v>
      </c>
      <c r="B28" s="16" t="s">
        <v>145</v>
      </c>
      <c r="C28" s="66" t="s">
        <v>146</v>
      </c>
      <c r="D28" s="67" t="s">
        <v>126</v>
      </c>
      <c r="E28" s="68" t="n">
        <f aca="false">IF(D28="IDOM",1,IF(D28="Compartido",1-Escenarios!$B$5-Escenarios!$B$6,0))</f>
        <v>0.9</v>
      </c>
      <c r="F28" s="68" t="n">
        <f aca="false">IF(D28="Plan Safe",1,IF(D28="Compartido",Escenarios!$B$5,0))</f>
        <v>0.1</v>
      </c>
      <c r="G28" s="68" t="n">
        <f aca="false">IF(D28="Synertec",1,IF(D28="Compartido",Escenarios!$B$6,0))</f>
        <v>0</v>
      </c>
      <c r="H28" s="68" t="n">
        <f aca="false">IF(D28="INVAP",1,0)</f>
        <v>0</v>
      </c>
      <c r="I28" s="69" t="n">
        <v>1</v>
      </c>
      <c r="J28" s="69" t="n">
        <v>1</v>
      </c>
      <c r="K28" s="69" t="n">
        <v>1</v>
      </c>
      <c r="L28" s="69" t="n">
        <v>1</v>
      </c>
    </row>
    <row r="29" customFormat="false" ht="15" hidden="false" customHeight="false" outlineLevel="0" collapsed="false">
      <c r="A29" s="3" t="s">
        <v>147</v>
      </c>
      <c r="B29" s="16" t="s">
        <v>148</v>
      </c>
      <c r="C29" s="66" t="s">
        <v>136</v>
      </c>
      <c r="D29" s="67" t="s">
        <v>16</v>
      </c>
      <c r="E29" s="68" t="n">
        <f aca="false">IF(D29="IDOM",1,IF(D29="Compartido",1-Escenarios!$B$5-Escenarios!$B$6,0))</f>
        <v>1</v>
      </c>
      <c r="F29" s="68" t="n">
        <f aca="false">IF(D29="Plan Safe",1,IF(D29="Compartido",Escenarios!$B$5,0))</f>
        <v>0</v>
      </c>
      <c r="G29" s="68" t="n">
        <f aca="false">IF(D29="Synertec",1,IF(D29="Compartido",Escenarios!$B$6,0))</f>
        <v>0</v>
      </c>
      <c r="H29" s="68" t="n">
        <f aca="false">IF(D29="INVAP",1,0)</f>
        <v>0</v>
      </c>
      <c r="I29" s="69" t="n">
        <v>1</v>
      </c>
      <c r="J29" s="69" t="n">
        <v>1</v>
      </c>
      <c r="K29" s="69" t="n">
        <v>1</v>
      </c>
      <c r="L29" s="69" t="n">
        <v>1</v>
      </c>
    </row>
    <row r="30" customFormat="false" ht="15" hidden="false" customHeight="false" outlineLevel="0" collapsed="false">
      <c r="A30" s="3" t="s">
        <v>149</v>
      </c>
      <c r="B30" s="16" t="s">
        <v>150</v>
      </c>
      <c r="C30" s="66" t="s">
        <v>151</v>
      </c>
      <c r="D30" s="67" t="s">
        <v>126</v>
      </c>
      <c r="E30" s="68" t="n">
        <f aca="false">IF(D30="IDOM",1,IF(D30="Compartido",1-Escenarios!$B$5-Escenarios!$B$6,0))</f>
        <v>0.9</v>
      </c>
      <c r="F30" s="68" t="n">
        <f aca="false">IF(D30="Plan Safe",1,IF(D30="Compartido",Escenarios!$B$5,0))</f>
        <v>0.1</v>
      </c>
      <c r="G30" s="68" t="n">
        <f aca="false">IF(D30="Synertec",1,IF(D30="Compartido",Escenarios!$B$6,0))</f>
        <v>0</v>
      </c>
      <c r="H30" s="68" t="n">
        <f aca="false">IF(D30="INVAP",1,0)</f>
        <v>0</v>
      </c>
      <c r="I30" s="69" t="n">
        <v>1</v>
      </c>
      <c r="J30" s="69" t="n">
        <v>1</v>
      </c>
      <c r="K30" s="69" t="n">
        <v>1</v>
      </c>
      <c r="L30" s="69" t="n">
        <v>1</v>
      </c>
    </row>
    <row r="31" customFormat="false" ht="15" hidden="false" customHeight="false" outlineLevel="0" collapsed="false">
      <c r="A31" s="3" t="s">
        <v>152</v>
      </c>
      <c r="B31" s="16" t="s">
        <v>153</v>
      </c>
      <c r="C31" s="66" t="s">
        <v>151</v>
      </c>
      <c r="D31" s="67" t="s">
        <v>126</v>
      </c>
      <c r="E31" s="68" t="n">
        <f aca="false">IF(D31="IDOM",1,IF(D31="Compartido",1-Escenarios!$B$5-Escenarios!$B$6,0))</f>
        <v>0.9</v>
      </c>
      <c r="F31" s="68" t="n">
        <f aca="false">IF(D31="Plan Safe",1,IF(D31="Compartido",Escenarios!$B$5,0))</f>
        <v>0.1</v>
      </c>
      <c r="G31" s="68" t="n">
        <f aca="false">IF(D31="Synertec",1,IF(D31="Compartido",Escenarios!$B$6,0))</f>
        <v>0</v>
      </c>
      <c r="H31" s="68" t="n">
        <f aca="false">IF(D31="INVAP",1,0)</f>
        <v>0</v>
      </c>
      <c r="I31" s="69" t="n">
        <v>1</v>
      </c>
      <c r="J31" s="69" t="n">
        <v>1</v>
      </c>
      <c r="K31" s="69" t="n">
        <v>1</v>
      </c>
      <c r="L31" s="69" t="n">
        <v>1</v>
      </c>
    </row>
    <row r="32" customFormat="false" ht="15" hidden="false" customHeight="false" outlineLevel="0" collapsed="false">
      <c r="A32" s="3" t="s">
        <v>23</v>
      </c>
      <c r="B32" s="16" t="s">
        <v>24</v>
      </c>
      <c r="C32" s="66" t="s">
        <v>154</v>
      </c>
      <c r="D32" s="67" t="s">
        <v>19</v>
      </c>
      <c r="E32" s="68" t="n">
        <f aca="false">IF(D32="IDOM",1,IF(D32="Compartido",1-Escenarios!$B$5-Escenarios!$B$6,0))</f>
        <v>0</v>
      </c>
      <c r="F32" s="68" t="n">
        <f aca="false">IF(D32="Plan Safe",1,IF(D32="Compartido",Escenarios!$B$5,0))</f>
        <v>0</v>
      </c>
      <c r="G32" s="68" t="n">
        <f aca="false">IF(D32="Synertec",1,IF(D32="Compartido",Escenarios!$B$6,0))</f>
        <v>0</v>
      </c>
      <c r="H32" s="68" t="n">
        <f aca="false">IF(D32="INVAP",1,0)</f>
        <v>1</v>
      </c>
      <c r="I32" s="69" t="n">
        <v>1</v>
      </c>
      <c r="J32" s="69" t="n">
        <v>1</v>
      </c>
      <c r="K32" s="69" t="n">
        <v>1</v>
      </c>
      <c r="L32" s="69" t="n">
        <v>1</v>
      </c>
    </row>
    <row r="33" customFormat="false" ht="15" hidden="false" customHeight="false" outlineLevel="0" collapsed="false">
      <c r="A33" s="3" t="s">
        <v>25</v>
      </c>
      <c r="B33" s="16" t="s">
        <v>26</v>
      </c>
      <c r="C33" s="66" t="s">
        <v>155</v>
      </c>
      <c r="D33" s="67" t="s">
        <v>17</v>
      </c>
      <c r="E33" s="68" t="n">
        <f aca="false">IF(D33="IDOM",1,IF(D33="Compartido",1-Escenarios!$B$5-Escenarios!$B$6,0))</f>
        <v>0</v>
      </c>
      <c r="F33" s="68" t="n">
        <f aca="false">IF(D33="Plan Safe",1,IF(D33="Compartido",Escenarios!$B$5,0))</f>
        <v>1</v>
      </c>
      <c r="G33" s="68" t="n">
        <f aca="false">IF(D33="Synertec",1,IF(D33="Compartido",Escenarios!$B$6,0))</f>
        <v>0</v>
      </c>
      <c r="H33" s="68" t="n">
        <f aca="false">IF(D33="INVAP",1,0)</f>
        <v>0</v>
      </c>
      <c r="I33" s="69" t="n">
        <v>1</v>
      </c>
      <c r="J33" s="70" t="n">
        <v>0</v>
      </c>
      <c r="K33" s="70" t="n">
        <v>0</v>
      </c>
      <c r="L33" s="71" t="n">
        <f aca="false">$B$7</f>
        <v>0.5</v>
      </c>
    </row>
    <row r="34" customFormat="false" ht="15" hidden="false" customHeight="false" outlineLevel="0" collapsed="false">
      <c r="A34" s="3" t="s">
        <v>27</v>
      </c>
      <c r="B34" s="16" t="s">
        <v>28</v>
      </c>
      <c r="C34" s="66" t="s">
        <v>155</v>
      </c>
      <c r="D34" s="67" t="s">
        <v>17</v>
      </c>
      <c r="E34" s="68" t="n">
        <f aca="false">IF(D34="IDOM",1,IF(D34="Compartido",1-Escenarios!$B$5-Escenarios!$B$6,0))</f>
        <v>0</v>
      </c>
      <c r="F34" s="68" t="n">
        <f aca="false">IF(D34="Plan Safe",1,IF(D34="Compartido",Escenarios!$B$5,0))</f>
        <v>1</v>
      </c>
      <c r="G34" s="68" t="n">
        <f aca="false">IF(D34="Synertec",1,IF(D34="Compartido",Escenarios!$B$6,0))</f>
        <v>0</v>
      </c>
      <c r="H34" s="68" t="n">
        <f aca="false">IF(D34="INVAP",1,0)</f>
        <v>0</v>
      </c>
      <c r="I34" s="69" t="n">
        <v>1</v>
      </c>
      <c r="J34" s="70" t="n">
        <v>0</v>
      </c>
      <c r="K34" s="70" t="n">
        <v>0</v>
      </c>
      <c r="L34" s="71" t="n">
        <f aca="false">$B$7</f>
        <v>0.5</v>
      </c>
    </row>
    <row r="35" customFormat="false" ht="15" hidden="false" customHeight="false" outlineLevel="0" collapsed="false">
      <c r="A35" s="3" t="s">
        <v>156</v>
      </c>
      <c r="B35" s="16" t="s">
        <v>157</v>
      </c>
      <c r="C35" s="66" t="s">
        <v>155</v>
      </c>
      <c r="D35" s="67" t="s">
        <v>17</v>
      </c>
      <c r="E35" s="68" t="n">
        <f aca="false">IF(D35="IDOM",1,IF(D35="Compartido",1-Escenarios!$B$5-Escenarios!$B$6,0))</f>
        <v>0</v>
      </c>
      <c r="F35" s="68" t="n">
        <f aca="false">IF(D35="Plan Safe",1,IF(D35="Compartido",Escenarios!$B$5,0))</f>
        <v>1</v>
      </c>
      <c r="G35" s="68" t="n">
        <f aca="false">IF(D35="Synertec",1,IF(D35="Compartido",Escenarios!$B$6,0))</f>
        <v>0</v>
      </c>
      <c r="H35" s="68" t="n">
        <f aca="false">IF(D35="INVAP",1,0)</f>
        <v>0</v>
      </c>
      <c r="I35" s="69" t="n">
        <v>1</v>
      </c>
      <c r="J35" s="70" t="n">
        <v>0</v>
      </c>
      <c r="K35" s="70" t="n">
        <v>0</v>
      </c>
      <c r="L35" s="71" t="n">
        <f aca="false">$B$7</f>
        <v>0.5</v>
      </c>
    </row>
    <row r="36" customFormat="false" ht="15" hidden="false" customHeight="false" outlineLevel="0" collapsed="false">
      <c r="A36" s="3" t="s">
        <v>59</v>
      </c>
      <c r="B36" s="16" t="s">
        <v>60</v>
      </c>
      <c r="C36" s="66" t="s">
        <v>155</v>
      </c>
      <c r="D36" s="67" t="s">
        <v>17</v>
      </c>
      <c r="E36" s="68" t="n">
        <f aca="false">IF(D36="IDOM",1,IF(D36="Compartido",1-Escenarios!$B$5-Escenarios!$B$6,0))</f>
        <v>0</v>
      </c>
      <c r="F36" s="68" t="n">
        <f aca="false">IF(D36="Plan Safe",1,IF(D36="Compartido",Escenarios!$B$5,0))</f>
        <v>1</v>
      </c>
      <c r="G36" s="68" t="n">
        <f aca="false">IF(D36="Synertec",1,IF(D36="Compartido",Escenarios!$B$6,0))</f>
        <v>0</v>
      </c>
      <c r="H36" s="68" t="n">
        <f aca="false">IF(D36="INVAP",1,0)</f>
        <v>0</v>
      </c>
      <c r="I36" s="69" t="n">
        <v>1</v>
      </c>
      <c r="J36" s="70" t="n">
        <v>0</v>
      </c>
      <c r="K36" s="70" t="n">
        <v>0</v>
      </c>
      <c r="L36" s="71" t="n">
        <f aca="false">$B$7</f>
        <v>0.5</v>
      </c>
    </row>
    <row r="38" customFormat="false" ht="15" hidden="false" customHeight="false" outlineLevel="0" collapsed="false">
      <c r="A38" s="2" t="s">
        <v>158</v>
      </c>
    </row>
    <row r="39" customFormat="false" ht="15" hidden="false" customHeight="false" outlineLevel="0" collapsed="false">
      <c r="A39" s="2" t="s">
        <v>159</v>
      </c>
    </row>
    <row r="40" customFormat="false" ht="15" hidden="false" customHeight="false" outlineLevel="0" collapsed="false">
      <c r="A40" s="2" t="s">
        <v>160</v>
      </c>
    </row>
    <row r="41" customFormat="false" ht="15" hidden="false" customHeight="false" outlineLevel="0" collapsed="false">
      <c r="A41" s="2" t="s">
        <v>161</v>
      </c>
    </row>
  </sheetData>
  <mergeCells count="4">
    <mergeCell ref="C5:L5"/>
    <mergeCell ref="C6:L6"/>
    <mergeCell ref="C7:L7"/>
    <mergeCell ref="C8:L8"/>
  </mergeCells>
  <dataValidations count="1">
    <dataValidation allowBlank="false" errorStyle="stop" operator="between" showDropDown="false" showErrorMessage="false" showInputMessage="false" sqref="D12:D36" type="list">
      <formula1>"IDOM,Compartido,Plan Safe,Synertec,INVAP"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J2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4" min="4" style="0" width="3"/>
    <col collapsed="false" customWidth="true" hidden="false" outlineLevel="0" max="5" min="5" style="0" width="9"/>
    <col collapsed="false" customWidth="true" hidden="false" outlineLevel="0" max="7" min="6" style="0" width="8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162</v>
      </c>
    </row>
    <row r="2" customFormat="false" ht="15" hidden="false" customHeight="false" outlineLevel="0" collapsed="false">
      <c r="A2" s="2" t="s">
        <v>163</v>
      </c>
    </row>
    <row r="4" customFormat="false" ht="15" hidden="false" customHeight="false" outlineLevel="0" collapsed="false">
      <c r="A4" s="27" t="s">
        <v>164</v>
      </c>
      <c r="B4" s="27" t="s">
        <v>165</v>
      </c>
      <c r="C4" s="27" t="s">
        <v>166</v>
      </c>
      <c r="E4" s="27" t="s">
        <v>6</v>
      </c>
      <c r="F4" s="27" t="s">
        <v>167</v>
      </c>
      <c r="G4" s="27" t="s">
        <v>164</v>
      </c>
      <c r="H4" s="27" t="s">
        <v>15</v>
      </c>
      <c r="I4" s="27" t="s">
        <v>166</v>
      </c>
      <c r="J4" s="27" t="s">
        <v>168</v>
      </c>
    </row>
    <row r="5" customFormat="false" ht="15" hidden="false" customHeight="false" outlineLevel="0" collapsed="false">
      <c r="A5" s="16" t="s">
        <v>169</v>
      </c>
      <c r="B5" s="16" t="s">
        <v>170</v>
      </c>
      <c r="C5" s="72" t="n">
        <v>256.515</v>
      </c>
      <c r="E5" s="16" t="s">
        <v>36</v>
      </c>
      <c r="F5" s="16" t="s">
        <v>25</v>
      </c>
      <c r="G5" s="16" t="s">
        <v>169</v>
      </c>
      <c r="H5" s="73" t="n">
        <v>20</v>
      </c>
      <c r="I5" s="74" t="n">
        <f aca="false">INDEX($C$5:$C$26,MATCH(G5,$A$5:$A$26,0))</f>
        <v>256.515</v>
      </c>
      <c r="J5" s="18" t="n">
        <f aca="false">H5*I5</f>
        <v>5130.3</v>
      </c>
    </row>
    <row r="6" customFormat="false" ht="15" hidden="false" customHeight="false" outlineLevel="0" collapsed="false">
      <c r="A6" s="16" t="s">
        <v>171</v>
      </c>
      <c r="B6" s="16" t="s">
        <v>172</v>
      </c>
      <c r="C6" s="72" t="n">
        <v>236.67</v>
      </c>
      <c r="E6" s="16" t="s">
        <v>36</v>
      </c>
      <c r="F6" s="16" t="s">
        <v>25</v>
      </c>
      <c r="G6" s="16" t="s">
        <v>171</v>
      </c>
      <c r="H6" s="73" t="n">
        <v>40</v>
      </c>
      <c r="I6" s="74" t="n">
        <f aca="false">INDEX($C$5:$C$26,MATCH(G6,$A$5:$A$26,0))</f>
        <v>236.67</v>
      </c>
      <c r="J6" s="18" t="n">
        <f aca="false">H6*I6</f>
        <v>9466.8</v>
      </c>
    </row>
    <row r="7" customFormat="false" ht="15" hidden="false" customHeight="false" outlineLevel="0" collapsed="false">
      <c r="A7" s="16" t="s">
        <v>173</v>
      </c>
      <c r="B7" s="16" t="s">
        <v>174</v>
      </c>
      <c r="C7" s="72" t="n">
        <v>224.175</v>
      </c>
      <c r="E7" s="16" t="s">
        <v>36</v>
      </c>
      <c r="F7" s="16" t="s">
        <v>25</v>
      </c>
      <c r="G7" s="16" t="s">
        <v>173</v>
      </c>
      <c r="H7" s="73" t="n">
        <v>40</v>
      </c>
      <c r="I7" s="74" t="n">
        <f aca="false">INDEX($C$5:$C$26,MATCH(G7,$A$5:$A$26,0))</f>
        <v>224.175</v>
      </c>
      <c r="J7" s="18" t="n">
        <f aca="false">H7*I7</f>
        <v>8967</v>
      </c>
    </row>
    <row r="8" customFormat="false" ht="15" hidden="false" customHeight="false" outlineLevel="0" collapsed="false">
      <c r="A8" s="16" t="s">
        <v>175</v>
      </c>
      <c r="B8" s="16" t="s">
        <v>176</v>
      </c>
      <c r="C8" s="72" t="n">
        <v>206.535</v>
      </c>
      <c r="E8" s="16" t="s">
        <v>36</v>
      </c>
      <c r="F8" s="16" t="s">
        <v>25</v>
      </c>
      <c r="G8" s="16" t="s">
        <v>177</v>
      </c>
      <c r="H8" s="73" t="n">
        <v>55</v>
      </c>
      <c r="I8" s="74" t="n">
        <f aca="false">INDEX($C$5:$C$26,MATCH(G8,$A$5:$A$26,0))</f>
        <v>145.53</v>
      </c>
      <c r="J8" s="18" t="n">
        <f aca="false">H8*I8</f>
        <v>8004.15</v>
      </c>
    </row>
    <row r="9" customFormat="false" ht="15" hidden="false" customHeight="false" outlineLevel="0" collapsed="false">
      <c r="A9" s="16" t="s">
        <v>178</v>
      </c>
      <c r="B9" s="16" t="s">
        <v>179</v>
      </c>
      <c r="C9" s="72" t="n">
        <v>182.28</v>
      </c>
      <c r="E9" s="16" t="s">
        <v>36</v>
      </c>
      <c r="F9" s="16" t="s">
        <v>25</v>
      </c>
      <c r="G9" s="16" t="s">
        <v>180</v>
      </c>
      <c r="H9" s="73" t="n">
        <v>30</v>
      </c>
      <c r="I9" s="74" t="n">
        <f aca="false">INDEX($C$5:$C$26,MATCH(G9,$A$5:$A$26,0))</f>
        <v>121.275</v>
      </c>
      <c r="J9" s="18" t="n">
        <f aca="false">H9*I9</f>
        <v>3638.25</v>
      </c>
    </row>
    <row r="10" customFormat="false" ht="15" hidden="false" customHeight="false" outlineLevel="0" collapsed="false">
      <c r="A10" s="16" t="s">
        <v>177</v>
      </c>
      <c r="B10" s="16" t="s">
        <v>181</v>
      </c>
      <c r="C10" s="72" t="n">
        <v>145.53</v>
      </c>
      <c r="E10" s="16" t="s">
        <v>36</v>
      </c>
      <c r="F10" s="16" t="s">
        <v>27</v>
      </c>
      <c r="G10" s="16" t="s">
        <v>169</v>
      </c>
      <c r="H10" s="73" t="n">
        <v>30</v>
      </c>
      <c r="I10" s="74" t="n">
        <f aca="false">INDEX($C$5:$C$26,MATCH(G10,$A$5:$A$26,0))</f>
        <v>256.515</v>
      </c>
      <c r="J10" s="18" t="n">
        <f aca="false">H10*I10</f>
        <v>7695.45</v>
      </c>
    </row>
    <row r="11" customFormat="false" ht="15" hidden="false" customHeight="false" outlineLevel="0" collapsed="false">
      <c r="A11" s="16" t="s">
        <v>180</v>
      </c>
      <c r="B11" s="16" t="s">
        <v>182</v>
      </c>
      <c r="C11" s="72" t="n">
        <v>121.275</v>
      </c>
      <c r="E11" s="16" t="s">
        <v>36</v>
      </c>
      <c r="F11" s="16" t="s">
        <v>27</v>
      </c>
      <c r="G11" s="16" t="s">
        <v>171</v>
      </c>
      <c r="H11" s="73" t="n">
        <v>55</v>
      </c>
      <c r="I11" s="74" t="n">
        <f aca="false">INDEX($C$5:$C$26,MATCH(G11,$A$5:$A$26,0))</f>
        <v>236.67</v>
      </c>
      <c r="J11" s="18" t="n">
        <f aca="false">H11*I11</f>
        <v>13016.85</v>
      </c>
    </row>
    <row r="12" customFormat="false" ht="15" hidden="false" customHeight="false" outlineLevel="0" collapsed="false">
      <c r="A12" s="16" t="s">
        <v>183</v>
      </c>
      <c r="B12" s="16" t="s">
        <v>184</v>
      </c>
      <c r="C12" s="72" t="n">
        <v>360.15</v>
      </c>
      <c r="E12" s="16" t="s">
        <v>36</v>
      </c>
      <c r="F12" s="16" t="s">
        <v>27</v>
      </c>
      <c r="G12" s="16" t="s">
        <v>173</v>
      </c>
      <c r="H12" s="73" t="n">
        <v>75</v>
      </c>
      <c r="I12" s="74" t="n">
        <f aca="false">INDEX($C$5:$C$26,MATCH(G12,$A$5:$A$26,0))</f>
        <v>224.175</v>
      </c>
      <c r="J12" s="18" t="n">
        <f aca="false">H12*I12</f>
        <v>16813.125</v>
      </c>
    </row>
    <row r="13" customFormat="false" ht="15" hidden="false" customHeight="false" outlineLevel="0" collapsed="false">
      <c r="A13" s="16" t="s">
        <v>185</v>
      </c>
      <c r="B13" s="16" t="s">
        <v>186</v>
      </c>
      <c r="C13" s="72" t="n">
        <v>349.125</v>
      </c>
      <c r="E13" s="16" t="s">
        <v>36</v>
      </c>
      <c r="F13" s="16" t="s">
        <v>27</v>
      </c>
      <c r="G13" s="16" t="s">
        <v>177</v>
      </c>
      <c r="H13" s="73" t="n">
        <v>105</v>
      </c>
      <c r="I13" s="74" t="n">
        <f aca="false">INDEX($C$5:$C$26,MATCH(G13,$A$5:$A$26,0))</f>
        <v>145.53</v>
      </c>
      <c r="J13" s="18" t="n">
        <f aca="false">H13*I13</f>
        <v>15280.65</v>
      </c>
    </row>
    <row r="14" customFormat="false" ht="15" hidden="false" customHeight="false" outlineLevel="0" collapsed="false">
      <c r="A14" s="16" t="s">
        <v>187</v>
      </c>
      <c r="B14" s="16" t="s">
        <v>188</v>
      </c>
      <c r="C14" s="72" t="n">
        <v>323.4</v>
      </c>
      <c r="E14" s="16" t="s">
        <v>36</v>
      </c>
      <c r="F14" s="16" t="s">
        <v>27</v>
      </c>
      <c r="G14" s="16" t="s">
        <v>180</v>
      </c>
      <c r="H14" s="73" t="n">
        <v>50</v>
      </c>
      <c r="I14" s="74" t="n">
        <f aca="false">INDEX($C$5:$C$26,MATCH(G14,$A$5:$A$26,0))</f>
        <v>121.275</v>
      </c>
      <c r="J14" s="18" t="n">
        <f aca="false">H14*I14</f>
        <v>6063.75</v>
      </c>
    </row>
    <row r="15" customFormat="false" ht="15" hidden="false" customHeight="false" outlineLevel="0" collapsed="false">
      <c r="A15" s="16" t="s">
        <v>189</v>
      </c>
      <c r="B15" s="16" t="s">
        <v>190</v>
      </c>
      <c r="C15" s="72" t="n">
        <v>360.15</v>
      </c>
      <c r="E15" s="16" t="s">
        <v>36</v>
      </c>
      <c r="F15" s="16" t="s">
        <v>191</v>
      </c>
      <c r="G15" s="16" t="s">
        <v>169</v>
      </c>
      <c r="H15" s="73" t="n">
        <v>35</v>
      </c>
      <c r="I15" s="74" t="n">
        <f aca="false">INDEX($C$5:$C$26,MATCH(G15,$A$5:$A$26,0))</f>
        <v>256.515</v>
      </c>
      <c r="J15" s="18" t="n">
        <f aca="false">H15*I15</f>
        <v>8978.025</v>
      </c>
    </row>
    <row r="16" customFormat="false" ht="15" hidden="false" customHeight="false" outlineLevel="0" collapsed="false">
      <c r="A16" s="16" t="s">
        <v>192</v>
      </c>
      <c r="B16" s="16" t="s">
        <v>193</v>
      </c>
      <c r="C16" s="72" t="n">
        <v>293.265</v>
      </c>
      <c r="E16" s="16" t="s">
        <v>36</v>
      </c>
      <c r="F16" s="16" t="s">
        <v>191</v>
      </c>
      <c r="G16" s="16" t="s">
        <v>171</v>
      </c>
      <c r="H16" s="73" t="n">
        <v>80</v>
      </c>
      <c r="I16" s="74" t="n">
        <f aca="false">INDEX($C$5:$C$26,MATCH(G16,$A$5:$A$26,0))</f>
        <v>236.67</v>
      </c>
      <c r="J16" s="18" t="n">
        <f aca="false">H16*I16</f>
        <v>18933.6</v>
      </c>
    </row>
    <row r="17" customFormat="false" ht="15" hidden="false" customHeight="false" outlineLevel="0" collapsed="false">
      <c r="A17" s="16" t="s">
        <v>194</v>
      </c>
      <c r="B17" s="16" t="s">
        <v>195</v>
      </c>
      <c r="C17" s="72" t="n">
        <v>260.19</v>
      </c>
      <c r="E17" s="16" t="s">
        <v>36</v>
      </c>
      <c r="F17" s="16" t="s">
        <v>191</v>
      </c>
      <c r="G17" s="16" t="s">
        <v>173</v>
      </c>
      <c r="H17" s="73" t="n">
        <v>95</v>
      </c>
      <c r="I17" s="74" t="n">
        <f aca="false">INDEX($C$5:$C$26,MATCH(G17,$A$5:$A$26,0))</f>
        <v>224.175</v>
      </c>
      <c r="J17" s="18" t="n">
        <f aca="false">H17*I17</f>
        <v>21296.625</v>
      </c>
    </row>
    <row r="18" customFormat="false" ht="15" hidden="false" customHeight="false" outlineLevel="0" collapsed="false">
      <c r="A18" s="16" t="s">
        <v>196</v>
      </c>
      <c r="B18" s="16" t="s">
        <v>197</v>
      </c>
      <c r="C18" s="72" t="n">
        <v>169.785</v>
      </c>
      <c r="E18" s="16" t="s">
        <v>36</v>
      </c>
      <c r="F18" s="16" t="s">
        <v>191</v>
      </c>
      <c r="G18" s="16" t="s">
        <v>178</v>
      </c>
      <c r="H18" s="73" t="n">
        <v>115</v>
      </c>
      <c r="I18" s="74" t="n">
        <f aca="false">INDEX($C$5:$C$26,MATCH(G18,$A$5:$A$26,0))</f>
        <v>182.28</v>
      </c>
      <c r="J18" s="18" t="n">
        <f aca="false">H18*I18</f>
        <v>20962.2</v>
      </c>
    </row>
    <row r="19" customFormat="false" ht="15" hidden="false" customHeight="false" outlineLevel="0" collapsed="false">
      <c r="A19" s="16" t="s">
        <v>198</v>
      </c>
      <c r="B19" s="16" t="s">
        <v>199</v>
      </c>
      <c r="C19" s="72" t="n">
        <v>151.41</v>
      </c>
      <c r="E19" s="16" t="s">
        <v>36</v>
      </c>
      <c r="F19" s="16" t="s">
        <v>191</v>
      </c>
      <c r="G19" s="16" t="s">
        <v>177</v>
      </c>
      <c r="H19" s="73" t="n">
        <v>105</v>
      </c>
      <c r="I19" s="74" t="n">
        <f aca="false">INDEX($C$5:$C$26,MATCH(G19,$A$5:$A$26,0))</f>
        <v>145.53</v>
      </c>
      <c r="J19" s="18" t="n">
        <f aca="false">H19*I19</f>
        <v>15280.65</v>
      </c>
    </row>
    <row r="20" customFormat="false" ht="15" hidden="false" customHeight="false" outlineLevel="0" collapsed="false">
      <c r="A20" s="16" t="s">
        <v>200</v>
      </c>
      <c r="B20" s="16" t="s">
        <v>201</v>
      </c>
      <c r="C20" s="72" t="n">
        <v>121.275</v>
      </c>
      <c r="E20" s="16" t="s">
        <v>21</v>
      </c>
      <c r="F20" s="16" t="s">
        <v>21</v>
      </c>
      <c r="G20" s="16" t="s">
        <v>169</v>
      </c>
      <c r="H20" s="73" t="n">
        <v>210</v>
      </c>
      <c r="I20" s="74" t="n">
        <f aca="false">INDEX($C$5:$C$26,MATCH(G20,$A$5:$A$26,0))</f>
        <v>256.515</v>
      </c>
      <c r="J20" s="18" t="n">
        <f aca="false">H20*I20</f>
        <v>53868.15</v>
      </c>
    </row>
    <row r="21" customFormat="false" ht="15" hidden="false" customHeight="false" outlineLevel="0" collapsed="false">
      <c r="A21" s="16" t="s">
        <v>202</v>
      </c>
      <c r="B21" s="16" t="s">
        <v>203</v>
      </c>
      <c r="C21" s="72" t="n">
        <v>221.235</v>
      </c>
      <c r="E21" s="16" t="s">
        <v>21</v>
      </c>
      <c r="F21" s="16" t="s">
        <v>21</v>
      </c>
      <c r="G21" s="16" t="s">
        <v>171</v>
      </c>
      <c r="H21" s="73" t="n">
        <v>180</v>
      </c>
      <c r="I21" s="74" t="n">
        <f aca="false">INDEX($C$5:$C$26,MATCH(G21,$A$5:$A$26,0))</f>
        <v>236.67</v>
      </c>
      <c r="J21" s="18" t="n">
        <f aca="false">H21*I21</f>
        <v>42600.6</v>
      </c>
    </row>
    <row r="22" customFormat="false" ht="15" hidden="false" customHeight="false" outlineLevel="0" collapsed="false">
      <c r="A22" s="16" t="s">
        <v>204</v>
      </c>
      <c r="B22" s="16" t="s">
        <v>205</v>
      </c>
      <c r="C22" s="72" t="n">
        <v>199.92</v>
      </c>
      <c r="E22" s="16" t="s">
        <v>21</v>
      </c>
      <c r="F22" s="16" t="s">
        <v>21</v>
      </c>
      <c r="G22" s="16" t="s">
        <v>173</v>
      </c>
      <c r="H22" s="73" t="n">
        <v>180</v>
      </c>
      <c r="I22" s="74" t="n">
        <f aca="false">INDEX($C$5:$C$26,MATCH(G22,$A$5:$A$26,0))</f>
        <v>224.175</v>
      </c>
      <c r="J22" s="18" t="n">
        <f aca="false">H22*I22</f>
        <v>40351.5</v>
      </c>
    </row>
    <row r="23" customFormat="false" ht="15" hidden="false" customHeight="false" outlineLevel="0" collapsed="false">
      <c r="A23" s="16" t="s">
        <v>206</v>
      </c>
      <c r="B23" s="16" t="s">
        <v>207</v>
      </c>
      <c r="C23" s="72" t="n">
        <v>102.9</v>
      </c>
      <c r="E23" s="16" t="s">
        <v>21</v>
      </c>
      <c r="F23" s="16" t="s">
        <v>21</v>
      </c>
      <c r="G23" s="16" t="s">
        <v>175</v>
      </c>
      <c r="H23" s="73" t="n">
        <v>55</v>
      </c>
      <c r="I23" s="74" t="n">
        <f aca="false">INDEX($C$5:$C$26,MATCH(G23,$A$5:$A$26,0))</f>
        <v>206.535</v>
      </c>
      <c r="J23" s="18" t="n">
        <f aca="false">H23*I23</f>
        <v>11359.425</v>
      </c>
    </row>
    <row r="24" customFormat="false" ht="15" hidden="false" customHeight="false" outlineLevel="0" collapsed="false">
      <c r="A24" s="16" t="s">
        <v>208</v>
      </c>
      <c r="B24" s="16" t="s">
        <v>209</v>
      </c>
      <c r="C24" s="72" t="n">
        <v>105.84</v>
      </c>
      <c r="E24" s="16" t="s">
        <v>21</v>
      </c>
      <c r="F24" s="16" t="s">
        <v>25</v>
      </c>
      <c r="G24" s="16" t="s">
        <v>169</v>
      </c>
      <c r="H24" s="73" t="n">
        <v>395</v>
      </c>
      <c r="I24" s="74" t="n">
        <f aca="false">INDEX($C$5:$C$26,MATCH(G24,$A$5:$A$26,0))</f>
        <v>256.515</v>
      </c>
      <c r="J24" s="18" t="n">
        <f aca="false">H24*I24</f>
        <v>101323.425</v>
      </c>
    </row>
    <row r="25" customFormat="false" ht="15" hidden="false" customHeight="false" outlineLevel="0" collapsed="false">
      <c r="A25" s="16" t="s">
        <v>210</v>
      </c>
      <c r="B25" s="16" t="s">
        <v>211</v>
      </c>
      <c r="C25" s="72" t="n">
        <v>85.26</v>
      </c>
      <c r="E25" s="16" t="s">
        <v>21</v>
      </c>
      <c r="F25" s="16" t="s">
        <v>25</v>
      </c>
      <c r="G25" s="16" t="s">
        <v>171</v>
      </c>
      <c r="H25" s="73" t="n">
        <v>380</v>
      </c>
      <c r="I25" s="74" t="n">
        <f aca="false">INDEX($C$5:$C$26,MATCH(G25,$A$5:$A$26,0))</f>
        <v>236.67</v>
      </c>
      <c r="J25" s="18" t="n">
        <f aca="false">H25*I25</f>
        <v>89934.6</v>
      </c>
    </row>
    <row r="26" customFormat="false" ht="15" hidden="false" customHeight="false" outlineLevel="0" collapsed="false">
      <c r="A26" s="16" t="s">
        <v>212</v>
      </c>
      <c r="B26" s="16" t="s">
        <v>213</v>
      </c>
      <c r="C26" s="72" t="n">
        <v>66.885</v>
      </c>
      <c r="E26" s="16" t="s">
        <v>21</v>
      </c>
      <c r="F26" s="16" t="s">
        <v>25</v>
      </c>
      <c r="G26" s="16" t="s">
        <v>173</v>
      </c>
      <c r="H26" s="73" t="n">
        <v>295</v>
      </c>
      <c r="I26" s="74" t="n">
        <f aca="false">INDEX($C$5:$C$26,MATCH(G26,$A$5:$A$26,0))</f>
        <v>224.175</v>
      </c>
      <c r="J26" s="18" t="n">
        <f aca="false">H26*I26</f>
        <v>66131.625</v>
      </c>
    </row>
    <row r="27" customFormat="false" ht="15" hidden="false" customHeight="false" outlineLevel="0" collapsed="false">
      <c r="E27" s="16" t="s">
        <v>21</v>
      </c>
      <c r="F27" s="16" t="s">
        <v>25</v>
      </c>
      <c r="G27" s="16" t="s">
        <v>175</v>
      </c>
      <c r="H27" s="73" t="n">
        <v>130</v>
      </c>
      <c r="I27" s="74" t="n">
        <f aca="false">INDEX($C$5:$C$26,MATCH(G27,$A$5:$A$26,0))</f>
        <v>206.535</v>
      </c>
      <c r="J27" s="18" t="n">
        <f aca="false">H27*I27</f>
        <v>26849.55</v>
      </c>
    </row>
    <row r="28" customFormat="false" ht="15" hidden="false" customHeight="false" outlineLevel="0" collapsed="false">
      <c r="E28" s="16" t="s">
        <v>49</v>
      </c>
      <c r="F28" s="16" t="s">
        <v>27</v>
      </c>
      <c r="G28" s="16" t="s">
        <v>169</v>
      </c>
      <c r="H28" s="73" t="n">
        <v>275</v>
      </c>
      <c r="I28" s="74" t="n">
        <f aca="false">INDEX($C$5:$C$26,MATCH(G28,$A$5:$A$26,0))</f>
        <v>256.515</v>
      </c>
      <c r="J28" s="18" t="n">
        <f aca="false">H28*I28</f>
        <v>70541.625</v>
      </c>
    </row>
    <row r="29" customFormat="false" ht="15" hidden="false" customHeight="false" outlineLevel="0" collapsed="false">
      <c r="E29" s="16" t="s">
        <v>49</v>
      </c>
      <c r="F29" s="16" t="s">
        <v>27</v>
      </c>
      <c r="G29" s="16" t="s">
        <v>171</v>
      </c>
      <c r="H29" s="73" t="n">
        <v>505</v>
      </c>
      <c r="I29" s="74" t="n">
        <f aca="false">INDEX($C$5:$C$26,MATCH(G29,$A$5:$A$26,0))</f>
        <v>236.67</v>
      </c>
      <c r="J29" s="18" t="n">
        <f aca="false">H29*I29</f>
        <v>119518.35</v>
      </c>
    </row>
    <row r="30" customFormat="false" ht="15" hidden="false" customHeight="false" outlineLevel="0" collapsed="false">
      <c r="E30" s="16" t="s">
        <v>49</v>
      </c>
      <c r="F30" s="16" t="s">
        <v>27</v>
      </c>
      <c r="G30" s="16" t="s">
        <v>173</v>
      </c>
      <c r="H30" s="73" t="n">
        <v>475</v>
      </c>
      <c r="I30" s="74" t="n">
        <f aca="false">INDEX($C$5:$C$26,MATCH(G30,$A$5:$A$26,0))</f>
        <v>224.175</v>
      </c>
      <c r="J30" s="18" t="n">
        <f aca="false">H30*I30</f>
        <v>106483.125</v>
      </c>
    </row>
    <row r="31" customFormat="false" ht="15" hidden="false" customHeight="false" outlineLevel="0" collapsed="false">
      <c r="E31" s="16" t="s">
        <v>49</v>
      </c>
      <c r="F31" s="16" t="s">
        <v>27</v>
      </c>
      <c r="G31" s="16" t="s">
        <v>175</v>
      </c>
      <c r="H31" s="73" t="n">
        <v>130</v>
      </c>
      <c r="I31" s="74" t="n">
        <f aca="false">INDEX($C$5:$C$26,MATCH(G31,$A$5:$A$26,0))</f>
        <v>206.535</v>
      </c>
      <c r="J31" s="18" t="n">
        <f aca="false">H31*I31</f>
        <v>26849.55</v>
      </c>
    </row>
    <row r="32" customFormat="false" ht="15" hidden="false" customHeight="false" outlineLevel="0" collapsed="false">
      <c r="E32" s="16" t="s">
        <v>49</v>
      </c>
      <c r="F32" s="16" t="s">
        <v>191</v>
      </c>
      <c r="G32" s="16" t="s">
        <v>169</v>
      </c>
      <c r="H32" s="73" t="n">
        <v>210</v>
      </c>
      <c r="I32" s="74" t="n">
        <f aca="false">INDEX($C$5:$C$26,MATCH(G32,$A$5:$A$26,0))</f>
        <v>256.515</v>
      </c>
      <c r="J32" s="18" t="n">
        <f aca="false">H32*I32</f>
        <v>53868.15</v>
      </c>
    </row>
    <row r="33" customFormat="false" ht="15" hidden="false" customHeight="false" outlineLevel="0" collapsed="false">
      <c r="E33" s="16" t="s">
        <v>49</v>
      </c>
      <c r="F33" s="16" t="s">
        <v>191</v>
      </c>
      <c r="G33" s="16" t="s">
        <v>171</v>
      </c>
      <c r="H33" s="73" t="n">
        <v>370</v>
      </c>
      <c r="I33" s="74" t="n">
        <f aca="false">INDEX($C$5:$C$26,MATCH(G33,$A$5:$A$26,0))</f>
        <v>236.67</v>
      </c>
      <c r="J33" s="18" t="n">
        <f aca="false">H33*I33</f>
        <v>87567.9</v>
      </c>
    </row>
    <row r="34" customFormat="false" ht="15" hidden="false" customHeight="false" outlineLevel="0" collapsed="false">
      <c r="E34" s="16" t="s">
        <v>49</v>
      </c>
      <c r="F34" s="16" t="s">
        <v>191</v>
      </c>
      <c r="G34" s="16" t="s">
        <v>173</v>
      </c>
      <c r="H34" s="73" t="n">
        <v>360</v>
      </c>
      <c r="I34" s="74" t="n">
        <f aca="false">INDEX($C$5:$C$26,MATCH(G34,$A$5:$A$26,0))</f>
        <v>224.175</v>
      </c>
      <c r="J34" s="18" t="n">
        <f aca="false">H34*I34</f>
        <v>80703</v>
      </c>
    </row>
    <row r="35" customFormat="false" ht="15" hidden="false" customHeight="false" outlineLevel="0" collapsed="false">
      <c r="E35" s="16" t="s">
        <v>49</v>
      </c>
      <c r="F35" s="16" t="s">
        <v>191</v>
      </c>
      <c r="G35" s="16" t="s">
        <v>175</v>
      </c>
      <c r="H35" s="73" t="n">
        <v>75</v>
      </c>
      <c r="I35" s="74" t="n">
        <f aca="false">INDEX($C$5:$C$26,MATCH(G35,$A$5:$A$26,0))</f>
        <v>206.535</v>
      </c>
      <c r="J35" s="18" t="n">
        <f aca="false">H35*I35</f>
        <v>15490.125</v>
      </c>
    </row>
    <row r="36" customFormat="false" ht="15" hidden="false" customHeight="false" outlineLevel="0" collapsed="false">
      <c r="E36" s="16" t="s">
        <v>49</v>
      </c>
      <c r="F36" s="16" t="s">
        <v>214</v>
      </c>
      <c r="G36" s="16" t="s">
        <v>169</v>
      </c>
      <c r="H36" s="73" t="n">
        <v>130</v>
      </c>
      <c r="I36" s="74" t="n">
        <f aca="false">INDEX($C$5:$C$26,MATCH(G36,$A$5:$A$26,0))</f>
        <v>256.515</v>
      </c>
      <c r="J36" s="18" t="n">
        <f aca="false">H36*I36</f>
        <v>33346.95</v>
      </c>
    </row>
    <row r="37" customFormat="false" ht="15" hidden="false" customHeight="false" outlineLevel="0" collapsed="false">
      <c r="E37" s="16" t="s">
        <v>49</v>
      </c>
      <c r="F37" s="16" t="s">
        <v>214</v>
      </c>
      <c r="G37" s="16" t="s">
        <v>171</v>
      </c>
      <c r="H37" s="73" t="n">
        <v>120</v>
      </c>
      <c r="I37" s="74" t="n">
        <f aca="false">INDEX($C$5:$C$26,MATCH(G37,$A$5:$A$26,0))</f>
        <v>236.67</v>
      </c>
      <c r="J37" s="18" t="n">
        <f aca="false">H37*I37</f>
        <v>28400.4</v>
      </c>
    </row>
    <row r="38" customFormat="false" ht="15" hidden="false" customHeight="false" outlineLevel="0" collapsed="false">
      <c r="E38" s="16" t="s">
        <v>49</v>
      </c>
      <c r="F38" s="16" t="s">
        <v>214</v>
      </c>
      <c r="G38" s="16" t="s">
        <v>173</v>
      </c>
      <c r="H38" s="73" t="n">
        <v>105</v>
      </c>
      <c r="I38" s="74" t="n">
        <f aca="false">INDEX($C$5:$C$26,MATCH(G38,$A$5:$A$26,0))</f>
        <v>224.175</v>
      </c>
      <c r="J38" s="18" t="n">
        <f aca="false">H38*I38</f>
        <v>23538.375</v>
      </c>
    </row>
    <row r="39" customFormat="false" ht="15" hidden="false" customHeight="false" outlineLevel="0" collapsed="false">
      <c r="E39" s="16" t="s">
        <v>49</v>
      </c>
      <c r="F39" s="16" t="s">
        <v>214</v>
      </c>
      <c r="G39" s="16" t="s">
        <v>175</v>
      </c>
      <c r="H39" s="73" t="n">
        <v>35</v>
      </c>
      <c r="I39" s="74" t="n">
        <f aca="false">INDEX($C$5:$C$26,MATCH(G39,$A$5:$A$26,0))</f>
        <v>206.535</v>
      </c>
      <c r="J39" s="18" t="n">
        <f aca="false">H39*I39</f>
        <v>7228.725</v>
      </c>
    </row>
    <row r="40" customFormat="false" ht="15" hidden="false" customHeight="false" outlineLevel="0" collapsed="false">
      <c r="E40" s="16" t="s">
        <v>49</v>
      </c>
      <c r="F40" s="16" t="s">
        <v>215</v>
      </c>
      <c r="G40" s="16" t="s">
        <v>169</v>
      </c>
      <c r="H40" s="73" t="n">
        <v>65</v>
      </c>
      <c r="I40" s="74" t="n">
        <f aca="false">INDEX($C$5:$C$26,MATCH(G40,$A$5:$A$26,0))</f>
        <v>256.515</v>
      </c>
      <c r="J40" s="18" t="n">
        <f aca="false">H40*I40</f>
        <v>16673.475</v>
      </c>
    </row>
    <row r="41" customFormat="false" ht="15" hidden="false" customHeight="false" outlineLevel="0" collapsed="false">
      <c r="E41" s="16" t="s">
        <v>49</v>
      </c>
      <c r="F41" s="16" t="s">
        <v>215</v>
      </c>
      <c r="G41" s="16" t="s">
        <v>171</v>
      </c>
      <c r="H41" s="73" t="n">
        <v>75</v>
      </c>
      <c r="I41" s="74" t="n">
        <f aca="false">INDEX($C$5:$C$26,MATCH(G41,$A$5:$A$26,0))</f>
        <v>236.67</v>
      </c>
      <c r="J41" s="18" t="n">
        <f aca="false">H41*I41</f>
        <v>17750.25</v>
      </c>
    </row>
    <row r="42" customFormat="false" ht="15" hidden="false" customHeight="false" outlineLevel="0" collapsed="false">
      <c r="E42" s="16" t="s">
        <v>49</v>
      </c>
      <c r="F42" s="16" t="s">
        <v>215</v>
      </c>
      <c r="G42" s="16" t="s">
        <v>173</v>
      </c>
      <c r="H42" s="73" t="n">
        <v>65</v>
      </c>
      <c r="I42" s="74" t="n">
        <f aca="false">INDEX($C$5:$C$26,MATCH(G42,$A$5:$A$26,0))</f>
        <v>224.175</v>
      </c>
      <c r="J42" s="18" t="n">
        <f aca="false">H42*I42</f>
        <v>14571.375</v>
      </c>
    </row>
    <row r="43" customFormat="false" ht="15" hidden="false" customHeight="false" outlineLevel="0" collapsed="false">
      <c r="E43" s="16" t="s">
        <v>49</v>
      </c>
      <c r="F43" s="16" t="s">
        <v>215</v>
      </c>
      <c r="G43" s="16" t="s">
        <v>175</v>
      </c>
      <c r="H43" s="73" t="n">
        <v>40</v>
      </c>
      <c r="I43" s="74" t="n">
        <f aca="false">INDEX($C$5:$C$26,MATCH(G43,$A$5:$A$26,0))</f>
        <v>206.535</v>
      </c>
      <c r="J43" s="18" t="n">
        <f aca="false">H43*I43</f>
        <v>8261.4</v>
      </c>
    </row>
    <row r="44" customFormat="false" ht="15" hidden="false" customHeight="false" outlineLevel="0" collapsed="false">
      <c r="E44" s="16" t="s">
        <v>128</v>
      </c>
      <c r="F44" s="16" t="s">
        <v>191</v>
      </c>
      <c r="G44" s="16" t="s">
        <v>169</v>
      </c>
      <c r="H44" s="73" t="n">
        <v>180</v>
      </c>
      <c r="I44" s="74" t="n">
        <f aca="false">INDEX($C$5:$C$26,MATCH(G44,$A$5:$A$26,0))</f>
        <v>256.515</v>
      </c>
      <c r="J44" s="18" t="n">
        <f aca="false">H44*I44</f>
        <v>46172.7</v>
      </c>
    </row>
    <row r="45" customFormat="false" ht="15" hidden="false" customHeight="false" outlineLevel="0" collapsed="false">
      <c r="E45" s="16" t="s">
        <v>128</v>
      </c>
      <c r="F45" s="16" t="s">
        <v>191</v>
      </c>
      <c r="G45" s="16" t="s">
        <v>171</v>
      </c>
      <c r="H45" s="73" t="n">
        <v>380</v>
      </c>
      <c r="I45" s="74" t="n">
        <f aca="false">INDEX($C$5:$C$26,MATCH(G45,$A$5:$A$26,0))</f>
        <v>236.67</v>
      </c>
      <c r="J45" s="18" t="n">
        <f aca="false">H45*I45</f>
        <v>89934.6</v>
      </c>
    </row>
    <row r="46" customFormat="false" ht="15" hidden="false" customHeight="false" outlineLevel="0" collapsed="false">
      <c r="E46" s="16" t="s">
        <v>128</v>
      </c>
      <c r="F46" s="16" t="s">
        <v>191</v>
      </c>
      <c r="G46" s="16" t="s">
        <v>173</v>
      </c>
      <c r="H46" s="73" t="n">
        <v>315</v>
      </c>
      <c r="I46" s="74" t="n">
        <f aca="false">INDEX($C$5:$C$26,MATCH(G46,$A$5:$A$26,0))</f>
        <v>224.175</v>
      </c>
      <c r="J46" s="18" t="n">
        <f aca="false">H46*I46</f>
        <v>70615.125</v>
      </c>
    </row>
    <row r="47" customFormat="false" ht="15" hidden="false" customHeight="false" outlineLevel="0" collapsed="false">
      <c r="E47" s="16" t="s">
        <v>128</v>
      </c>
      <c r="F47" s="16" t="s">
        <v>191</v>
      </c>
      <c r="G47" s="16" t="s">
        <v>175</v>
      </c>
      <c r="H47" s="73" t="n">
        <v>75</v>
      </c>
      <c r="I47" s="74" t="n">
        <f aca="false">INDEX($C$5:$C$26,MATCH(G47,$A$5:$A$26,0))</f>
        <v>206.535</v>
      </c>
      <c r="J47" s="18" t="n">
        <f aca="false">H47*I47</f>
        <v>15490.125</v>
      </c>
    </row>
    <row r="48" customFormat="false" ht="15" hidden="false" customHeight="false" outlineLevel="0" collapsed="false">
      <c r="E48" s="16" t="s">
        <v>128</v>
      </c>
      <c r="F48" s="16" t="s">
        <v>214</v>
      </c>
      <c r="G48" s="16" t="s">
        <v>169</v>
      </c>
      <c r="H48" s="73" t="n">
        <v>40</v>
      </c>
      <c r="I48" s="74" t="n">
        <f aca="false">INDEX($C$5:$C$26,MATCH(G48,$A$5:$A$26,0))</f>
        <v>256.515</v>
      </c>
      <c r="J48" s="18" t="n">
        <f aca="false">H48*I48</f>
        <v>10260.6</v>
      </c>
    </row>
    <row r="49" customFormat="false" ht="15" hidden="false" customHeight="false" outlineLevel="0" collapsed="false">
      <c r="E49" s="16" t="s">
        <v>128</v>
      </c>
      <c r="F49" s="16" t="s">
        <v>214</v>
      </c>
      <c r="G49" s="16" t="s">
        <v>171</v>
      </c>
      <c r="H49" s="73" t="n">
        <v>65</v>
      </c>
      <c r="I49" s="74" t="n">
        <f aca="false">INDEX($C$5:$C$26,MATCH(G49,$A$5:$A$26,0))</f>
        <v>236.67</v>
      </c>
      <c r="J49" s="18" t="n">
        <f aca="false">H49*I49</f>
        <v>15383.55</v>
      </c>
    </row>
    <row r="50" customFormat="false" ht="15" hidden="false" customHeight="false" outlineLevel="0" collapsed="false">
      <c r="E50" s="16" t="s">
        <v>128</v>
      </c>
      <c r="F50" s="16" t="s">
        <v>214</v>
      </c>
      <c r="G50" s="16" t="s">
        <v>173</v>
      </c>
      <c r="H50" s="73" t="n">
        <v>60</v>
      </c>
      <c r="I50" s="74" t="n">
        <f aca="false">INDEX($C$5:$C$26,MATCH(G50,$A$5:$A$26,0))</f>
        <v>224.175</v>
      </c>
      <c r="J50" s="18" t="n">
        <f aca="false">H50*I50</f>
        <v>13450.5</v>
      </c>
    </row>
    <row r="51" customFormat="false" ht="15" hidden="false" customHeight="false" outlineLevel="0" collapsed="false">
      <c r="E51" s="16" t="s">
        <v>128</v>
      </c>
      <c r="F51" s="16" t="s">
        <v>214</v>
      </c>
      <c r="G51" s="16" t="s">
        <v>175</v>
      </c>
      <c r="H51" s="73" t="n">
        <v>15</v>
      </c>
      <c r="I51" s="74" t="n">
        <f aca="false">INDEX($C$5:$C$26,MATCH(G51,$A$5:$A$26,0))</f>
        <v>206.535</v>
      </c>
      <c r="J51" s="18" t="n">
        <f aca="false">H51*I51</f>
        <v>3098.025</v>
      </c>
    </row>
    <row r="52" customFormat="false" ht="15" hidden="false" customHeight="false" outlineLevel="0" collapsed="false">
      <c r="E52" s="16" t="s">
        <v>128</v>
      </c>
      <c r="F52" s="16" t="s">
        <v>215</v>
      </c>
      <c r="G52" s="16" t="s">
        <v>169</v>
      </c>
      <c r="H52" s="73" t="n">
        <v>30</v>
      </c>
      <c r="I52" s="74" t="n">
        <f aca="false">INDEX($C$5:$C$26,MATCH(G52,$A$5:$A$26,0))</f>
        <v>256.515</v>
      </c>
      <c r="J52" s="18" t="n">
        <f aca="false">H52*I52</f>
        <v>7695.45</v>
      </c>
    </row>
    <row r="53" customFormat="false" ht="15" hidden="false" customHeight="false" outlineLevel="0" collapsed="false">
      <c r="E53" s="16" t="s">
        <v>128</v>
      </c>
      <c r="F53" s="16" t="s">
        <v>215</v>
      </c>
      <c r="G53" s="16" t="s">
        <v>171</v>
      </c>
      <c r="H53" s="73" t="n">
        <v>40</v>
      </c>
      <c r="I53" s="74" t="n">
        <f aca="false">INDEX($C$5:$C$26,MATCH(G53,$A$5:$A$26,0))</f>
        <v>236.67</v>
      </c>
      <c r="J53" s="18" t="n">
        <f aca="false">H53*I53</f>
        <v>9466.8</v>
      </c>
    </row>
    <row r="54" customFormat="false" ht="15" hidden="false" customHeight="false" outlineLevel="0" collapsed="false">
      <c r="E54" s="16" t="s">
        <v>128</v>
      </c>
      <c r="F54" s="16" t="s">
        <v>215</v>
      </c>
      <c r="G54" s="16" t="s">
        <v>173</v>
      </c>
      <c r="H54" s="73" t="n">
        <v>30</v>
      </c>
      <c r="I54" s="74" t="n">
        <f aca="false">INDEX($C$5:$C$26,MATCH(G54,$A$5:$A$26,0))</f>
        <v>224.175</v>
      </c>
      <c r="J54" s="18" t="n">
        <f aca="false">H54*I54</f>
        <v>6725.25</v>
      </c>
    </row>
    <row r="55" customFormat="false" ht="15" hidden="false" customHeight="false" outlineLevel="0" collapsed="false">
      <c r="E55" s="16" t="s">
        <v>128</v>
      </c>
      <c r="F55" s="16" t="s">
        <v>215</v>
      </c>
      <c r="G55" s="16" t="s">
        <v>175</v>
      </c>
      <c r="H55" s="73" t="n">
        <v>15</v>
      </c>
      <c r="I55" s="74" t="n">
        <f aca="false">INDEX($C$5:$C$26,MATCH(G55,$A$5:$A$26,0))</f>
        <v>206.535</v>
      </c>
      <c r="J55" s="18" t="n">
        <f aca="false">H55*I55</f>
        <v>3098.025</v>
      </c>
    </row>
    <row r="56" customFormat="false" ht="15" hidden="false" customHeight="false" outlineLevel="0" collapsed="false">
      <c r="E56" s="16" t="s">
        <v>38</v>
      </c>
      <c r="F56" s="16" t="s">
        <v>25</v>
      </c>
      <c r="G56" s="16" t="s">
        <v>169</v>
      </c>
      <c r="H56" s="73" t="n">
        <v>95</v>
      </c>
      <c r="I56" s="74" t="n">
        <f aca="false">INDEX($C$5:$C$26,MATCH(G56,$A$5:$A$26,0))</f>
        <v>256.515</v>
      </c>
      <c r="J56" s="18" t="n">
        <f aca="false">H56*I56</f>
        <v>24368.925</v>
      </c>
    </row>
    <row r="57" customFormat="false" ht="15" hidden="false" customHeight="false" outlineLevel="0" collapsed="false">
      <c r="E57" s="16" t="s">
        <v>38</v>
      </c>
      <c r="F57" s="16" t="s">
        <v>25</v>
      </c>
      <c r="G57" s="16" t="s">
        <v>171</v>
      </c>
      <c r="H57" s="73" t="n">
        <v>140</v>
      </c>
      <c r="I57" s="74" t="n">
        <f aca="false">INDEX($C$5:$C$26,MATCH(G57,$A$5:$A$26,0))</f>
        <v>236.67</v>
      </c>
      <c r="J57" s="18" t="n">
        <f aca="false">H57*I57</f>
        <v>33133.8</v>
      </c>
    </row>
    <row r="58" customFormat="false" ht="15" hidden="false" customHeight="false" outlineLevel="0" collapsed="false">
      <c r="E58" s="16" t="s">
        <v>38</v>
      </c>
      <c r="F58" s="16" t="s">
        <v>25</v>
      </c>
      <c r="G58" s="16" t="s">
        <v>173</v>
      </c>
      <c r="H58" s="73" t="n">
        <v>105</v>
      </c>
      <c r="I58" s="74" t="n">
        <f aca="false">INDEX($C$5:$C$26,MATCH(G58,$A$5:$A$26,0))</f>
        <v>224.175</v>
      </c>
      <c r="J58" s="18" t="n">
        <f aca="false">H58*I58</f>
        <v>23538.375</v>
      </c>
    </row>
    <row r="59" customFormat="false" ht="15" hidden="false" customHeight="false" outlineLevel="0" collapsed="false">
      <c r="E59" s="16" t="s">
        <v>38</v>
      </c>
      <c r="F59" s="16" t="s">
        <v>25</v>
      </c>
      <c r="G59" s="16" t="s">
        <v>175</v>
      </c>
      <c r="H59" s="73" t="n">
        <v>45</v>
      </c>
      <c r="I59" s="74" t="n">
        <f aca="false">INDEX($C$5:$C$26,MATCH(G59,$A$5:$A$26,0))</f>
        <v>206.535</v>
      </c>
      <c r="J59" s="18" t="n">
        <f aca="false">H59*I59</f>
        <v>9294.075</v>
      </c>
    </row>
    <row r="60" customFormat="false" ht="15" hidden="false" customHeight="false" outlineLevel="0" collapsed="false">
      <c r="E60" s="16" t="s">
        <v>38</v>
      </c>
      <c r="F60" s="16" t="s">
        <v>27</v>
      </c>
      <c r="G60" s="16" t="s">
        <v>169</v>
      </c>
      <c r="H60" s="73" t="n">
        <v>130</v>
      </c>
      <c r="I60" s="74" t="n">
        <f aca="false">INDEX($C$5:$C$26,MATCH(G60,$A$5:$A$26,0))</f>
        <v>256.515</v>
      </c>
      <c r="J60" s="18" t="n">
        <f aca="false">H60*I60</f>
        <v>33346.95</v>
      </c>
    </row>
    <row r="61" customFormat="false" ht="15" hidden="false" customHeight="false" outlineLevel="0" collapsed="false">
      <c r="E61" s="16" t="s">
        <v>38</v>
      </c>
      <c r="F61" s="16" t="s">
        <v>27</v>
      </c>
      <c r="G61" s="16" t="s">
        <v>171</v>
      </c>
      <c r="H61" s="73" t="n">
        <v>245</v>
      </c>
      <c r="I61" s="74" t="n">
        <f aca="false">INDEX($C$5:$C$26,MATCH(G61,$A$5:$A$26,0))</f>
        <v>236.67</v>
      </c>
      <c r="J61" s="18" t="n">
        <f aca="false">H61*I61</f>
        <v>57984.15</v>
      </c>
    </row>
    <row r="62" customFormat="false" ht="15" hidden="false" customHeight="false" outlineLevel="0" collapsed="false">
      <c r="E62" s="16" t="s">
        <v>38</v>
      </c>
      <c r="F62" s="16" t="s">
        <v>27</v>
      </c>
      <c r="G62" s="16" t="s">
        <v>173</v>
      </c>
      <c r="H62" s="73" t="n">
        <v>200</v>
      </c>
      <c r="I62" s="74" t="n">
        <f aca="false">INDEX($C$5:$C$26,MATCH(G62,$A$5:$A$26,0))</f>
        <v>224.175</v>
      </c>
      <c r="J62" s="18" t="n">
        <f aca="false">H62*I62</f>
        <v>44835</v>
      </c>
    </row>
    <row r="63" customFormat="false" ht="15" hidden="false" customHeight="false" outlineLevel="0" collapsed="false">
      <c r="E63" s="16" t="s">
        <v>38</v>
      </c>
      <c r="F63" s="16" t="s">
        <v>27</v>
      </c>
      <c r="G63" s="16" t="s">
        <v>175</v>
      </c>
      <c r="H63" s="73" t="n">
        <v>75</v>
      </c>
      <c r="I63" s="74" t="n">
        <f aca="false">INDEX($C$5:$C$26,MATCH(G63,$A$5:$A$26,0))</f>
        <v>206.535</v>
      </c>
      <c r="J63" s="18" t="n">
        <f aca="false">H63*I63</f>
        <v>15490.125</v>
      </c>
    </row>
    <row r="64" customFormat="false" ht="15" hidden="false" customHeight="false" outlineLevel="0" collapsed="false">
      <c r="E64" s="16" t="s">
        <v>38</v>
      </c>
      <c r="F64" s="16" t="s">
        <v>191</v>
      </c>
      <c r="G64" s="16" t="s">
        <v>169</v>
      </c>
      <c r="H64" s="73" t="n">
        <v>190</v>
      </c>
      <c r="I64" s="74" t="n">
        <f aca="false">INDEX($C$5:$C$26,MATCH(G64,$A$5:$A$26,0))</f>
        <v>256.515</v>
      </c>
      <c r="J64" s="18" t="n">
        <f aca="false">H64*I64</f>
        <v>48737.85</v>
      </c>
    </row>
    <row r="65" customFormat="false" ht="15" hidden="false" customHeight="false" outlineLevel="0" collapsed="false">
      <c r="E65" s="16" t="s">
        <v>38</v>
      </c>
      <c r="F65" s="16" t="s">
        <v>191</v>
      </c>
      <c r="G65" s="16" t="s">
        <v>171</v>
      </c>
      <c r="H65" s="73" t="n">
        <v>350</v>
      </c>
      <c r="I65" s="74" t="n">
        <f aca="false">INDEX($C$5:$C$26,MATCH(G65,$A$5:$A$26,0))</f>
        <v>236.67</v>
      </c>
      <c r="J65" s="18" t="n">
        <f aca="false">H65*I65</f>
        <v>82834.5</v>
      </c>
    </row>
    <row r="66" customFormat="false" ht="15" hidden="false" customHeight="false" outlineLevel="0" collapsed="false">
      <c r="E66" s="16" t="s">
        <v>38</v>
      </c>
      <c r="F66" s="16" t="s">
        <v>191</v>
      </c>
      <c r="G66" s="16" t="s">
        <v>173</v>
      </c>
      <c r="H66" s="73" t="n">
        <v>280</v>
      </c>
      <c r="I66" s="74" t="n">
        <f aca="false">INDEX($C$5:$C$26,MATCH(G66,$A$5:$A$26,0))</f>
        <v>224.175</v>
      </c>
      <c r="J66" s="18" t="n">
        <f aca="false">H66*I66</f>
        <v>62769</v>
      </c>
    </row>
    <row r="67" customFormat="false" ht="15" hidden="false" customHeight="false" outlineLevel="0" collapsed="false">
      <c r="E67" s="16" t="s">
        <v>38</v>
      </c>
      <c r="F67" s="16" t="s">
        <v>191</v>
      </c>
      <c r="G67" s="16" t="s">
        <v>175</v>
      </c>
      <c r="H67" s="73" t="n">
        <v>85</v>
      </c>
      <c r="I67" s="74" t="n">
        <f aca="false">INDEX($C$5:$C$26,MATCH(G67,$A$5:$A$26,0))</f>
        <v>206.535</v>
      </c>
      <c r="J67" s="18" t="n">
        <f aca="false">H67*I67</f>
        <v>17555.475</v>
      </c>
    </row>
    <row r="68" customFormat="false" ht="15" hidden="false" customHeight="false" outlineLevel="0" collapsed="false">
      <c r="E68" s="16" t="s">
        <v>131</v>
      </c>
      <c r="F68" s="16" t="s">
        <v>191</v>
      </c>
      <c r="G68" s="16" t="s">
        <v>169</v>
      </c>
      <c r="H68" s="73" t="n">
        <v>140</v>
      </c>
      <c r="I68" s="74" t="n">
        <f aca="false">INDEX($C$5:$C$26,MATCH(G68,$A$5:$A$26,0))</f>
        <v>256.515</v>
      </c>
      <c r="J68" s="18" t="n">
        <f aca="false">H68*I68</f>
        <v>35912.1</v>
      </c>
    </row>
    <row r="69" customFormat="false" ht="15" hidden="false" customHeight="false" outlineLevel="0" collapsed="false">
      <c r="E69" s="16" t="s">
        <v>131</v>
      </c>
      <c r="F69" s="16" t="s">
        <v>191</v>
      </c>
      <c r="G69" s="16" t="s">
        <v>171</v>
      </c>
      <c r="H69" s="73" t="n">
        <v>225</v>
      </c>
      <c r="I69" s="74" t="n">
        <f aca="false">INDEX($C$5:$C$26,MATCH(G69,$A$5:$A$26,0))</f>
        <v>236.67</v>
      </c>
      <c r="J69" s="18" t="n">
        <f aca="false">H69*I69</f>
        <v>53250.75</v>
      </c>
    </row>
    <row r="70" customFormat="false" ht="15" hidden="false" customHeight="false" outlineLevel="0" collapsed="false">
      <c r="E70" s="16" t="s">
        <v>131</v>
      </c>
      <c r="F70" s="16" t="s">
        <v>191</v>
      </c>
      <c r="G70" s="16" t="s">
        <v>173</v>
      </c>
      <c r="H70" s="73" t="n">
        <v>180</v>
      </c>
      <c r="I70" s="74" t="n">
        <f aca="false">INDEX($C$5:$C$26,MATCH(G70,$A$5:$A$26,0))</f>
        <v>224.175</v>
      </c>
      <c r="J70" s="18" t="n">
        <f aca="false">H70*I70</f>
        <v>40351.5</v>
      </c>
    </row>
    <row r="71" customFormat="false" ht="15" hidden="false" customHeight="false" outlineLevel="0" collapsed="false">
      <c r="E71" s="16" t="s">
        <v>131</v>
      </c>
      <c r="F71" s="16" t="s">
        <v>191</v>
      </c>
      <c r="G71" s="16" t="s">
        <v>175</v>
      </c>
      <c r="H71" s="73" t="n">
        <v>65</v>
      </c>
      <c r="I71" s="74" t="n">
        <f aca="false">INDEX($C$5:$C$26,MATCH(G71,$A$5:$A$26,0))</f>
        <v>206.535</v>
      </c>
      <c r="J71" s="18" t="n">
        <f aca="false">H71*I71</f>
        <v>13424.775</v>
      </c>
    </row>
    <row r="72" customFormat="false" ht="15" hidden="false" customHeight="false" outlineLevel="0" collapsed="false">
      <c r="E72" s="16" t="s">
        <v>133</v>
      </c>
      <c r="F72" s="16" t="s">
        <v>191</v>
      </c>
      <c r="G72" s="16" t="s">
        <v>169</v>
      </c>
      <c r="H72" s="73" t="n">
        <v>65</v>
      </c>
      <c r="I72" s="74" t="n">
        <f aca="false">INDEX($C$5:$C$26,MATCH(G72,$A$5:$A$26,0))</f>
        <v>256.515</v>
      </c>
      <c r="J72" s="18" t="n">
        <f aca="false">H72*I72</f>
        <v>16673.475</v>
      </c>
    </row>
    <row r="73" customFormat="false" ht="15" hidden="false" customHeight="false" outlineLevel="0" collapsed="false">
      <c r="E73" s="16" t="s">
        <v>133</v>
      </c>
      <c r="F73" s="16" t="s">
        <v>191</v>
      </c>
      <c r="G73" s="16" t="s">
        <v>171</v>
      </c>
      <c r="H73" s="73" t="n">
        <v>180</v>
      </c>
      <c r="I73" s="74" t="n">
        <f aca="false">INDEX($C$5:$C$26,MATCH(G73,$A$5:$A$26,0))</f>
        <v>236.67</v>
      </c>
      <c r="J73" s="18" t="n">
        <f aca="false">H73*I73</f>
        <v>42600.6</v>
      </c>
    </row>
    <row r="74" customFormat="false" ht="15" hidden="false" customHeight="false" outlineLevel="0" collapsed="false">
      <c r="E74" s="16" t="s">
        <v>133</v>
      </c>
      <c r="F74" s="16" t="s">
        <v>191</v>
      </c>
      <c r="G74" s="16" t="s">
        <v>173</v>
      </c>
      <c r="H74" s="73" t="n">
        <v>225</v>
      </c>
      <c r="I74" s="74" t="n">
        <f aca="false">INDEX($C$5:$C$26,MATCH(G74,$A$5:$A$26,0))</f>
        <v>224.175</v>
      </c>
      <c r="J74" s="18" t="n">
        <f aca="false">H74*I74</f>
        <v>50439.375</v>
      </c>
    </row>
    <row r="75" customFormat="false" ht="15" hidden="false" customHeight="false" outlineLevel="0" collapsed="false">
      <c r="E75" s="16" t="s">
        <v>133</v>
      </c>
      <c r="F75" s="16" t="s">
        <v>191</v>
      </c>
      <c r="G75" s="16" t="s">
        <v>175</v>
      </c>
      <c r="H75" s="73" t="n">
        <v>95</v>
      </c>
      <c r="I75" s="74" t="n">
        <f aca="false">INDEX($C$5:$C$26,MATCH(G75,$A$5:$A$26,0))</f>
        <v>206.535</v>
      </c>
      <c r="J75" s="18" t="n">
        <f aca="false">H75*I75</f>
        <v>19620.825</v>
      </c>
    </row>
    <row r="76" customFormat="false" ht="15" hidden="false" customHeight="false" outlineLevel="0" collapsed="false">
      <c r="E76" s="16" t="s">
        <v>51</v>
      </c>
      <c r="F76" s="16" t="s">
        <v>27</v>
      </c>
      <c r="G76" s="16" t="s">
        <v>169</v>
      </c>
      <c r="H76" s="73" t="n">
        <v>55</v>
      </c>
      <c r="I76" s="74" t="n">
        <f aca="false">INDEX($C$5:$C$26,MATCH(G76,$A$5:$A$26,0))</f>
        <v>256.515</v>
      </c>
      <c r="J76" s="18" t="n">
        <f aca="false">H76*I76</f>
        <v>14108.325</v>
      </c>
    </row>
    <row r="77" customFormat="false" ht="15" hidden="false" customHeight="false" outlineLevel="0" collapsed="false">
      <c r="E77" s="16" t="s">
        <v>51</v>
      </c>
      <c r="F77" s="16" t="s">
        <v>27</v>
      </c>
      <c r="G77" s="16" t="s">
        <v>171</v>
      </c>
      <c r="H77" s="73" t="n">
        <v>155</v>
      </c>
      <c r="I77" s="74" t="n">
        <f aca="false">INDEX($C$5:$C$26,MATCH(G77,$A$5:$A$26,0))</f>
        <v>236.67</v>
      </c>
      <c r="J77" s="18" t="n">
        <f aca="false">H77*I77</f>
        <v>36683.85</v>
      </c>
    </row>
    <row r="78" customFormat="false" ht="15" hidden="false" customHeight="false" outlineLevel="0" collapsed="false">
      <c r="E78" s="16" t="s">
        <v>51</v>
      </c>
      <c r="F78" s="16" t="s">
        <v>27</v>
      </c>
      <c r="G78" s="16" t="s">
        <v>173</v>
      </c>
      <c r="H78" s="73" t="n">
        <v>130</v>
      </c>
      <c r="I78" s="74" t="n">
        <f aca="false">INDEX($C$5:$C$26,MATCH(G78,$A$5:$A$26,0))</f>
        <v>224.175</v>
      </c>
      <c r="J78" s="18" t="n">
        <f aca="false">H78*I78</f>
        <v>29142.75</v>
      </c>
    </row>
    <row r="79" customFormat="false" ht="15" hidden="false" customHeight="false" outlineLevel="0" collapsed="false">
      <c r="E79" s="16" t="s">
        <v>51</v>
      </c>
      <c r="F79" s="16" t="s">
        <v>27</v>
      </c>
      <c r="G79" s="16" t="s">
        <v>175</v>
      </c>
      <c r="H79" s="73" t="n">
        <v>45</v>
      </c>
      <c r="I79" s="74" t="n">
        <f aca="false">INDEX($C$5:$C$26,MATCH(G79,$A$5:$A$26,0))</f>
        <v>206.535</v>
      </c>
      <c r="J79" s="18" t="n">
        <f aca="false">H79*I79</f>
        <v>9294.075</v>
      </c>
    </row>
    <row r="80" customFormat="false" ht="15" hidden="false" customHeight="false" outlineLevel="0" collapsed="false">
      <c r="E80" s="16" t="s">
        <v>51</v>
      </c>
      <c r="F80" s="16" t="s">
        <v>191</v>
      </c>
      <c r="G80" s="16" t="s">
        <v>169</v>
      </c>
      <c r="H80" s="73" t="n">
        <v>65</v>
      </c>
      <c r="I80" s="74" t="n">
        <f aca="false">INDEX($C$5:$C$26,MATCH(G80,$A$5:$A$26,0))</f>
        <v>256.515</v>
      </c>
      <c r="J80" s="18" t="n">
        <f aca="false">H80*I80</f>
        <v>16673.475</v>
      </c>
    </row>
    <row r="81" customFormat="false" ht="15" hidden="false" customHeight="false" outlineLevel="0" collapsed="false">
      <c r="E81" s="16" t="s">
        <v>51</v>
      </c>
      <c r="F81" s="16" t="s">
        <v>191</v>
      </c>
      <c r="G81" s="16" t="s">
        <v>171</v>
      </c>
      <c r="H81" s="73" t="n">
        <v>190</v>
      </c>
      <c r="I81" s="74" t="n">
        <f aca="false">INDEX($C$5:$C$26,MATCH(G81,$A$5:$A$26,0))</f>
        <v>236.67</v>
      </c>
      <c r="J81" s="18" t="n">
        <f aca="false">H81*I81</f>
        <v>44967.3</v>
      </c>
    </row>
    <row r="82" customFormat="false" ht="15" hidden="false" customHeight="false" outlineLevel="0" collapsed="false">
      <c r="E82" s="16" t="s">
        <v>51</v>
      </c>
      <c r="F82" s="16" t="s">
        <v>191</v>
      </c>
      <c r="G82" s="16" t="s">
        <v>173</v>
      </c>
      <c r="H82" s="73" t="n">
        <v>160</v>
      </c>
      <c r="I82" s="74" t="n">
        <f aca="false">INDEX($C$5:$C$26,MATCH(G82,$A$5:$A$26,0))</f>
        <v>224.175</v>
      </c>
      <c r="J82" s="18" t="n">
        <f aca="false">H82*I82</f>
        <v>35868</v>
      </c>
    </row>
    <row r="83" customFormat="false" ht="15" hidden="false" customHeight="false" outlineLevel="0" collapsed="false">
      <c r="E83" s="16" t="s">
        <v>51</v>
      </c>
      <c r="F83" s="16" t="s">
        <v>191</v>
      </c>
      <c r="G83" s="16" t="s">
        <v>175</v>
      </c>
      <c r="H83" s="73" t="n">
        <v>50</v>
      </c>
      <c r="I83" s="74" t="n">
        <f aca="false">INDEX($C$5:$C$26,MATCH(G83,$A$5:$A$26,0))</f>
        <v>206.535</v>
      </c>
      <c r="J83" s="18" t="n">
        <f aca="false">H83*I83</f>
        <v>10326.75</v>
      </c>
    </row>
    <row r="84" customFormat="false" ht="15" hidden="false" customHeight="false" outlineLevel="0" collapsed="false">
      <c r="E84" s="16" t="s">
        <v>53</v>
      </c>
      <c r="F84" s="16" t="s">
        <v>27</v>
      </c>
      <c r="G84" s="16" t="s">
        <v>169</v>
      </c>
      <c r="H84" s="73" t="n">
        <v>75</v>
      </c>
      <c r="I84" s="74" t="n">
        <f aca="false">INDEX($C$5:$C$26,MATCH(G84,$A$5:$A$26,0))</f>
        <v>256.515</v>
      </c>
      <c r="J84" s="18" t="n">
        <f aca="false">H84*I84</f>
        <v>19238.625</v>
      </c>
    </row>
    <row r="85" customFormat="false" ht="15" hidden="false" customHeight="false" outlineLevel="0" collapsed="false">
      <c r="E85" s="16" t="s">
        <v>53</v>
      </c>
      <c r="F85" s="16" t="s">
        <v>27</v>
      </c>
      <c r="G85" s="16" t="s">
        <v>171</v>
      </c>
      <c r="H85" s="73" t="n">
        <v>210</v>
      </c>
      <c r="I85" s="74" t="n">
        <f aca="false">INDEX($C$5:$C$26,MATCH(G85,$A$5:$A$26,0))</f>
        <v>236.67</v>
      </c>
      <c r="J85" s="18" t="n">
        <f aca="false">H85*I85</f>
        <v>49700.7</v>
      </c>
    </row>
    <row r="86" customFormat="false" ht="15" hidden="false" customHeight="false" outlineLevel="0" collapsed="false">
      <c r="E86" s="16" t="s">
        <v>53</v>
      </c>
      <c r="F86" s="16" t="s">
        <v>27</v>
      </c>
      <c r="G86" s="16" t="s">
        <v>173</v>
      </c>
      <c r="H86" s="73" t="n">
        <v>315</v>
      </c>
      <c r="I86" s="74" t="n">
        <f aca="false">INDEX($C$5:$C$26,MATCH(G86,$A$5:$A$26,0))</f>
        <v>224.175</v>
      </c>
      <c r="J86" s="18" t="n">
        <f aca="false">H86*I86</f>
        <v>70615.125</v>
      </c>
    </row>
    <row r="87" customFormat="false" ht="15" hidden="false" customHeight="false" outlineLevel="0" collapsed="false">
      <c r="E87" s="16" t="s">
        <v>53</v>
      </c>
      <c r="F87" s="16" t="s">
        <v>27</v>
      </c>
      <c r="G87" s="16" t="s">
        <v>175</v>
      </c>
      <c r="H87" s="73" t="n">
        <v>75</v>
      </c>
      <c r="I87" s="74" t="n">
        <f aca="false">INDEX($C$5:$C$26,MATCH(G87,$A$5:$A$26,0))</f>
        <v>206.535</v>
      </c>
      <c r="J87" s="18" t="n">
        <f aca="false">H87*I87</f>
        <v>15490.125</v>
      </c>
    </row>
    <row r="88" customFormat="false" ht="15" hidden="false" customHeight="false" outlineLevel="0" collapsed="false">
      <c r="E88" s="16" t="s">
        <v>53</v>
      </c>
      <c r="F88" s="16" t="s">
        <v>191</v>
      </c>
      <c r="G88" s="16" t="s">
        <v>169</v>
      </c>
      <c r="H88" s="73" t="n">
        <v>140</v>
      </c>
      <c r="I88" s="74" t="n">
        <f aca="false">INDEX($C$5:$C$26,MATCH(G88,$A$5:$A$26,0))</f>
        <v>256.515</v>
      </c>
      <c r="J88" s="18" t="n">
        <f aca="false">H88*I88</f>
        <v>35912.1</v>
      </c>
    </row>
    <row r="89" customFormat="false" ht="15" hidden="false" customHeight="false" outlineLevel="0" collapsed="false">
      <c r="E89" s="16" t="s">
        <v>53</v>
      </c>
      <c r="F89" s="16" t="s">
        <v>191</v>
      </c>
      <c r="G89" s="16" t="s">
        <v>171</v>
      </c>
      <c r="H89" s="73" t="n">
        <v>410</v>
      </c>
      <c r="I89" s="74" t="n">
        <f aca="false">INDEX($C$5:$C$26,MATCH(G89,$A$5:$A$26,0))</f>
        <v>236.67</v>
      </c>
      <c r="J89" s="18" t="n">
        <f aca="false">H89*I89</f>
        <v>97034.7</v>
      </c>
    </row>
    <row r="90" customFormat="false" ht="15" hidden="false" customHeight="false" outlineLevel="0" collapsed="false">
      <c r="E90" s="16" t="s">
        <v>53</v>
      </c>
      <c r="F90" s="16" t="s">
        <v>191</v>
      </c>
      <c r="G90" s="16" t="s">
        <v>173</v>
      </c>
      <c r="H90" s="73" t="n">
        <v>610</v>
      </c>
      <c r="I90" s="74" t="n">
        <f aca="false">INDEX($C$5:$C$26,MATCH(G90,$A$5:$A$26,0))</f>
        <v>224.175</v>
      </c>
      <c r="J90" s="18" t="n">
        <f aca="false">H90*I90</f>
        <v>136746.75</v>
      </c>
    </row>
    <row r="91" customFormat="false" ht="15" hidden="false" customHeight="false" outlineLevel="0" collapsed="false">
      <c r="E91" s="16" t="s">
        <v>53</v>
      </c>
      <c r="F91" s="16" t="s">
        <v>191</v>
      </c>
      <c r="G91" s="16" t="s">
        <v>175</v>
      </c>
      <c r="H91" s="73" t="n">
        <v>140</v>
      </c>
      <c r="I91" s="74" t="n">
        <f aca="false">INDEX($C$5:$C$26,MATCH(G91,$A$5:$A$26,0))</f>
        <v>206.535</v>
      </c>
      <c r="J91" s="18" t="n">
        <f aca="false">H91*I91</f>
        <v>28914.9</v>
      </c>
    </row>
    <row r="92" customFormat="false" ht="15" hidden="false" customHeight="false" outlineLevel="0" collapsed="false">
      <c r="E92" s="16" t="s">
        <v>55</v>
      </c>
      <c r="F92" s="16" t="s">
        <v>27</v>
      </c>
      <c r="G92" s="16" t="s">
        <v>169</v>
      </c>
      <c r="H92" s="73" t="n">
        <v>55</v>
      </c>
      <c r="I92" s="74" t="n">
        <f aca="false">INDEX($C$5:$C$26,MATCH(G92,$A$5:$A$26,0))</f>
        <v>256.515</v>
      </c>
      <c r="J92" s="18" t="n">
        <f aca="false">H92*I92</f>
        <v>14108.325</v>
      </c>
    </row>
    <row r="93" customFormat="false" ht="15" hidden="false" customHeight="false" outlineLevel="0" collapsed="false">
      <c r="E93" s="16" t="s">
        <v>55</v>
      </c>
      <c r="F93" s="16" t="s">
        <v>27</v>
      </c>
      <c r="G93" s="16" t="s">
        <v>171</v>
      </c>
      <c r="H93" s="73" t="n">
        <v>170</v>
      </c>
      <c r="I93" s="74" t="n">
        <f aca="false">INDEX($C$5:$C$26,MATCH(G93,$A$5:$A$26,0))</f>
        <v>236.67</v>
      </c>
      <c r="J93" s="18" t="n">
        <f aca="false">H93*I93</f>
        <v>40233.9</v>
      </c>
    </row>
    <row r="94" customFormat="false" ht="15" hidden="false" customHeight="false" outlineLevel="0" collapsed="false">
      <c r="E94" s="16" t="s">
        <v>55</v>
      </c>
      <c r="F94" s="16" t="s">
        <v>27</v>
      </c>
      <c r="G94" s="16" t="s">
        <v>173</v>
      </c>
      <c r="H94" s="73" t="n">
        <v>200</v>
      </c>
      <c r="I94" s="74" t="n">
        <f aca="false">INDEX($C$5:$C$26,MATCH(G94,$A$5:$A$26,0))</f>
        <v>224.175</v>
      </c>
      <c r="J94" s="18" t="n">
        <f aca="false">H94*I94</f>
        <v>44835</v>
      </c>
    </row>
    <row r="95" customFormat="false" ht="15" hidden="false" customHeight="false" outlineLevel="0" collapsed="false">
      <c r="E95" s="16" t="s">
        <v>55</v>
      </c>
      <c r="F95" s="16" t="s">
        <v>27</v>
      </c>
      <c r="G95" s="16" t="s">
        <v>175</v>
      </c>
      <c r="H95" s="73" t="n">
        <v>55</v>
      </c>
      <c r="I95" s="74" t="n">
        <f aca="false">INDEX($C$5:$C$26,MATCH(G95,$A$5:$A$26,0))</f>
        <v>206.535</v>
      </c>
      <c r="J95" s="18" t="n">
        <f aca="false">H95*I95</f>
        <v>11359.425</v>
      </c>
    </row>
    <row r="96" customFormat="false" ht="15" hidden="false" customHeight="false" outlineLevel="0" collapsed="false">
      <c r="E96" s="16" t="s">
        <v>55</v>
      </c>
      <c r="F96" s="16" t="s">
        <v>191</v>
      </c>
      <c r="G96" s="16" t="s">
        <v>169</v>
      </c>
      <c r="H96" s="73" t="n">
        <v>85</v>
      </c>
      <c r="I96" s="74" t="n">
        <f aca="false">INDEX($C$5:$C$26,MATCH(G96,$A$5:$A$26,0))</f>
        <v>256.515</v>
      </c>
      <c r="J96" s="18" t="n">
        <f aca="false">H96*I96</f>
        <v>21803.775</v>
      </c>
    </row>
    <row r="97" customFormat="false" ht="15" hidden="false" customHeight="false" outlineLevel="0" collapsed="false">
      <c r="E97" s="16" t="s">
        <v>55</v>
      </c>
      <c r="F97" s="16" t="s">
        <v>191</v>
      </c>
      <c r="G97" s="16" t="s">
        <v>171</v>
      </c>
      <c r="H97" s="73" t="n">
        <v>235</v>
      </c>
      <c r="I97" s="74" t="n">
        <f aca="false">INDEX($C$5:$C$26,MATCH(G97,$A$5:$A$26,0))</f>
        <v>236.67</v>
      </c>
      <c r="J97" s="18" t="n">
        <f aca="false">H97*I97</f>
        <v>55617.45</v>
      </c>
    </row>
    <row r="98" customFormat="false" ht="15" hidden="false" customHeight="false" outlineLevel="0" collapsed="false">
      <c r="E98" s="16" t="s">
        <v>55</v>
      </c>
      <c r="F98" s="16" t="s">
        <v>191</v>
      </c>
      <c r="G98" s="16" t="s">
        <v>173</v>
      </c>
      <c r="H98" s="73" t="n">
        <v>265</v>
      </c>
      <c r="I98" s="74" t="n">
        <f aca="false">INDEX($C$5:$C$26,MATCH(G98,$A$5:$A$26,0))</f>
        <v>224.175</v>
      </c>
      <c r="J98" s="18" t="n">
        <f aca="false">H98*I98</f>
        <v>59406.375</v>
      </c>
    </row>
    <row r="99" customFormat="false" ht="15" hidden="false" customHeight="false" outlineLevel="0" collapsed="false">
      <c r="E99" s="16" t="s">
        <v>55</v>
      </c>
      <c r="F99" s="16" t="s">
        <v>191</v>
      </c>
      <c r="G99" s="16" t="s">
        <v>175</v>
      </c>
      <c r="H99" s="73" t="n">
        <v>85</v>
      </c>
      <c r="I99" s="74" t="n">
        <f aca="false">INDEX($C$5:$C$26,MATCH(G99,$A$5:$A$26,0))</f>
        <v>206.535</v>
      </c>
      <c r="J99" s="18" t="n">
        <f aca="false">H99*I99</f>
        <v>17555.475</v>
      </c>
    </row>
    <row r="100" customFormat="false" ht="15" hidden="false" customHeight="false" outlineLevel="0" collapsed="false">
      <c r="E100" s="16" t="s">
        <v>40</v>
      </c>
      <c r="F100" s="16" t="s">
        <v>25</v>
      </c>
      <c r="G100" s="16" t="s">
        <v>169</v>
      </c>
      <c r="H100" s="73" t="n">
        <v>40</v>
      </c>
      <c r="I100" s="74" t="n">
        <f aca="false">INDEX($C$5:$C$26,MATCH(G100,$A$5:$A$26,0))</f>
        <v>256.515</v>
      </c>
      <c r="J100" s="18" t="n">
        <f aca="false">H100*I100</f>
        <v>10260.6</v>
      </c>
    </row>
    <row r="101" customFormat="false" ht="15" hidden="false" customHeight="false" outlineLevel="0" collapsed="false">
      <c r="E101" s="16" t="s">
        <v>40</v>
      </c>
      <c r="F101" s="16" t="s">
        <v>25</v>
      </c>
      <c r="G101" s="16" t="s">
        <v>171</v>
      </c>
      <c r="H101" s="73" t="n">
        <v>95</v>
      </c>
      <c r="I101" s="74" t="n">
        <f aca="false">INDEX($C$5:$C$26,MATCH(G101,$A$5:$A$26,0))</f>
        <v>236.67</v>
      </c>
      <c r="J101" s="18" t="n">
        <f aca="false">H101*I101</f>
        <v>22483.65</v>
      </c>
    </row>
    <row r="102" customFormat="false" ht="15" hidden="false" customHeight="false" outlineLevel="0" collapsed="false">
      <c r="E102" s="16" t="s">
        <v>40</v>
      </c>
      <c r="F102" s="16" t="s">
        <v>25</v>
      </c>
      <c r="G102" s="16" t="s">
        <v>173</v>
      </c>
      <c r="H102" s="73" t="n">
        <v>100</v>
      </c>
      <c r="I102" s="74" t="n">
        <f aca="false">INDEX($C$5:$C$26,MATCH(G102,$A$5:$A$26,0))</f>
        <v>224.175</v>
      </c>
      <c r="J102" s="18" t="n">
        <f aca="false">H102*I102</f>
        <v>22417.5</v>
      </c>
    </row>
    <row r="103" customFormat="false" ht="15" hidden="false" customHeight="false" outlineLevel="0" collapsed="false">
      <c r="E103" s="16" t="s">
        <v>40</v>
      </c>
      <c r="F103" s="16" t="s">
        <v>25</v>
      </c>
      <c r="G103" s="16" t="s">
        <v>175</v>
      </c>
      <c r="H103" s="73" t="n">
        <v>45</v>
      </c>
      <c r="I103" s="74" t="n">
        <f aca="false">INDEX($C$5:$C$26,MATCH(G103,$A$5:$A$26,0))</f>
        <v>206.535</v>
      </c>
      <c r="J103" s="18" t="n">
        <f aca="false">H103*I103</f>
        <v>9294.075</v>
      </c>
    </row>
    <row r="104" customFormat="false" ht="15" hidden="false" customHeight="false" outlineLevel="0" collapsed="false">
      <c r="E104" s="16" t="s">
        <v>40</v>
      </c>
      <c r="F104" s="16" t="s">
        <v>27</v>
      </c>
      <c r="G104" s="16" t="s">
        <v>169</v>
      </c>
      <c r="H104" s="73" t="n">
        <v>55</v>
      </c>
      <c r="I104" s="74" t="n">
        <f aca="false">INDEX($C$5:$C$26,MATCH(G104,$A$5:$A$26,0))</f>
        <v>256.515</v>
      </c>
      <c r="J104" s="18" t="n">
        <f aca="false">H104*I104</f>
        <v>14108.325</v>
      </c>
    </row>
    <row r="105" customFormat="false" ht="15" hidden="false" customHeight="false" outlineLevel="0" collapsed="false">
      <c r="E105" s="16" t="s">
        <v>40</v>
      </c>
      <c r="F105" s="16" t="s">
        <v>27</v>
      </c>
      <c r="G105" s="16" t="s">
        <v>171</v>
      </c>
      <c r="H105" s="73" t="n">
        <v>160</v>
      </c>
      <c r="I105" s="74" t="n">
        <f aca="false">INDEX($C$5:$C$26,MATCH(G105,$A$5:$A$26,0))</f>
        <v>236.67</v>
      </c>
      <c r="J105" s="18" t="n">
        <f aca="false">H105*I105</f>
        <v>37867.2</v>
      </c>
    </row>
    <row r="106" customFormat="false" ht="15" hidden="false" customHeight="false" outlineLevel="0" collapsed="false">
      <c r="E106" s="16" t="s">
        <v>40</v>
      </c>
      <c r="F106" s="16" t="s">
        <v>27</v>
      </c>
      <c r="G106" s="16" t="s">
        <v>173</v>
      </c>
      <c r="H106" s="73" t="n">
        <v>200</v>
      </c>
      <c r="I106" s="74" t="n">
        <f aca="false">INDEX($C$5:$C$26,MATCH(G106,$A$5:$A$26,0))</f>
        <v>224.175</v>
      </c>
      <c r="J106" s="18" t="n">
        <f aca="false">H106*I106</f>
        <v>44835</v>
      </c>
    </row>
    <row r="107" customFormat="false" ht="15" hidden="false" customHeight="false" outlineLevel="0" collapsed="false">
      <c r="E107" s="16" t="s">
        <v>40</v>
      </c>
      <c r="F107" s="16" t="s">
        <v>27</v>
      </c>
      <c r="G107" s="16" t="s">
        <v>175</v>
      </c>
      <c r="H107" s="73" t="n">
        <v>75</v>
      </c>
      <c r="I107" s="74" t="n">
        <f aca="false">INDEX($C$5:$C$26,MATCH(G107,$A$5:$A$26,0))</f>
        <v>206.535</v>
      </c>
      <c r="J107" s="18" t="n">
        <f aca="false">H107*I107</f>
        <v>15490.125</v>
      </c>
    </row>
    <row r="108" customFormat="false" ht="15" hidden="false" customHeight="false" outlineLevel="0" collapsed="false">
      <c r="E108" s="16" t="s">
        <v>40</v>
      </c>
      <c r="F108" s="16" t="s">
        <v>191</v>
      </c>
      <c r="G108" s="16" t="s">
        <v>169</v>
      </c>
      <c r="H108" s="73" t="n">
        <v>85</v>
      </c>
      <c r="I108" s="74" t="n">
        <f aca="false">INDEX($C$5:$C$26,MATCH(G108,$A$5:$A$26,0))</f>
        <v>256.515</v>
      </c>
      <c r="J108" s="18" t="n">
        <f aca="false">H108*I108</f>
        <v>21803.775</v>
      </c>
    </row>
    <row r="109" customFormat="false" ht="15" hidden="false" customHeight="false" outlineLevel="0" collapsed="false">
      <c r="E109" s="16" t="s">
        <v>40</v>
      </c>
      <c r="F109" s="16" t="s">
        <v>191</v>
      </c>
      <c r="G109" s="16" t="s">
        <v>171</v>
      </c>
      <c r="H109" s="73" t="n">
        <v>210</v>
      </c>
      <c r="I109" s="74" t="n">
        <f aca="false">INDEX($C$5:$C$26,MATCH(G109,$A$5:$A$26,0))</f>
        <v>236.67</v>
      </c>
      <c r="J109" s="18" t="n">
        <f aca="false">H109*I109</f>
        <v>49700.7</v>
      </c>
    </row>
    <row r="110" customFormat="false" ht="15" hidden="false" customHeight="false" outlineLevel="0" collapsed="false">
      <c r="E110" s="16" t="s">
        <v>40</v>
      </c>
      <c r="F110" s="16" t="s">
        <v>191</v>
      </c>
      <c r="G110" s="16" t="s">
        <v>173</v>
      </c>
      <c r="H110" s="73" t="n">
        <v>295</v>
      </c>
      <c r="I110" s="74" t="n">
        <f aca="false">INDEX($C$5:$C$26,MATCH(G110,$A$5:$A$26,0))</f>
        <v>224.175</v>
      </c>
      <c r="J110" s="18" t="n">
        <f aca="false">H110*I110</f>
        <v>66131.625</v>
      </c>
    </row>
    <row r="111" customFormat="false" ht="15" hidden="false" customHeight="false" outlineLevel="0" collapsed="false">
      <c r="E111" s="16" t="s">
        <v>40</v>
      </c>
      <c r="F111" s="16" t="s">
        <v>191</v>
      </c>
      <c r="G111" s="16" t="s">
        <v>175</v>
      </c>
      <c r="H111" s="73" t="n">
        <v>105</v>
      </c>
      <c r="I111" s="74" t="n">
        <f aca="false">INDEX($C$5:$C$26,MATCH(G111,$A$5:$A$26,0))</f>
        <v>206.535</v>
      </c>
      <c r="J111" s="18" t="n">
        <f aca="false">H111*I111</f>
        <v>21686.175</v>
      </c>
    </row>
    <row r="112" customFormat="false" ht="15" hidden="false" customHeight="false" outlineLevel="0" collapsed="false">
      <c r="E112" s="16" t="s">
        <v>138</v>
      </c>
      <c r="F112" s="16" t="s">
        <v>191</v>
      </c>
      <c r="G112" s="16" t="s">
        <v>169</v>
      </c>
      <c r="H112" s="73" t="n">
        <v>65</v>
      </c>
      <c r="I112" s="74" t="n">
        <f aca="false">INDEX($C$5:$C$26,MATCH(G112,$A$5:$A$26,0))</f>
        <v>256.515</v>
      </c>
      <c r="J112" s="18" t="n">
        <f aca="false">H112*I112</f>
        <v>16673.475</v>
      </c>
    </row>
    <row r="113" customFormat="false" ht="15" hidden="false" customHeight="false" outlineLevel="0" collapsed="false">
      <c r="E113" s="16" t="s">
        <v>138</v>
      </c>
      <c r="F113" s="16" t="s">
        <v>191</v>
      </c>
      <c r="G113" s="16" t="s">
        <v>171</v>
      </c>
      <c r="H113" s="73" t="n">
        <v>235</v>
      </c>
      <c r="I113" s="74" t="n">
        <f aca="false">INDEX($C$5:$C$26,MATCH(G113,$A$5:$A$26,0))</f>
        <v>236.67</v>
      </c>
      <c r="J113" s="18" t="n">
        <f aca="false">H113*I113</f>
        <v>55617.45</v>
      </c>
    </row>
    <row r="114" customFormat="false" ht="15" hidden="false" customHeight="false" outlineLevel="0" collapsed="false">
      <c r="E114" s="16" t="s">
        <v>138</v>
      </c>
      <c r="F114" s="16" t="s">
        <v>191</v>
      </c>
      <c r="G114" s="16" t="s">
        <v>173</v>
      </c>
      <c r="H114" s="73" t="n">
        <v>280</v>
      </c>
      <c r="I114" s="74" t="n">
        <f aca="false">INDEX($C$5:$C$26,MATCH(G114,$A$5:$A$26,0))</f>
        <v>224.175</v>
      </c>
      <c r="J114" s="18" t="n">
        <f aca="false">H114*I114</f>
        <v>62769</v>
      </c>
    </row>
    <row r="115" customFormat="false" ht="15" hidden="false" customHeight="false" outlineLevel="0" collapsed="false">
      <c r="E115" s="16" t="s">
        <v>138</v>
      </c>
      <c r="F115" s="16" t="s">
        <v>191</v>
      </c>
      <c r="G115" s="16" t="s">
        <v>175</v>
      </c>
      <c r="H115" s="73" t="n">
        <v>85</v>
      </c>
      <c r="I115" s="74" t="n">
        <f aca="false">INDEX($C$5:$C$26,MATCH(G115,$A$5:$A$26,0))</f>
        <v>206.535</v>
      </c>
      <c r="J115" s="18" t="n">
        <f aca="false">H115*I115</f>
        <v>17555.475</v>
      </c>
    </row>
    <row r="116" customFormat="false" ht="15" hidden="false" customHeight="false" outlineLevel="0" collapsed="false">
      <c r="E116" s="16" t="s">
        <v>42</v>
      </c>
      <c r="F116" s="16" t="s">
        <v>25</v>
      </c>
      <c r="G116" s="16" t="s">
        <v>169</v>
      </c>
      <c r="H116" s="73" t="n">
        <v>45</v>
      </c>
      <c r="I116" s="74" t="n">
        <f aca="false">INDEX($C$5:$C$26,MATCH(G116,$A$5:$A$26,0))</f>
        <v>256.515</v>
      </c>
      <c r="J116" s="18" t="n">
        <f aca="false">H116*I116</f>
        <v>11543.175</v>
      </c>
    </row>
    <row r="117" customFormat="false" ht="15" hidden="false" customHeight="false" outlineLevel="0" collapsed="false">
      <c r="E117" s="16" t="s">
        <v>42</v>
      </c>
      <c r="F117" s="16" t="s">
        <v>25</v>
      </c>
      <c r="G117" s="16" t="s">
        <v>171</v>
      </c>
      <c r="H117" s="73" t="n">
        <v>95</v>
      </c>
      <c r="I117" s="74" t="n">
        <f aca="false">INDEX($C$5:$C$26,MATCH(G117,$A$5:$A$26,0))</f>
        <v>236.67</v>
      </c>
      <c r="J117" s="18" t="n">
        <f aca="false">H117*I117</f>
        <v>22483.65</v>
      </c>
    </row>
    <row r="118" customFormat="false" ht="15" hidden="false" customHeight="false" outlineLevel="0" collapsed="false">
      <c r="E118" s="16" t="s">
        <v>42</v>
      </c>
      <c r="F118" s="16" t="s">
        <v>25</v>
      </c>
      <c r="G118" s="16" t="s">
        <v>173</v>
      </c>
      <c r="H118" s="73" t="n">
        <v>95</v>
      </c>
      <c r="I118" s="74" t="n">
        <f aca="false">INDEX($C$5:$C$26,MATCH(G118,$A$5:$A$26,0))</f>
        <v>224.175</v>
      </c>
      <c r="J118" s="18" t="n">
        <f aca="false">H118*I118</f>
        <v>21296.625</v>
      </c>
    </row>
    <row r="119" customFormat="false" ht="15" hidden="false" customHeight="false" outlineLevel="0" collapsed="false">
      <c r="E119" s="16" t="s">
        <v>42</v>
      </c>
      <c r="F119" s="16" t="s">
        <v>25</v>
      </c>
      <c r="G119" s="16" t="s">
        <v>175</v>
      </c>
      <c r="H119" s="73" t="n">
        <v>35</v>
      </c>
      <c r="I119" s="74" t="n">
        <f aca="false">INDEX($C$5:$C$26,MATCH(G119,$A$5:$A$26,0))</f>
        <v>206.535</v>
      </c>
      <c r="J119" s="18" t="n">
        <f aca="false">H119*I119</f>
        <v>7228.725</v>
      </c>
    </row>
    <row r="120" customFormat="false" ht="15" hidden="false" customHeight="false" outlineLevel="0" collapsed="false">
      <c r="E120" s="16" t="s">
        <v>42</v>
      </c>
      <c r="F120" s="16" t="s">
        <v>27</v>
      </c>
      <c r="G120" s="16" t="s">
        <v>169</v>
      </c>
      <c r="H120" s="73" t="n">
        <v>75</v>
      </c>
      <c r="I120" s="74" t="n">
        <f aca="false">INDEX($C$5:$C$26,MATCH(G120,$A$5:$A$26,0))</f>
        <v>256.515</v>
      </c>
      <c r="J120" s="18" t="n">
        <f aca="false">H120*I120</f>
        <v>19238.625</v>
      </c>
    </row>
    <row r="121" customFormat="false" ht="15" hidden="false" customHeight="false" outlineLevel="0" collapsed="false">
      <c r="E121" s="16" t="s">
        <v>42</v>
      </c>
      <c r="F121" s="16" t="s">
        <v>27</v>
      </c>
      <c r="G121" s="16" t="s">
        <v>171</v>
      </c>
      <c r="H121" s="73" t="n">
        <v>170</v>
      </c>
      <c r="I121" s="74" t="n">
        <f aca="false">INDEX($C$5:$C$26,MATCH(G121,$A$5:$A$26,0))</f>
        <v>236.67</v>
      </c>
      <c r="J121" s="18" t="n">
        <f aca="false">H121*I121</f>
        <v>40233.9</v>
      </c>
    </row>
    <row r="122" customFormat="false" ht="15" hidden="false" customHeight="false" outlineLevel="0" collapsed="false">
      <c r="E122" s="16" t="s">
        <v>42</v>
      </c>
      <c r="F122" s="16" t="s">
        <v>27</v>
      </c>
      <c r="G122" s="16" t="s">
        <v>173</v>
      </c>
      <c r="H122" s="73" t="n">
        <v>170</v>
      </c>
      <c r="I122" s="74" t="n">
        <f aca="false">INDEX($C$5:$C$26,MATCH(G122,$A$5:$A$26,0))</f>
        <v>224.175</v>
      </c>
      <c r="J122" s="18" t="n">
        <f aca="false">H122*I122</f>
        <v>38109.75</v>
      </c>
    </row>
    <row r="123" customFormat="false" ht="15" hidden="false" customHeight="false" outlineLevel="0" collapsed="false">
      <c r="E123" s="16" t="s">
        <v>42</v>
      </c>
      <c r="F123" s="16" t="s">
        <v>27</v>
      </c>
      <c r="G123" s="16" t="s">
        <v>175</v>
      </c>
      <c r="H123" s="73" t="n">
        <v>55</v>
      </c>
      <c r="I123" s="74" t="n">
        <f aca="false">INDEX($C$5:$C$26,MATCH(G123,$A$5:$A$26,0))</f>
        <v>206.535</v>
      </c>
      <c r="J123" s="18" t="n">
        <f aca="false">H123*I123</f>
        <v>11359.425</v>
      </c>
    </row>
    <row r="124" customFormat="false" ht="15" hidden="false" customHeight="false" outlineLevel="0" collapsed="false">
      <c r="E124" s="16" t="s">
        <v>42</v>
      </c>
      <c r="F124" s="16" t="s">
        <v>191</v>
      </c>
      <c r="G124" s="16" t="s">
        <v>169</v>
      </c>
      <c r="H124" s="73" t="n">
        <v>120</v>
      </c>
      <c r="I124" s="74" t="n">
        <f aca="false">INDEX($C$5:$C$26,MATCH(G124,$A$5:$A$26,0))</f>
        <v>256.515</v>
      </c>
      <c r="J124" s="18" t="n">
        <f aca="false">H124*I124</f>
        <v>30781.8</v>
      </c>
    </row>
    <row r="125" customFormat="false" ht="15" hidden="false" customHeight="false" outlineLevel="0" collapsed="false">
      <c r="E125" s="16" t="s">
        <v>42</v>
      </c>
      <c r="F125" s="16" t="s">
        <v>191</v>
      </c>
      <c r="G125" s="16" t="s">
        <v>171</v>
      </c>
      <c r="H125" s="73" t="n">
        <v>265</v>
      </c>
      <c r="I125" s="74" t="n">
        <f aca="false">INDEX($C$5:$C$26,MATCH(G125,$A$5:$A$26,0))</f>
        <v>236.67</v>
      </c>
      <c r="J125" s="18" t="n">
        <f aca="false">H125*I125</f>
        <v>62717.55</v>
      </c>
    </row>
    <row r="126" customFormat="false" ht="15" hidden="false" customHeight="false" outlineLevel="0" collapsed="false">
      <c r="E126" s="16" t="s">
        <v>42</v>
      </c>
      <c r="F126" s="16" t="s">
        <v>191</v>
      </c>
      <c r="G126" s="16" t="s">
        <v>173</v>
      </c>
      <c r="H126" s="73" t="n">
        <v>265</v>
      </c>
      <c r="I126" s="74" t="n">
        <f aca="false">INDEX($C$5:$C$26,MATCH(G126,$A$5:$A$26,0))</f>
        <v>224.175</v>
      </c>
      <c r="J126" s="18" t="n">
        <f aca="false">H126*I126</f>
        <v>59406.375</v>
      </c>
    </row>
    <row r="127" customFormat="false" ht="15" hidden="false" customHeight="false" outlineLevel="0" collapsed="false">
      <c r="E127" s="16" t="s">
        <v>42</v>
      </c>
      <c r="F127" s="16" t="s">
        <v>191</v>
      </c>
      <c r="G127" s="16" t="s">
        <v>175</v>
      </c>
      <c r="H127" s="73" t="n">
        <v>85</v>
      </c>
      <c r="I127" s="74" t="n">
        <f aca="false">INDEX($C$5:$C$26,MATCH(G127,$A$5:$A$26,0))</f>
        <v>206.535</v>
      </c>
      <c r="J127" s="18" t="n">
        <f aca="false">H127*I127</f>
        <v>17555.475</v>
      </c>
    </row>
    <row r="128" customFormat="false" ht="15" hidden="false" customHeight="false" outlineLevel="0" collapsed="false">
      <c r="E128" s="16" t="s">
        <v>42</v>
      </c>
      <c r="F128" s="16" t="s">
        <v>216</v>
      </c>
      <c r="G128" s="16" t="s">
        <v>169</v>
      </c>
      <c r="H128" s="73" t="n">
        <v>45</v>
      </c>
      <c r="I128" s="74" t="n">
        <f aca="false">INDEX($C$5:$C$26,MATCH(G128,$A$5:$A$26,0))</f>
        <v>256.515</v>
      </c>
      <c r="J128" s="18" t="n">
        <f aca="false">H128*I128</f>
        <v>11543.175</v>
      </c>
    </row>
    <row r="129" customFormat="false" ht="15" hidden="false" customHeight="false" outlineLevel="0" collapsed="false">
      <c r="E129" s="16" t="s">
        <v>42</v>
      </c>
      <c r="F129" s="16" t="s">
        <v>216</v>
      </c>
      <c r="G129" s="16" t="s">
        <v>171</v>
      </c>
      <c r="H129" s="73" t="n">
        <v>85</v>
      </c>
      <c r="I129" s="74" t="n">
        <f aca="false">INDEX($C$5:$C$26,MATCH(G129,$A$5:$A$26,0))</f>
        <v>236.67</v>
      </c>
      <c r="J129" s="18" t="n">
        <f aca="false">H129*I129</f>
        <v>20116.95</v>
      </c>
    </row>
    <row r="130" customFormat="false" ht="15" hidden="false" customHeight="false" outlineLevel="0" collapsed="false">
      <c r="E130" s="16" t="s">
        <v>42</v>
      </c>
      <c r="F130" s="16" t="s">
        <v>216</v>
      </c>
      <c r="G130" s="16" t="s">
        <v>173</v>
      </c>
      <c r="H130" s="73" t="n">
        <v>75</v>
      </c>
      <c r="I130" s="74" t="n">
        <f aca="false">INDEX($C$5:$C$26,MATCH(G130,$A$5:$A$26,0))</f>
        <v>224.175</v>
      </c>
      <c r="J130" s="18" t="n">
        <f aca="false">H130*I130</f>
        <v>16813.125</v>
      </c>
    </row>
    <row r="131" customFormat="false" ht="15" hidden="false" customHeight="false" outlineLevel="0" collapsed="false">
      <c r="E131" s="16" t="s">
        <v>42</v>
      </c>
      <c r="F131" s="16" t="s">
        <v>216</v>
      </c>
      <c r="G131" s="16" t="s">
        <v>175</v>
      </c>
      <c r="H131" s="73" t="n">
        <v>35</v>
      </c>
      <c r="I131" s="74" t="n">
        <f aca="false">INDEX($C$5:$C$26,MATCH(G131,$A$5:$A$26,0))</f>
        <v>206.535</v>
      </c>
      <c r="J131" s="18" t="n">
        <f aca="false">H131*I131</f>
        <v>7228.725</v>
      </c>
    </row>
    <row r="132" customFormat="false" ht="15" hidden="false" customHeight="false" outlineLevel="0" collapsed="false">
      <c r="E132" s="16" t="s">
        <v>42</v>
      </c>
      <c r="F132" s="16" t="s">
        <v>214</v>
      </c>
      <c r="G132" s="16" t="s">
        <v>169</v>
      </c>
      <c r="H132" s="73" t="n">
        <v>40</v>
      </c>
      <c r="I132" s="74" t="n">
        <f aca="false">INDEX($C$5:$C$26,MATCH(G132,$A$5:$A$26,0))</f>
        <v>256.515</v>
      </c>
      <c r="J132" s="18" t="n">
        <f aca="false">H132*I132</f>
        <v>10260.6</v>
      </c>
    </row>
    <row r="133" customFormat="false" ht="15" hidden="false" customHeight="false" outlineLevel="0" collapsed="false">
      <c r="E133" s="16" t="s">
        <v>42</v>
      </c>
      <c r="F133" s="16" t="s">
        <v>214</v>
      </c>
      <c r="G133" s="16" t="s">
        <v>171</v>
      </c>
      <c r="H133" s="73" t="n">
        <v>75</v>
      </c>
      <c r="I133" s="74" t="n">
        <f aca="false">INDEX($C$5:$C$26,MATCH(G133,$A$5:$A$26,0))</f>
        <v>236.67</v>
      </c>
      <c r="J133" s="18" t="n">
        <f aca="false">H133*I133</f>
        <v>17750.25</v>
      </c>
    </row>
    <row r="134" customFormat="false" ht="15" hidden="false" customHeight="false" outlineLevel="0" collapsed="false">
      <c r="E134" s="16" t="s">
        <v>42</v>
      </c>
      <c r="F134" s="16" t="s">
        <v>214</v>
      </c>
      <c r="G134" s="16" t="s">
        <v>173</v>
      </c>
      <c r="H134" s="73" t="n">
        <v>65</v>
      </c>
      <c r="I134" s="74" t="n">
        <f aca="false">INDEX($C$5:$C$26,MATCH(G134,$A$5:$A$26,0))</f>
        <v>224.175</v>
      </c>
      <c r="J134" s="18" t="n">
        <f aca="false">H134*I134</f>
        <v>14571.375</v>
      </c>
    </row>
    <row r="135" customFormat="false" ht="15" hidden="false" customHeight="false" outlineLevel="0" collapsed="false">
      <c r="E135" s="16" t="s">
        <v>42</v>
      </c>
      <c r="F135" s="16" t="s">
        <v>214</v>
      </c>
      <c r="G135" s="16" t="s">
        <v>175</v>
      </c>
      <c r="H135" s="73" t="n">
        <v>35</v>
      </c>
      <c r="I135" s="74" t="n">
        <f aca="false">INDEX($C$5:$C$26,MATCH(G135,$A$5:$A$26,0))</f>
        <v>206.535</v>
      </c>
      <c r="J135" s="18" t="n">
        <f aca="false">H135*I135</f>
        <v>7228.725</v>
      </c>
    </row>
    <row r="136" customFormat="false" ht="15" hidden="false" customHeight="false" outlineLevel="0" collapsed="false">
      <c r="E136" s="16" t="s">
        <v>42</v>
      </c>
      <c r="F136" s="16" t="s">
        <v>215</v>
      </c>
      <c r="G136" s="16" t="s">
        <v>169</v>
      </c>
      <c r="H136" s="73" t="n">
        <v>30</v>
      </c>
      <c r="I136" s="74" t="n">
        <f aca="false">INDEX($C$5:$C$26,MATCH(G136,$A$5:$A$26,0))</f>
        <v>256.515</v>
      </c>
      <c r="J136" s="18" t="n">
        <f aca="false">H136*I136</f>
        <v>7695.45</v>
      </c>
    </row>
    <row r="137" customFormat="false" ht="15" hidden="false" customHeight="false" outlineLevel="0" collapsed="false">
      <c r="E137" s="16" t="s">
        <v>42</v>
      </c>
      <c r="F137" s="16" t="s">
        <v>215</v>
      </c>
      <c r="G137" s="16" t="s">
        <v>171</v>
      </c>
      <c r="H137" s="73" t="n">
        <v>40</v>
      </c>
      <c r="I137" s="74" t="n">
        <f aca="false">INDEX($C$5:$C$26,MATCH(G137,$A$5:$A$26,0))</f>
        <v>236.67</v>
      </c>
      <c r="J137" s="18" t="n">
        <f aca="false">H137*I137</f>
        <v>9466.8</v>
      </c>
    </row>
    <row r="138" customFormat="false" ht="15" hidden="false" customHeight="false" outlineLevel="0" collapsed="false">
      <c r="E138" s="16" t="s">
        <v>42</v>
      </c>
      <c r="F138" s="16" t="s">
        <v>215</v>
      </c>
      <c r="G138" s="16" t="s">
        <v>173</v>
      </c>
      <c r="H138" s="73" t="n">
        <v>40</v>
      </c>
      <c r="I138" s="74" t="n">
        <f aca="false">INDEX($C$5:$C$26,MATCH(G138,$A$5:$A$26,0))</f>
        <v>224.175</v>
      </c>
      <c r="J138" s="18" t="n">
        <f aca="false">H138*I138</f>
        <v>8967</v>
      </c>
    </row>
    <row r="139" customFormat="false" ht="15" hidden="false" customHeight="false" outlineLevel="0" collapsed="false">
      <c r="E139" s="16" t="s">
        <v>42</v>
      </c>
      <c r="F139" s="16" t="s">
        <v>215</v>
      </c>
      <c r="G139" s="16" t="s">
        <v>175</v>
      </c>
      <c r="H139" s="73" t="n">
        <v>30</v>
      </c>
      <c r="I139" s="74" t="n">
        <f aca="false">INDEX($C$5:$C$26,MATCH(G139,$A$5:$A$26,0))</f>
        <v>206.535</v>
      </c>
      <c r="J139" s="18" t="n">
        <f aca="false">H139*I139</f>
        <v>6196.05</v>
      </c>
    </row>
    <row r="140" customFormat="false" ht="15" hidden="false" customHeight="false" outlineLevel="0" collapsed="false">
      <c r="E140" s="16" t="s">
        <v>44</v>
      </c>
      <c r="F140" s="16" t="s">
        <v>25</v>
      </c>
      <c r="G140" s="16" t="s">
        <v>171</v>
      </c>
      <c r="H140" s="73" t="n">
        <v>65</v>
      </c>
      <c r="I140" s="74" t="n">
        <f aca="false">INDEX($C$5:$C$26,MATCH(G140,$A$5:$A$26,0))</f>
        <v>236.67</v>
      </c>
      <c r="J140" s="18" t="n">
        <f aca="false">H140*I140</f>
        <v>15383.55</v>
      </c>
    </row>
    <row r="141" customFormat="false" ht="15" hidden="false" customHeight="false" outlineLevel="0" collapsed="false">
      <c r="E141" s="16" t="s">
        <v>44</v>
      </c>
      <c r="F141" s="16" t="s">
        <v>25</v>
      </c>
      <c r="G141" s="16" t="s">
        <v>173</v>
      </c>
      <c r="H141" s="73" t="n">
        <v>65</v>
      </c>
      <c r="I141" s="74" t="n">
        <f aca="false">INDEX($C$5:$C$26,MATCH(G141,$A$5:$A$26,0))</f>
        <v>224.175</v>
      </c>
      <c r="J141" s="18" t="n">
        <f aca="false">H141*I141</f>
        <v>14571.375</v>
      </c>
    </row>
    <row r="142" customFormat="false" ht="15" hidden="false" customHeight="false" outlineLevel="0" collapsed="false">
      <c r="E142" s="16" t="s">
        <v>44</v>
      </c>
      <c r="F142" s="16" t="s">
        <v>25</v>
      </c>
      <c r="G142" s="16" t="s">
        <v>175</v>
      </c>
      <c r="H142" s="73" t="n">
        <v>35</v>
      </c>
      <c r="I142" s="74" t="n">
        <f aca="false">INDEX($C$5:$C$26,MATCH(G142,$A$5:$A$26,0))</f>
        <v>206.535</v>
      </c>
      <c r="J142" s="18" t="n">
        <f aca="false">H142*I142</f>
        <v>7228.725</v>
      </c>
    </row>
    <row r="143" customFormat="false" ht="15" hidden="false" customHeight="false" outlineLevel="0" collapsed="false">
      <c r="E143" s="16" t="s">
        <v>44</v>
      </c>
      <c r="F143" s="16" t="s">
        <v>27</v>
      </c>
      <c r="G143" s="16" t="s">
        <v>171</v>
      </c>
      <c r="H143" s="73" t="n">
        <v>150</v>
      </c>
      <c r="I143" s="74" t="n">
        <f aca="false">INDEX($C$5:$C$26,MATCH(G143,$A$5:$A$26,0))</f>
        <v>236.67</v>
      </c>
      <c r="J143" s="18" t="n">
        <f aca="false">H143*I143</f>
        <v>35500.5</v>
      </c>
    </row>
    <row r="144" customFormat="false" ht="15" hidden="false" customHeight="false" outlineLevel="0" collapsed="false">
      <c r="E144" s="16" t="s">
        <v>44</v>
      </c>
      <c r="F144" s="16" t="s">
        <v>27</v>
      </c>
      <c r="G144" s="16" t="s">
        <v>173</v>
      </c>
      <c r="H144" s="73" t="n">
        <v>170</v>
      </c>
      <c r="I144" s="74" t="n">
        <f aca="false">INDEX($C$5:$C$26,MATCH(G144,$A$5:$A$26,0))</f>
        <v>224.175</v>
      </c>
      <c r="J144" s="18" t="n">
        <f aca="false">H144*I144</f>
        <v>38109.75</v>
      </c>
    </row>
    <row r="145" customFormat="false" ht="15" hidden="false" customHeight="false" outlineLevel="0" collapsed="false">
      <c r="E145" s="16" t="s">
        <v>44</v>
      </c>
      <c r="F145" s="16" t="s">
        <v>27</v>
      </c>
      <c r="G145" s="16" t="s">
        <v>175</v>
      </c>
      <c r="H145" s="73" t="n">
        <v>75</v>
      </c>
      <c r="I145" s="74" t="n">
        <f aca="false">INDEX($C$5:$C$26,MATCH(G145,$A$5:$A$26,0))</f>
        <v>206.535</v>
      </c>
      <c r="J145" s="18" t="n">
        <f aca="false">H145*I145</f>
        <v>15490.125</v>
      </c>
    </row>
    <row r="146" customFormat="false" ht="15" hidden="false" customHeight="false" outlineLevel="0" collapsed="false">
      <c r="E146" s="16" t="s">
        <v>44</v>
      </c>
      <c r="F146" s="16" t="s">
        <v>191</v>
      </c>
      <c r="G146" s="16" t="s">
        <v>171</v>
      </c>
      <c r="H146" s="73" t="n">
        <v>235</v>
      </c>
      <c r="I146" s="74" t="n">
        <f aca="false">INDEX($C$5:$C$26,MATCH(G146,$A$5:$A$26,0))</f>
        <v>236.67</v>
      </c>
      <c r="J146" s="18" t="n">
        <f aca="false">H146*I146</f>
        <v>55617.45</v>
      </c>
    </row>
    <row r="147" customFormat="false" ht="15" hidden="false" customHeight="false" outlineLevel="0" collapsed="false">
      <c r="E147" s="16" t="s">
        <v>44</v>
      </c>
      <c r="F147" s="16" t="s">
        <v>191</v>
      </c>
      <c r="G147" s="16" t="s">
        <v>173</v>
      </c>
      <c r="H147" s="73" t="n">
        <v>235</v>
      </c>
      <c r="I147" s="74" t="n">
        <f aca="false">INDEX($C$5:$C$26,MATCH(G147,$A$5:$A$26,0))</f>
        <v>224.175</v>
      </c>
      <c r="J147" s="18" t="n">
        <f aca="false">H147*I147</f>
        <v>52681.125</v>
      </c>
    </row>
    <row r="148" customFormat="false" ht="15" hidden="false" customHeight="false" outlineLevel="0" collapsed="false">
      <c r="E148" s="16" t="s">
        <v>44</v>
      </c>
      <c r="F148" s="16" t="s">
        <v>191</v>
      </c>
      <c r="G148" s="16" t="s">
        <v>175</v>
      </c>
      <c r="H148" s="73" t="n">
        <v>105</v>
      </c>
      <c r="I148" s="74" t="n">
        <f aca="false">INDEX($C$5:$C$26,MATCH(G148,$A$5:$A$26,0))</f>
        <v>206.535</v>
      </c>
      <c r="J148" s="18" t="n">
        <f aca="false">H148*I148</f>
        <v>21686.175</v>
      </c>
    </row>
    <row r="149" customFormat="false" ht="15" hidden="false" customHeight="false" outlineLevel="0" collapsed="false">
      <c r="E149" s="16" t="s">
        <v>44</v>
      </c>
      <c r="F149" s="16" t="s">
        <v>216</v>
      </c>
      <c r="G149" s="16" t="s">
        <v>171</v>
      </c>
      <c r="H149" s="73" t="n">
        <v>60</v>
      </c>
      <c r="I149" s="74" t="n">
        <f aca="false">INDEX($C$5:$C$26,MATCH(G149,$A$5:$A$26,0))</f>
        <v>236.67</v>
      </c>
      <c r="J149" s="18" t="n">
        <f aca="false">H149*I149</f>
        <v>14200.2</v>
      </c>
    </row>
    <row r="150" customFormat="false" ht="15" hidden="false" customHeight="false" outlineLevel="0" collapsed="false">
      <c r="E150" s="16" t="s">
        <v>44</v>
      </c>
      <c r="F150" s="16" t="s">
        <v>216</v>
      </c>
      <c r="G150" s="16" t="s">
        <v>173</v>
      </c>
      <c r="H150" s="73" t="n">
        <v>60</v>
      </c>
      <c r="I150" s="74" t="n">
        <f aca="false">INDEX($C$5:$C$26,MATCH(G150,$A$5:$A$26,0))</f>
        <v>224.175</v>
      </c>
      <c r="J150" s="18" t="n">
        <f aca="false">H150*I150</f>
        <v>13450.5</v>
      </c>
    </row>
    <row r="151" customFormat="false" ht="15" hidden="false" customHeight="false" outlineLevel="0" collapsed="false">
      <c r="E151" s="16" t="s">
        <v>44</v>
      </c>
      <c r="F151" s="16" t="s">
        <v>216</v>
      </c>
      <c r="G151" s="16" t="s">
        <v>175</v>
      </c>
      <c r="H151" s="73" t="n">
        <v>45</v>
      </c>
      <c r="I151" s="74" t="n">
        <f aca="false">INDEX($C$5:$C$26,MATCH(G151,$A$5:$A$26,0))</f>
        <v>206.535</v>
      </c>
      <c r="J151" s="18" t="n">
        <f aca="false">H151*I151</f>
        <v>9294.075</v>
      </c>
    </row>
    <row r="152" customFormat="false" ht="15" hidden="false" customHeight="false" outlineLevel="0" collapsed="false">
      <c r="E152" s="16" t="s">
        <v>44</v>
      </c>
      <c r="F152" s="16" t="s">
        <v>214</v>
      </c>
      <c r="G152" s="16" t="s">
        <v>169</v>
      </c>
      <c r="H152" s="73" t="n">
        <v>45</v>
      </c>
      <c r="I152" s="74" t="n">
        <f aca="false">INDEX($C$5:$C$26,MATCH(G152,$A$5:$A$26,0))</f>
        <v>256.515</v>
      </c>
      <c r="J152" s="18" t="n">
        <f aca="false">H152*I152</f>
        <v>11543.175</v>
      </c>
    </row>
    <row r="153" customFormat="false" ht="15" hidden="false" customHeight="false" outlineLevel="0" collapsed="false">
      <c r="E153" s="16" t="s">
        <v>44</v>
      </c>
      <c r="F153" s="16" t="s">
        <v>214</v>
      </c>
      <c r="G153" s="16" t="s">
        <v>171</v>
      </c>
      <c r="H153" s="73" t="n">
        <v>75</v>
      </c>
      <c r="I153" s="74" t="n">
        <f aca="false">INDEX($C$5:$C$26,MATCH(G153,$A$5:$A$26,0))</f>
        <v>236.67</v>
      </c>
      <c r="J153" s="18" t="n">
        <f aca="false">H153*I153</f>
        <v>17750.25</v>
      </c>
    </row>
    <row r="154" customFormat="false" ht="15" hidden="false" customHeight="false" outlineLevel="0" collapsed="false">
      <c r="E154" s="16" t="s">
        <v>44</v>
      </c>
      <c r="F154" s="16" t="s">
        <v>214</v>
      </c>
      <c r="G154" s="16" t="s">
        <v>173</v>
      </c>
      <c r="H154" s="73" t="n">
        <v>75</v>
      </c>
      <c r="I154" s="74" t="n">
        <f aca="false">INDEX($C$5:$C$26,MATCH(G154,$A$5:$A$26,0))</f>
        <v>224.175</v>
      </c>
      <c r="J154" s="18" t="n">
        <f aca="false">H154*I154</f>
        <v>16813.125</v>
      </c>
    </row>
    <row r="155" customFormat="false" ht="15" hidden="false" customHeight="false" outlineLevel="0" collapsed="false">
      <c r="E155" s="16" t="s">
        <v>44</v>
      </c>
      <c r="F155" s="16" t="s">
        <v>214</v>
      </c>
      <c r="G155" s="16" t="s">
        <v>175</v>
      </c>
      <c r="H155" s="73" t="n">
        <v>45</v>
      </c>
      <c r="I155" s="74" t="n">
        <f aca="false">INDEX($C$5:$C$26,MATCH(G155,$A$5:$A$26,0))</f>
        <v>206.535</v>
      </c>
      <c r="J155" s="18" t="n">
        <f aca="false">H155*I155</f>
        <v>9294.075</v>
      </c>
    </row>
    <row r="156" customFormat="false" ht="15" hidden="false" customHeight="false" outlineLevel="0" collapsed="false">
      <c r="E156" s="16" t="s">
        <v>44</v>
      </c>
      <c r="F156" s="16" t="s">
        <v>215</v>
      </c>
      <c r="G156" s="16" t="s">
        <v>169</v>
      </c>
      <c r="H156" s="73" t="n">
        <v>40</v>
      </c>
      <c r="I156" s="74" t="n">
        <f aca="false">INDEX($C$5:$C$26,MATCH(G156,$A$5:$A$26,0))</f>
        <v>256.515</v>
      </c>
      <c r="J156" s="18" t="n">
        <f aca="false">H156*I156</f>
        <v>10260.6</v>
      </c>
    </row>
    <row r="157" customFormat="false" ht="15" hidden="false" customHeight="false" outlineLevel="0" collapsed="false">
      <c r="E157" s="16" t="s">
        <v>44</v>
      </c>
      <c r="F157" s="16" t="s">
        <v>215</v>
      </c>
      <c r="G157" s="16" t="s">
        <v>171</v>
      </c>
      <c r="H157" s="73" t="n">
        <v>55</v>
      </c>
      <c r="I157" s="74" t="n">
        <f aca="false">INDEX($C$5:$C$26,MATCH(G157,$A$5:$A$26,0))</f>
        <v>236.67</v>
      </c>
      <c r="J157" s="18" t="n">
        <f aca="false">H157*I157</f>
        <v>13016.85</v>
      </c>
    </row>
    <row r="158" customFormat="false" ht="15" hidden="false" customHeight="false" outlineLevel="0" collapsed="false">
      <c r="E158" s="16" t="s">
        <v>44</v>
      </c>
      <c r="F158" s="16" t="s">
        <v>215</v>
      </c>
      <c r="G158" s="16" t="s">
        <v>173</v>
      </c>
      <c r="H158" s="73" t="n">
        <v>55</v>
      </c>
      <c r="I158" s="74" t="n">
        <f aca="false">INDEX($C$5:$C$26,MATCH(G158,$A$5:$A$26,0))</f>
        <v>224.175</v>
      </c>
      <c r="J158" s="18" t="n">
        <f aca="false">H158*I158</f>
        <v>12329.625</v>
      </c>
    </row>
    <row r="159" customFormat="false" ht="15" hidden="false" customHeight="false" outlineLevel="0" collapsed="false">
      <c r="E159" s="16" t="s">
        <v>44</v>
      </c>
      <c r="F159" s="16" t="s">
        <v>215</v>
      </c>
      <c r="G159" s="16" t="s">
        <v>175</v>
      </c>
      <c r="H159" s="73" t="n">
        <v>40</v>
      </c>
      <c r="I159" s="74" t="n">
        <f aca="false">INDEX($C$5:$C$26,MATCH(G159,$A$5:$A$26,0))</f>
        <v>206.535</v>
      </c>
      <c r="J159" s="18" t="n">
        <f aca="false">H159*I159</f>
        <v>8261.4</v>
      </c>
    </row>
    <row r="160" customFormat="false" ht="15" hidden="false" customHeight="false" outlineLevel="0" collapsed="false">
      <c r="E160" s="16" t="s">
        <v>141</v>
      </c>
      <c r="F160" s="16" t="s">
        <v>191</v>
      </c>
      <c r="G160" s="16" t="s">
        <v>169</v>
      </c>
      <c r="H160" s="73" t="n">
        <v>75</v>
      </c>
      <c r="I160" s="74" t="n">
        <f aca="false">INDEX($C$5:$C$26,MATCH(G160,$A$5:$A$26,0))</f>
        <v>256.515</v>
      </c>
      <c r="J160" s="18" t="n">
        <f aca="false">H160*I160</f>
        <v>19238.625</v>
      </c>
    </row>
    <row r="161" customFormat="false" ht="15" hidden="false" customHeight="false" outlineLevel="0" collapsed="false">
      <c r="E161" s="16" t="s">
        <v>141</v>
      </c>
      <c r="F161" s="16" t="s">
        <v>191</v>
      </c>
      <c r="G161" s="16" t="s">
        <v>171</v>
      </c>
      <c r="H161" s="73" t="n">
        <v>210</v>
      </c>
      <c r="I161" s="74" t="n">
        <f aca="false">INDEX($C$5:$C$26,MATCH(G161,$A$5:$A$26,0))</f>
        <v>236.67</v>
      </c>
      <c r="J161" s="18" t="n">
        <f aca="false">H161*I161</f>
        <v>49700.7</v>
      </c>
    </row>
    <row r="162" customFormat="false" ht="15" hidden="false" customHeight="false" outlineLevel="0" collapsed="false">
      <c r="E162" s="16" t="s">
        <v>141</v>
      </c>
      <c r="F162" s="16" t="s">
        <v>191</v>
      </c>
      <c r="G162" s="16" t="s">
        <v>173</v>
      </c>
      <c r="H162" s="73" t="n">
        <v>235</v>
      </c>
      <c r="I162" s="74" t="n">
        <f aca="false">INDEX($C$5:$C$26,MATCH(G162,$A$5:$A$26,0))</f>
        <v>224.175</v>
      </c>
      <c r="J162" s="18" t="n">
        <f aca="false">H162*I162</f>
        <v>52681.125</v>
      </c>
    </row>
    <row r="163" customFormat="false" ht="15" hidden="false" customHeight="false" outlineLevel="0" collapsed="false">
      <c r="E163" s="16" t="s">
        <v>141</v>
      </c>
      <c r="F163" s="16" t="s">
        <v>191</v>
      </c>
      <c r="G163" s="16" t="s">
        <v>175</v>
      </c>
      <c r="H163" s="73" t="n">
        <v>75</v>
      </c>
      <c r="I163" s="74" t="n">
        <f aca="false">INDEX($C$5:$C$26,MATCH(G163,$A$5:$A$26,0))</f>
        <v>206.535</v>
      </c>
      <c r="J163" s="18" t="n">
        <f aca="false">H163*I163</f>
        <v>15490.125</v>
      </c>
    </row>
    <row r="164" customFormat="false" ht="15" hidden="false" customHeight="false" outlineLevel="0" collapsed="false">
      <c r="E164" s="16" t="s">
        <v>141</v>
      </c>
      <c r="F164" s="16" t="s">
        <v>216</v>
      </c>
      <c r="G164" s="16" t="s">
        <v>169</v>
      </c>
      <c r="H164" s="73" t="n">
        <v>40</v>
      </c>
      <c r="I164" s="74" t="n">
        <f aca="false">INDEX($C$5:$C$26,MATCH(G164,$A$5:$A$26,0))</f>
        <v>256.515</v>
      </c>
      <c r="J164" s="18" t="n">
        <f aca="false">H164*I164</f>
        <v>10260.6</v>
      </c>
    </row>
    <row r="165" customFormat="false" ht="15" hidden="false" customHeight="false" outlineLevel="0" collapsed="false">
      <c r="E165" s="16" t="s">
        <v>141</v>
      </c>
      <c r="F165" s="16" t="s">
        <v>216</v>
      </c>
      <c r="G165" s="16" t="s">
        <v>171</v>
      </c>
      <c r="H165" s="73" t="n">
        <v>100</v>
      </c>
      <c r="I165" s="74" t="n">
        <f aca="false">INDEX($C$5:$C$26,MATCH(G165,$A$5:$A$26,0))</f>
        <v>236.67</v>
      </c>
      <c r="J165" s="18" t="n">
        <f aca="false">H165*I165</f>
        <v>23667</v>
      </c>
    </row>
    <row r="166" customFormat="false" ht="15" hidden="false" customHeight="false" outlineLevel="0" collapsed="false">
      <c r="E166" s="16" t="s">
        <v>141</v>
      </c>
      <c r="F166" s="16" t="s">
        <v>216</v>
      </c>
      <c r="G166" s="16" t="s">
        <v>173</v>
      </c>
      <c r="H166" s="73" t="n">
        <v>120</v>
      </c>
      <c r="I166" s="74" t="n">
        <f aca="false">INDEX($C$5:$C$26,MATCH(G166,$A$5:$A$26,0))</f>
        <v>224.175</v>
      </c>
      <c r="J166" s="18" t="n">
        <f aca="false">H166*I166</f>
        <v>26901</v>
      </c>
    </row>
    <row r="167" customFormat="false" ht="15" hidden="false" customHeight="false" outlineLevel="0" collapsed="false">
      <c r="E167" s="16" t="s">
        <v>141</v>
      </c>
      <c r="F167" s="16" t="s">
        <v>216</v>
      </c>
      <c r="G167" s="16" t="s">
        <v>175</v>
      </c>
      <c r="H167" s="73" t="n">
        <v>45</v>
      </c>
      <c r="I167" s="74" t="n">
        <f aca="false">INDEX($C$5:$C$26,MATCH(G167,$A$5:$A$26,0))</f>
        <v>206.535</v>
      </c>
      <c r="J167" s="18" t="n">
        <f aca="false">H167*I167</f>
        <v>9294.075</v>
      </c>
    </row>
    <row r="168" customFormat="false" ht="15" hidden="false" customHeight="false" outlineLevel="0" collapsed="false">
      <c r="E168" s="16" t="s">
        <v>141</v>
      </c>
      <c r="F168" s="16" t="s">
        <v>214</v>
      </c>
      <c r="G168" s="16" t="s">
        <v>169</v>
      </c>
      <c r="H168" s="73" t="n">
        <v>45</v>
      </c>
      <c r="I168" s="74" t="n">
        <f aca="false">INDEX($C$5:$C$26,MATCH(G168,$A$5:$A$26,0))</f>
        <v>256.515</v>
      </c>
      <c r="J168" s="18" t="n">
        <f aca="false">H168*I168</f>
        <v>11543.175</v>
      </c>
    </row>
    <row r="169" customFormat="false" ht="15" hidden="false" customHeight="false" outlineLevel="0" collapsed="false">
      <c r="E169" s="16" t="s">
        <v>141</v>
      </c>
      <c r="F169" s="16" t="s">
        <v>214</v>
      </c>
      <c r="G169" s="16" t="s">
        <v>171</v>
      </c>
      <c r="H169" s="73" t="n">
        <v>105</v>
      </c>
      <c r="I169" s="74" t="n">
        <f aca="false">INDEX($C$5:$C$26,MATCH(G169,$A$5:$A$26,0))</f>
        <v>236.67</v>
      </c>
      <c r="J169" s="18" t="n">
        <f aca="false">H169*I169</f>
        <v>24850.35</v>
      </c>
    </row>
    <row r="170" customFormat="false" ht="15" hidden="false" customHeight="false" outlineLevel="0" collapsed="false">
      <c r="E170" s="16" t="s">
        <v>141</v>
      </c>
      <c r="F170" s="16" t="s">
        <v>214</v>
      </c>
      <c r="G170" s="16" t="s">
        <v>173</v>
      </c>
      <c r="H170" s="73" t="n">
        <v>130</v>
      </c>
      <c r="I170" s="74" t="n">
        <f aca="false">INDEX($C$5:$C$26,MATCH(G170,$A$5:$A$26,0))</f>
        <v>224.175</v>
      </c>
      <c r="J170" s="18" t="n">
        <f aca="false">H170*I170</f>
        <v>29142.75</v>
      </c>
    </row>
    <row r="171" customFormat="false" ht="15" hidden="false" customHeight="false" outlineLevel="0" collapsed="false">
      <c r="E171" s="16" t="s">
        <v>141</v>
      </c>
      <c r="F171" s="16" t="s">
        <v>214</v>
      </c>
      <c r="G171" s="16" t="s">
        <v>175</v>
      </c>
      <c r="H171" s="73" t="n">
        <v>65</v>
      </c>
      <c r="I171" s="74" t="n">
        <f aca="false">INDEX($C$5:$C$26,MATCH(G171,$A$5:$A$26,0))</f>
        <v>206.535</v>
      </c>
      <c r="J171" s="18" t="n">
        <f aca="false">H171*I171</f>
        <v>13424.775</v>
      </c>
    </row>
    <row r="172" customFormat="false" ht="15" hidden="false" customHeight="false" outlineLevel="0" collapsed="false">
      <c r="E172" s="16" t="s">
        <v>57</v>
      </c>
      <c r="F172" s="16" t="s">
        <v>27</v>
      </c>
      <c r="G172" s="16" t="s">
        <v>169</v>
      </c>
      <c r="H172" s="73" t="n">
        <v>45</v>
      </c>
      <c r="I172" s="74" t="n">
        <f aca="false">INDEX($C$5:$C$26,MATCH(G172,$A$5:$A$26,0))</f>
        <v>256.515</v>
      </c>
      <c r="J172" s="18" t="n">
        <f aca="false">H172*I172</f>
        <v>11543.175</v>
      </c>
    </row>
    <row r="173" customFormat="false" ht="15" hidden="false" customHeight="false" outlineLevel="0" collapsed="false">
      <c r="E173" s="16" t="s">
        <v>57</v>
      </c>
      <c r="F173" s="16" t="s">
        <v>27</v>
      </c>
      <c r="G173" s="16" t="s">
        <v>171</v>
      </c>
      <c r="H173" s="73" t="n">
        <v>120</v>
      </c>
      <c r="I173" s="74" t="n">
        <f aca="false">INDEX($C$5:$C$26,MATCH(G173,$A$5:$A$26,0))</f>
        <v>236.67</v>
      </c>
      <c r="J173" s="18" t="n">
        <f aca="false">H173*I173</f>
        <v>28400.4</v>
      </c>
    </row>
    <row r="174" customFormat="false" ht="15" hidden="false" customHeight="false" outlineLevel="0" collapsed="false">
      <c r="E174" s="16" t="s">
        <v>57</v>
      </c>
      <c r="F174" s="16" t="s">
        <v>27</v>
      </c>
      <c r="G174" s="16" t="s">
        <v>173</v>
      </c>
      <c r="H174" s="73" t="n">
        <v>130</v>
      </c>
      <c r="I174" s="74" t="n">
        <f aca="false">INDEX($C$5:$C$26,MATCH(G174,$A$5:$A$26,0))</f>
        <v>224.175</v>
      </c>
      <c r="J174" s="18" t="n">
        <f aca="false">H174*I174</f>
        <v>29142.75</v>
      </c>
    </row>
    <row r="175" customFormat="false" ht="15" hidden="false" customHeight="false" outlineLevel="0" collapsed="false">
      <c r="E175" s="16" t="s">
        <v>57</v>
      </c>
      <c r="F175" s="16" t="s">
        <v>27</v>
      </c>
      <c r="G175" s="16" t="s">
        <v>175</v>
      </c>
      <c r="H175" s="73" t="n">
        <v>55</v>
      </c>
      <c r="I175" s="74" t="n">
        <f aca="false">INDEX($C$5:$C$26,MATCH(G175,$A$5:$A$26,0))</f>
        <v>206.535</v>
      </c>
      <c r="J175" s="18" t="n">
        <f aca="false">H175*I175</f>
        <v>11359.425</v>
      </c>
    </row>
    <row r="176" customFormat="false" ht="15" hidden="false" customHeight="false" outlineLevel="0" collapsed="false">
      <c r="E176" s="16" t="s">
        <v>57</v>
      </c>
      <c r="F176" s="16" t="s">
        <v>191</v>
      </c>
      <c r="G176" s="16" t="s">
        <v>169</v>
      </c>
      <c r="H176" s="73" t="n">
        <v>105</v>
      </c>
      <c r="I176" s="74" t="n">
        <f aca="false">INDEX($C$5:$C$26,MATCH(G176,$A$5:$A$26,0))</f>
        <v>256.515</v>
      </c>
      <c r="J176" s="18" t="n">
        <f aca="false">H176*I176</f>
        <v>26934.075</v>
      </c>
    </row>
    <row r="177" customFormat="false" ht="15" hidden="false" customHeight="false" outlineLevel="0" collapsed="false">
      <c r="E177" s="16" t="s">
        <v>57</v>
      </c>
      <c r="F177" s="16" t="s">
        <v>191</v>
      </c>
      <c r="G177" s="16" t="s">
        <v>171</v>
      </c>
      <c r="H177" s="73" t="n">
        <v>265</v>
      </c>
      <c r="I177" s="74" t="n">
        <f aca="false">INDEX($C$5:$C$26,MATCH(G177,$A$5:$A$26,0))</f>
        <v>236.67</v>
      </c>
      <c r="J177" s="18" t="n">
        <f aca="false">H177*I177</f>
        <v>62717.55</v>
      </c>
    </row>
    <row r="178" customFormat="false" ht="15" hidden="false" customHeight="false" outlineLevel="0" collapsed="false">
      <c r="E178" s="16" t="s">
        <v>57</v>
      </c>
      <c r="F178" s="16" t="s">
        <v>191</v>
      </c>
      <c r="G178" s="16" t="s">
        <v>173</v>
      </c>
      <c r="H178" s="73" t="n">
        <v>325</v>
      </c>
      <c r="I178" s="74" t="n">
        <f aca="false">INDEX($C$5:$C$26,MATCH(G178,$A$5:$A$26,0))</f>
        <v>224.175</v>
      </c>
      <c r="J178" s="18" t="n">
        <f aca="false">H178*I178</f>
        <v>72856.875</v>
      </c>
    </row>
    <row r="179" customFormat="false" ht="15" hidden="false" customHeight="false" outlineLevel="0" collapsed="false">
      <c r="E179" s="16" t="s">
        <v>57</v>
      </c>
      <c r="F179" s="16" t="s">
        <v>191</v>
      </c>
      <c r="G179" s="16" t="s">
        <v>175</v>
      </c>
      <c r="H179" s="73" t="n">
        <v>120</v>
      </c>
      <c r="I179" s="74" t="n">
        <f aca="false">INDEX($C$5:$C$26,MATCH(G179,$A$5:$A$26,0))</f>
        <v>206.535</v>
      </c>
      <c r="J179" s="18" t="n">
        <f aca="false">H179*I179</f>
        <v>24784.2</v>
      </c>
    </row>
    <row r="180" customFormat="false" ht="15" hidden="false" customHeight="false" outlineLevel="0" collapsed="false">
      <c r="E180" s="16" t="s">
        <v>57</v>
      </c>
      <c r="F180" s="16" t="s">
        <v>216</v>
      </c>
      <c r="G180" s="16" t="s">
        <v>169</v>
      </c>
      <c r="H180" s="73" t="n">
        <v>45</v>
      </c>
      <c r="I180" s="74" t="n">
        <f aca="false">INDEX($C$5:$C$26,MATCH(G180,$A$5:$A$26,0))</f>
        <v>256.515</v>
      </c>
      <c r="J180" s="18" t="n">
        <f aca="false">H180*I180</f>
        <v>11543.175</v>
      </c>
    </row>
    <row r="181" customFormat="false" ht="15" hidden="false" customHeight="false" outlineLevel="0" collapsed="false">
      <c r="E181" s="16" t="s">
        <v>57</v>
      </c>
      <c r="F181" s="16" t="s">
        <v>216</v>
      </c>
      <c r="G181" s="16" t="s">
        <v>171</v>
      </c>
      <c r="H181" s="73" t="n">
        <v>125</v>
      </c>
      <c r="I181" s="74" t="n">
        <f aca="false">INDEX($C$5:$C$26,MATCH(G181,$A$5:$A$26,0))</f>
        <v>236.67</v>
      </c>
      <c r="J181" s="18" t="n">
        <f aca="false">H181*I181</f>
        <v>29583.75</v>
      </c>
    </row>
    <row r="182" customFormat="false" ht="15" hidden="false" customHeight="false" outlineLevel="0" collapsed="false">
      <c r="E182" s="16" t="s">
        <v>57</v>
      </c>
      <c r="F182" s="16" t="s">
        <v>216</v>
      </c>
      <c r="G182" s="16" t="s">
        <v>173</v>
      </c>
      <c r="H182" s="73" t="n">
        <v>135</v>
      </c>
      <c r="I182" s="74" t="n">
        <f aca="false">INDEX($C$5:$C$26,MATCH(G182,$A$5:$A$26,0))</f>
        <v>224.175</v>
      </c>
      <c r="J182" s="18" t="n">
        <f aca="false">H182*I182</f>
        <v>30263.625</v>
      </c>
    </row>
    <row r="183" customFormat="false" ht="15" hidden="false" customHeight="false" outlineLevel="0" collapsed="false">
      <c r="E183" s="16" t="s">
        <v>57</v>
      </c>
      <c r="F183" s="16" t="s">
        <v>216</v>
      </c>
      <c r="G183" s="16" t="s">
        <v>175</v>
      </c>
      <c r="H183" s="73" t="n">
        <v>65</v>
      </c>
      <c r="I183" s="74" t="n">
        <f aca="false">INDEX($C$5:$C$26,MATCH(G183,$A$5:$A$26,0))</f>
        <v>206.535</v>
      </c>
      <c r="J183" s="18" t="n">
        <f aca="false">H183*I183</f>
        <v>13424.775</v>
      </c>
    </row>
    <row r="184" customFormat="false" ht="15" hidden="false" customHeight="false" outlineLevel="0" collapsed="false">
      <c r="E184" s="16" t="s">
        <v>57</v>
      </c>
      <c r="F184" s="16" t="s">
        <v>214</v>
      </c>
      <c r="G184" s="16" t="s">
        <v>169</v>
      </c>
      <c r="H184" s="73" t="n">
        <v>45</v>
      </c>
      <c r="I184" s="74" t="n">
        <f aca="false">INDEX($C$5:$C$26,MATCH(G184,$A$5:$A$26,0))</f>
        <v>256.515</v>
      </c>
      <c r="J184" s="18" t="n">
        <f aca="false">H184*I184</f>
        <v>11543.175</v>
      </c>
    </row>
    <row r="185" customFormat="false" ht="15" hidden="false" customHeight="false" outlineLevel="0" collapsed="false">
      <c r="E185" s="16" t="s">
        <v>57</v>
      </c>
      <c r="F185" s="16" t="s">
        <v>214</v>
      </c>
      <c r="G185" s="16" t="s">
        <v>171</v>
      </c>
      <c r="H185" s="73" t="n">
        <v>105</v>
      </c>
      <c r="I185" s="74" t="n">
        <f aca="false">INDEX($C$5:$C$26,MATCH(G185,$A$5:$A$26,0))</f>
        <v>236.67</v>
      </c>
      <c r="J185" s="18" t="n">
        <f aca="false">H185*I185</f>
        <v>24850.35</v>
      </c>
    </row>
    <row r="186" customFormat="false" ht="15" hidden="false" customHeight="false" outlineLevel="0" collapsed="false">
      <c r="E186" s="16" t="s">
        <v>57</v>
      </c>
      <c r="F186" s="16" t="s">
        <v>214</v>
      </c>
      <c r="G186" s="16" t="s">
        <v>173</v>
      </c>
      <c r="H186" s="73" t="n">
        <v>140</v>
      </c>
      <c r="I186" s="74" t="n">
        <f aca="false">INDEX($C$5:$C$26,MATCH(G186,$A$5:$A$26,0))</f>
        <v>224.175</v>
      </c>
      <c r="J186" s="18" t="n">
        <f aca="false">H186*I186</f>
        <v>31384.5</v>
      </c>
    </row>
    <row r="187" customFormat="false" ht="15" hidden="false" customHeight="false" outlineLevel="0" collapsed="false">
      <c r="E187" s="16" t="s">
        <v>57</v>
      </c>
      <c r="F187" s="16" t="s">
        <v>214</v>
      </c>
      <c r="G187" s="16" t="s">
        <v>175</v>
      </c>
      <c r="H187" s="73" t="n">
        <v>65</v>
      </c>
      <c r="I187" s="74" t="n">
        <f aca="false">INDEX($C$5:$C$26,MATCH(G187,$A$5:$A$26,0))</f>
        <v>206.535</v>
      </c>
      <c r="J187" s="18" t="n">
        <f aca="false">H187*I187</f>
        <v>13424.775</v>
      </c>
    </row>
    <row r="188" customFormat="false" ht="15" hidden="false" customHeight="false" outlineLevel="0" collapsed="false">
      <c r="E188" s="16" t="s">
        <v>57</v>
      </c>
      <c r="F188" s="16" t="s">
        <v>215</v>
      </c>
      <c r="G188" s="16" t="s">
        <v>169</v>
      </c>
      <c r="H188" s="73" t="n">
        <v>45</v>
      </c>
      <c r="I188" s="74" t="n">
        <f aca="false">INDEX($C$5:$C$26,MATCH(G188,$A$5:$A$26,0))</f>
        <v>256.515</v>
      </c>
      <c r="J188" s="18" t="n">
        <f aca="false">H188*I188</f>
        <v>11543.175</v>
      </c>
    </row>
    <row r="189" customFormat="false" ht="15" hidden="false" customHeight="false" outlineLevel="0" collapsed="false">
      <c r="E189" s="16" t="s">
        <v>57</v>
      </c>
      <c r="F189" s="16" t="s">
        <v>215</v>
      </c>
      <c r="G189" s="16" t="s">
        <v>171</v>
      </c>
      <c r="H189" s="73" t="n">
        <v>85</v>
      </c>
      <c r="I189" s="74" t="n">
        <f aca="false">INDEX($C$5:$C$26,MATCH(G189,$A$5:$A$26,0))</f>
        <v>236.67</v>
      </c>
      <c r="J189" s="18" t="n">
        <f aca="false">H189*I189</f>
        <v>20116.95</v>
      </c>
    </row>
    <row r="190" customFormat="false" ht="15" hidden="false" customHeight="false" outlineLevel="0" collapsed="false">
      <c r="E190" s="16" t="s">
        <v>57</v>
      </c>
      <c r="F190" s="16" t="s">
        <v>215</v>
      </c>
      <c r="G190" s="16" t="s">
        <v>173</v>
      </c>
      <c r="H190" s="73" t="n">
        <v>90</v>
      </c>
      <c r="I190" s="74" t="n">
        <f aca="false">INDEX($C$5:$C$26,MATCH(G190,$A$5:$A$26,0))</f>
        <v>224.175</v>
      </c>
      <c r="J190" s="18" t="n">
        <f aca="false">H190*I190</f>
        <v>20175.75</v>
      </c>
    </row>
    <row r="191" customFormat="false" ht="15" hidden="false" customHeight="false" outlineLevel="0" collapsed="false">
      <c r="E191" s="16" t="s">
        <v>57</v>
      </c>
      <c r="F191" s="16" t="s">
        <v>215</v>
      </c>
      <c r="G191" s="16" t="s">
        <v>175</v>
      </c>
      <c r="H191" s="73" t="n">
        <v>40</v>
      </c>
      <c r="I191" s="74" t="n">
        <f aca="false">INDEX($C$5:$C$26,MATCH(G191,$A$5:$A$26,0))</f>
        <v>206.535</v>
      </c>
      <c r="J191" s="18" t="n">
        <f aca="false">H191*I191</f>
        <v>8261.4</v>
      </c>
    </row>
    <row r="192" customFormat="false" ht="15" hidden="false" customHeight="false" outlineLevel="0" collapsed="false">
      <c r="E192" s="16" t="s">
        <v>144</v>
      </c>
      <c r="F192" s="16" t="s">
        <v>191</v>
      </c>
      <c r="G192" s="16" t="s">
        <v>169</v>
      </c>
      <c r="H192" s="73" t="n">
        <v>65</v>
      </c>
      <c r="I192" s="74" t="n">
        <f aca="false">INDEX($C$5:$C$26,MATCH(G192,$A$5:$A$26,0))</f>
        <v>256.515</v>
      </c>
      <c r="J192" s="18" t="n">
        <f aca="false">H192*I192</f>
        <v>16673.475</v>
      </c>
    </row>
    <row r="193" customFormat="false" ht="15" hidden="false" customHeight="false" outlineLevel="0" collapsed="false">
      <c r="E193" s="16" t="s">
        <v>144</v>
      </c>
      <c r="F193" s="16" t="s">
        <v>191</v>
      </c>
      <c r="G193" s="16" t="s">
        <v>171</v>
      </c>
      <c r="H193" s="73" t="n">
        <v>140</v>
      </c>
      <c r="I193" s="74" t="n">
        <f aca="false">INDEX($C$5:$C$26,MATCH(G193,$A$5:$A$26,0))</f>
        <v>236.67</v>
      </c>
      <c r="J193" s="18" t="n">
        <f aca="false">H193*I193</f>
        <v>33133.8</v>
      </c>
    </row>
    <row r="194" customFormat="false" ht="15" hidden="false" customHeight="false" outlineLevel="0" collapsed="false">
      <c r="E194" s="16" t="s">
        <v>144</v>
      </c>
      <c r="F194" s="16" t="s">
        <v>191</v>
      </c>
      <c r="G194" s="16" t="s">
        <v>173</v>
      </c>
      <c r="H194" s="73" t="n">
        <v>150</v>
      </c>
      <c r="I194" s="74" t="n">
        <f aca="false">INDEX($C$5:$C$26,MATCH(G194,$A$5:$A$26,0))</f>
        <v>224.175</v>
      </c>
      <c r="J194" s="18" t="n">
        <f aca="false">H194*I194</f>
        <v>33626.25</v>
      </c>
    </row>
    <row r="195" customFormat="false" ht="15" hidden="false" customHeight="false" outlineLevel="0" collapsed="false">
      <c r="E195" s="16" t="s">
        <v>144</v>
      </c>
      <c r="F195" s="16" t="s">
        <v>191</v>
      </c>
      <c r="G195" s="16" t="s">
        <v>175</v>
      </c>
      <c r="H195" s="73" t="n">
        <v>45</v>
      </c>
      <c r="I195" s="74" t="n">
        <f aca="false">INDEX($C$5:$C$26,MATCH(G195,$A$5:$A$26,0))</f>
        <v>206.535</v>
      </c>
      <c r="J195" s="18" t="n">
        <f aca="false">H195*I195</f>
        <v>9294.075</v>
      </c>
    </row>
    <row r="196" customFormat="false" ht="15" hidden="false" customHeight="false" outlineLevel="0" collapsed="false">
      <c r="E196" s="16" t="s">
        <v>144</v>
      </c>
      <c r="F196" s="16" t="s">
        <v>216</v>
      </c>
      <c r="G196" s="16" t="s">
        <v>169</v>
      </c>
      <c r="H196" s="73" t="n">
        <v>40</v>
      </c>
      <c r="I196" s="74" t="n">
        <f aca="false">INDEX($C$5:$C$26,MATCH(G196,$A$5:$A$26,0))</f>
        <v>256.515</v>
      </c>
      <c r="J196" s="18" t="n">
        <f aca="false">H196*I196</f>
        <v>10260.6</v>
      </c>
    </row>
    <row r="197" customFormat="false" ht="15" hidden="false" customHeight="false" outlineLevel="0" collapsed="false">
      <c r="E197" s="16" t="s">
        <v>144</v>
      </c>
      <c r="F197" s="16" t="s">
        <v>216</v>
      </c>
      <c r="G197" s="16" t="s">
        <v>171</v>
      </c>
      <c r="H197" s="73" t="n">
        <v>85</v>
      </c>
      <c r="I197" s="74" t="n">
        <f aca="false">INDEX($C$5:$C$26,MATCH(G197,$A$5:$A$26,0))</f>
        <v>236.67</v>
      </c>
      <c r="J197" s="18" t="n">
        <f aca="false">H197*I197</f>
        <v>20116.95</v>
      </c>
    </row>
    <row r="198" customFormat="false" ht="15" hidden="false" customHeight="false" outlineLevel="0" collapsed="false">
      <c r="E198" s="16" t="s">
        <v>144</v>
      </c>
      <c r="F198" s="16" t="s">
        <v>216</v>
      </c>
      <c r="G198" s="16" t="s">
        <v>173</v>
      </c>
      <c r="H198" s="73" t="n">
        <v>95</v>
      </c>
      <c r="I198" s="74" t="n">
        <f aca="false">INDEX($C$5:$C$26,MATCH(G198,$A$5:$A$26,0))</f>
        <v>224.175</v>
      </c>
      <c r="J198" s="18" t="n">
        <f aca="false">H198*I198</f>
        <v>21296.625</v>
      </c>
    </row>
    <row r="199" customFormat="false" ht="15" hidden="false" customHeight="false" outlineLevel="0" collapsed="false">
      <c r="E199" s="16" t="s">
        <v>144</v>
      </c>
      <c r="F199" s="16" t="s">
        <v>216</v>
      </c>
      <c r="G199" s="16" t="s">
        <v>175</v>
      </c>
      <c r="H199" s="73" t="n">
        <v>45</v>
      </c>
      <c r="I199" s="74" t="n">
        <f aca="false">INDEX($C$5:$C$26,MATCH(G199,$A$5:$A$26,0))</f>
        <v>206.535</v>
      </c>
      <c r="J199" s="18" t="n">
        <f aca="false">H199*I199</f>
        <v>9294.075</v>
      </c>
    </row>
    <row r="200" customFormat="false" ht="15" hidden="false" customHeight="false" outlineLevel="0" collapsed="false">
      <c r="E200" s="16" t="s">
        <v>144</v>
      </c>
      <c r="F200" s="16" t="s">
        <v>214</v>
      </c>
      <c r="G200" s="16" t="s">
        <v>169</v>
      </c>
      <c r="H200" s="73" t="n">
        <v>45</v>
      </c>
      <c r="I200" s="74" t="n">
        <f aca="false">INDEX($C$5:$C$26,MATCH(G200,$A$5:$A$26,0))</f>
        <v>256.515</v>
      </c>
      <c r="J200" s="18" t="n">
        <f aca="false">H200*I200</f>
        <v>11543.175</v>
      </c>
    </row>
    <row r="201" customFormat="false" ht="15" hidden="false" customHeight="false" outlineLevel="0" collapsed="false">
      <c r="E201" s="16" t="s">
        <v>144</v>
      </c>
      <c r="F201" s="16" t="s">
        <v>214</v>
      </c>
      <c r="G201" s="16" t="s">
        <v>171</v>
      </c>
      <c r="H201" s="73" t="n">
        <v>105</v>
      </c>
      <c r="I201" s="74" t="n">
        <f aca="false">INDEX($C$5:$C$26,MATCH(G201,$A$5:$A$26,0))</f>
        <v>236.67</v>
      </c>
      <c r="J201" s="18" t="n">
        <f aca="false">H201*I201</f>
        <v>24850.35</v>
      </c>
    </row>
    <row r="202" customFormat="false" ht="15" hidden="false" customHeight="false" outlineLevel="0" collapsed="false">
      <c r="E202" s="16" t="s">
        <v>144</v>
      </c>
      <c r="F202" s="16" t="s">
        <v>214</v>
      </c>
      <c r="G202" s="16" t="s">
        <v>173</v>
      </c>
      <c r="H202" s="73" t="n">
        <v>105</v>
      </c>
      <c r="I202" s="74" t="n">
        <f aca="false">INDEX($C$5:$C$26,MATCH(G202,$A$5:$A$26,0))</f>
        <v>224.175</v>
      </c>
      <c r="J202" s="18" t="n">
        <f aca="false">H202*I202</f>
        <v>23538.375</v>
      </c>
    </row>
    <row r="203" customFormat="false" ht="15" hidden="false" customHeight="false" outlineLevel="0" collapsed="false">
      <c r="E203" s="16" t="s">
        <v>144</v>
      </c>
      <c r="F203" s="16" t="s">
        <v>214</v>
      </c>
      <c r="G203" s="16" t="s">
        <v>175</v>
      </c>
      <c r="H203" s="73" t="n">
        <v>45</v>
      </c>
      <c r="I203" s="74" t="n">
        <f aca="false">INDEX($C$5:$C$26,MATCH(G203,$A$5:$A$26,0))</f>
        <v>206.535</v>
      </c>
      <c r="J203" s="18" t="n">
        <f aca="false">H203*I203</f>
        <v>9294.075</v>
      </c>
    </row>
    <row r="204" customFormat="false" ht="15" hidden="false" customHeight="false" outlineLevel="0" collapsed="false">
      <c r="E204" s="16" t="s">
        <v>144</v>
      </c>
      <c r="F204" s="16" t="s">
        <v>215</v>
      </c>
      <c r="G204" s="16" t="s">
        <v>169</v>
      </c>
      <c r="H204" s="73" t="n">
        <v>45</v>
      </c>
      <c r="I204" s="74" t="n">
        <f aca="false">INDEX($C$5:$C$26,MATCH(G204,$A$5:$A$26,0))</f>
        <v>256.515</v>
      </c>
      <c r="J204" s="18" t="n">
        <f aca="false">H204*I204</f>
        <v>11543.175</v>
      </c>
    </row>
    <row r="205" customFormat="false" ht="15" hidden="false" customHeight="false" outlineLevel="0" collapsed="false">
      <c r="E205" s="16" t="s">
        <v>144</v>
      </c>
      <c r="F205" s="16" t="s">
        <v>215</v>
      </c>
      <c r="G205" s="16" t="s">
        <v>171</v>
      </c>
      <c r="H205" s="73" t="n">
        <v>85</v>
      </c>
      <c r="I205" s="74" t="n">
        <f aca="false">INDEX($C$5:$C$26,MATCH(G205,$A$5:$A$26,0))</f>
        <v>236.67</v>
      </c>
      <c r="J205" s="18" t="n">
        <f aca="false">H205*I205</f>
        <v>20116.95</v>
      </c>
    </row>
    <row r="206" customFormat="false" ht="15" hidden="false" customHeight="false" outlineLevel="0" collapsed="false">
      <c r="E206" s="16" t="s">
        <v>144</v>
      </c>
      <c r="F206" s="16" t="s">
        <v>215</v>
      </c>
      <c r="G206" s="16" t="s">
        <v>173</v>
      </c>
      <c r="H206" s="73" t="n">
        <v>75</v>
      </c>
      <c r="I206" s="74" t="n">
        <f aca="false">INDEX($C$5:$C$26,MATCH(G206,$A$5:$A$26,0))</f>
        <v>224.175</v>
      </c>
      <c r="J206" s="18" t="n">
        <f aca="false">H206*I206</f>
        <v>16813.125</v>
      </c>
    </row>
    <row r="207" customFormat="false" ht="15" hidden="false" customHeight="false" outlineLevel="0" collapsed="false">
      <c r="E207" s="16" t="s">
        <v>144</v>
      </c>
      <c r="F207" s="16" t="s">
        <v>215</v>
      </c>
      <c r="G207" s="16" t="s">
        <v>175</v>
      </c>
      <c r="H207" s="73" t="n">
        <v>40</v>
      </c>
      <c r="I207" s="74" t="n">
        <f aca="false">INDEX($C$5:$C$26,MATCH(G207,$A$5:$A$26,0))</f>
        <v>206.535</v>
      </c>
      <c r="J207" s="18" t="n">
        <f aca="false">H207*I207</f>
        <v>8261.4</v>
      </c>
    </row>
    <row r="208" customFormat="false" ht="15" hidden="false" customHeight="false" outlineLevel="0" collapsed="false">
      <c r="E208" s="16" t="s">
        <v>147</v>
      </c>
      <c r="F208" s="16" t="s">
        <v>214</v>
      </c>
      <c r="G208" s="16" t="s">
        <v>169</v>
      </c>
      <c r="H208" s="73" t="n">
        <v>45</v>
      </c>
      <c r="I208" s="74" t="n">
        <f aca="false">INDEX($C$5:$C$26,MATCH(G208,$A$5:$A$26,0))</f>
        <v>256.515</v>
      </c>
      <c r="J208" s="18" t="n">
        <f aca="false">H208*I208</f>
        <v>11543.175</v>
      </c>
    </row>
    <row r="209" customFormat="false" ht="15" hidden="false" customHeight="false" outlineLevel="0" collapsed="false">
      <c r="E209" s="16" t="s">
        <v>147</v>
      </c>
      <c r="F209" s="16" t="s">
        <v>214</v>
      </c>
      <c r="G209" s="16" t="s">
        <v>171</v>
      </c>
      <c r="H209" s="73" t="n">
        <v>105</v>
      </c>
      <c r="I209" s="74" t="n">
        <f aca="false">INDEX($C$5:$C$26,MATCH(G209,$A$5:$A$26,0))</f>
        <v>236.67</v>
      </c>
      <c r="J209" s="18" t="n">
        <f aca="false">H209*I209</f>
        <v>24850.35</v>
      </c>
    </row>
    <row r="210" customFormat="false" ht="15" hidden="false" customHeight="false" outlineLevel="0" collapsed="false">
      <c r="E210" s="16" t="s">
        <v>147</v>
      </c>
      <c r="F210" s="16" t="s">
        <v>214</v>
      </c>
      <c r="G210" s="16" t="s">
        <v>173</v>
      </c>
      <c r="H210" s="73" t="n">
        <v>140</v>
      </c>
      <c r="I210" s="74" t="n">
        <f aca="false">INDEX($C$5:$C$26,MATCH(G210,$A$5:$A$26,0))</f>
        <v>224.175</v>
      </c>
      <c r="J210" s="18" t="n">
        <f aca="false">H210*I210</f>
        <v>31384.5</v>
      </c>
    </row>
    <row r="211" customFormat="false" ht="15" hidden="false" customHeight="false" outlineLevel="0" collapsed="false">
      <c r="E211" s="16" t="s">
        <v>147</v>
      </c>
      <c r="F211" s="16" t="s">
        <v>214</v>
      </c>
      <c r="G211" s="16" t="s">
        <v>175</v>
      </c>
      <c r="H211" s="73" t="n">
        <v>65</v>
      </c>
      <c r="I211" s="74" t="n">
        <f aca="false">INDEX($C$5:$C$26,MATCH(G211,$A$5:$A$26,0))</f>
        <v>206.535</v>
      </c>
      <c r="J211" s="18" t="n">
        <f aca="false">H211*I211</f>
        <v>13424.775</v>
      </c>
    </row>
    <row r="212" customFormat="false" ht="15" hidden="false" customHeight="false" outlineLevel="0" collapsed="false">
      <c r="E212" s="16" t="s">
        <v>147</v>
      </c>
      <c r="F212" s="16" t="s">
        <v>215</v>
      </c>
      <c r="G212" s="16" t="s">
        <v>169</v>
      </c>
      <c r="H212" s="73" t="n">
        <v>55</v>
      </c>
      <c r="I212" s="74" t="n">
        <f aca="false">INDEX($C$5:$C$26,MATCH(G212,$A$5:$A$26,0))</f>
        <v>256.515</v>
      </c>
      <c r="J212" s="18" t="n">
        <f aca="false">H212*I212</f>
        <v>14108.325</v>
      </c>
    </row>
    <row r="213" customFormat="false" ht="15" hidden="false" customHeight="false" outlineLevel="0" collapsed="false">
      <c r="E213" s="16" t="s">
        <v>147</v>
      </c>
      <c r="F213" s="16" t="s">
        <v>215</v>
      </c>
      <c r="G213" s="16" t="s">
        <v>171</v>
      </c>
      <c r="H213" s="73" t="n">
        <v>155</v>
      </c>
      <c r="I213" s="74" t="n">
        <f aca="false">INDEX($C$5:$C$26,MATCH(G213,$A$5:$A$26,0))</f>
        <v>236.67</v>
      </c>
      <c r="J213" s="18" t="n">
        <f aca="false">H213*I213</f>
        <v>36683.85</v>
      </c>
    </row>
    <row r="214" customFormat="false" ht="15" hidden="false" customHeight="false" outlineLevel="0" collapsed="false">
      <c r="E214" s="16" t="s">
        <v>147</v>
      </c>
      <c r="F214" s="16" t="s">
        <v>215</v>
      </c>
      <c r="G214" s="16" t="s">
        <v>173</v>
      </c>
      <c r="H214" s="73" t="n">
        <v>190</v>
      </c>
      <c r="I214" s="74" t="n">
        <f aca="false">INDEX($C$5:$C$26,MATCH(G214,$A$5:$A$26,0))</f>
        <v>224.175</v>
      </c>
      <c r="J214" s="18" t="n">
        <f aca="false">H214*I214</f>
        <v>42593.25</v>
      </c>
    </row>
    <row r="215" customFormat="false" ht="15" hidden="false" customHeight="false" outlineLevel="0" collapsed="false">
      <c r="E215" s="16" t="s">
        <v>147</v>
      </c>
      <c r="F215" s="16" t="s">
        <v>215</v>
      </c>
      <c r="G215" s="16" t="s">
        <v>175</v>
      </c>
      <c r="H215" s="73" t="n">
        <v>75</v>
      </c>
      <c r="I215" s="74" t="n">
        <f aca="false">INDEX($C$5:$C$26,MATCH(G215,$A$5:$A$26,0))</f>
        <v>206.535</v>
      </c>
      <c r="J215" s="18" t="n">
        <f aca="false">H215*I215</f>
        <v>15490.125</v>
      </c>
    </row>
    <row r="216" customFormat="false" ht="15" hidden="false" customHeight="false" outlineLevel="0" collapsed="false">
      <c r="E216" s="16" t="s">
        <v>149</v>
      </c>
      <c r="F216" s="16" t="s">
        <v>191</v>
      </c>
      <c r="G216" s="16" t="s">
        <v>169</v>
      </c>
      <c r="H216" s="73" t="n">
        <v>80</v>
      </c>
      <c r="I216" s="74" t="n">
        <f aca="false">INDEX($C$5:$C$26,MATCH(G216,$A$5:$A$26,0))</f>
        <v>256.515</v>
      </c>
      <c r="J216" s="18" t="n">
        <f aca="false">H216*I216</f>
        <v>20521.2</v>
      </c>
    </row>
    <row r="217" customFormat="false" ht="15" hidden="false" customHeight="false" outlineLevel="0" collapsed="false">
      <c r="E217" s="16" t="s">
        <v>149</v>
      </c>
      <c r="F217" s="16" t="s">
        <v>191</v>
      </c>
      <c r="G217" s="16" t="s">
        <v>171</v>
      </c>
      <c r="H217" s="73" t="n">
        <v>230</v>
      </c>
      <c r="I217" s="74" t="n">
        <f aca="false">INDEX($C$5:$C$26,MATCH(G217,$A$5:$A$26,0))</f>
        <v>236.67</v>
      </c>
      <c r="J217" s="18" t="n">
        <f aca="false">H217*I217</f>
        <v>54434.1</v>
      </c>
    </row>
    <row r="218" customFormat="false" ht="15" hidden="false" customHeight="false" outlineLevel="0" collapsed="false">
      <c r="E218" s="16" t="s">
        <v>149</v>
      </c>
      <c r="F218" s="16" t="s">
        <v>191</v>
      </c>
      <c r="G218" s="16" t="s">
        <v>173</v>
      </c>
      <c r="H218" s="73" t="n">
        <v>190</v>
      </c>
      <c r="I218" s="74" t="n">
        <f aca="false">INDEX($C$5:$C$26,MATCH(G218,$A$5:$A$26,0))</f>
        <v>224.175</v>
      </c>
      <c r="J218" s="18" t="n">
        <f aca="false">H218*I218</f>
        <v>42593.25</v>
      </c>
    </row>
    <row r="219" customFormat="false" ht="15" hidden="false" customHeight="false" outlineLevel="0" collapsed="false">
      <c r="E219" s="16" t="s">
        <v>149</v>
      </c>
      <c r="F219" s="16" t="s">
        <v>191</v>
      </c>
      <c r="G219" s="16" t="s">
        <v>175</v>
      </c>
      <c r="H219" s="73" t="n">
        <v>65</v>
      </c>
      <c r="I219" s="74" t="n">
        <f aca="false">INDEX($C$5:$C$26,MATCH(G219,$A$5:$A$26,0))</f>
        <v>206.535</v>
      </c>
      <c r="J219" s="18" t="n">
        <f aca="false">H219*I219</f>
        <v>13424.775</v>
      </c>
    </row>
    <row r="220" customFormat="false" ht="15" hidden="false" customHeight="false" outlineLevel="0" collapsed="false">
      <c r="E220" s="16" t="s">
        <v>152</v>
      </c>
      <c r="F220" s="16" t="s">
        <v>216</v>
      </c>
      <c r="G220" s="16" t="s">
        <v>169</v>
      </c>
      <c r="H220" s="73" t="n">
        <v>45</v>
      </c>
      <c r="I220" s="74" t="n">
        <f aca="false">INDEX($C$5:$C$26,MATCH(G220,$A$5:$A$26,0))</f>
        <v>256.515</v>
      </c>
      <c r="J220" s="18" t="n">
        <f aca="false">H220*I220</f>
        <v>11543.175</v>
      </c>
    </row>
    <row r="221" customFormat="false" ht="15" hidden="false" customHeight="false" outlineLevel="0" collapsed="false">
      <c r="E221" s="16" t="s">
        <v>152</v>
      </c>
      <c r="F221" s="16" t="s">
        <v>216</v>
      </c>
      <c r="G221" s="16" t="s">
        <v>171</v>
      </c>
      <c r="H221" s="73" t="n">
        <v>180</v>
      </c>
      <c r="I221" s="74" t="n">
        <f aca="false">INDEX($C$5:$C$26,MATCH(G221,$A$5:$A$26,0))</f>
        <v>236.67</v>
      </c>
      <c r="J221" s="18" t="n">
        <f aca="false">H221*I221</f>
        <v>42600.6</v>
      </c>
    </row>
    <row r="222" customFormat="false" ht="15" hidden="false" customHeight="false" outlineLevel="0" collapsed="false">
      <c r="E222" s="16" t="s">
        <v>152</v>
      </c>
      <c r="F222" s="16" t="s">
        <v>216</v>
      </c>
      <c r="G222" s="16" t="s">
        <v>173</v>
      </c>
      <c r="H222" s="73" t="n">
        <v>165</v>
      </c>
      <c r="I222" s="74" t="n">
        <f aca="false">INDEX($C$5:$C$26,MATCH(G222,$A$5:$A$26,0))</f>
        <v>224.175</v>
      </c>
      <c r="J222" s="18" t="n">
        <f aca="false">H222*I222</f>
        <v>36988.875</v>
      </c>
    </row>
    <row r="223" customFormat="false" ht="15" hidden="false" customHeight="false" outlineLevel="0" collapsed="false">
      <c r="E223" s="16" t="s">
        <v>152</v>
      </c>
      <c r="F223" s="16" t="s">
        <v>216</v>
      </c>
      <c r="G223" s="16" t="s">
        <v>175</v>
      </c>
      <c r="H223" s="73" t="n">
        <v>60</v>
      </c>
      <c r="I223" s="74" t="n">
        <f aca="false">INDEX($C$5:$C$26,MATCH(G223,$A$5:$A$26,0))</f>
        <v>206.535</v>
      </c>
      <c r="J223" s="18" t="n">
        <f aca="false">H223*I223</f>
        <v>12392.1</v>
      </c>
    </row>
    <row r="224" customFormat="false" ht="15" hidden="false" customHeight="false" outlineLevel="0" collapsed="false">
      <c r="E224" s="16" t="s">
        <v>152</v>
      </c>
      <c r="F224" s="16" t="s">
        <v>214</v>
      </c>
      <c r="G224" s="16" t="s">
        <v>169</v>
      </c>
      <c r="H224" s="73" t="n">
        <v>40</v>
      </c>
      <c r="I224" s="74" t="n">
        <f aca="false">INDEX($C$5:$C$26,MATCH(G224,$A$5:$A$26,0))</f>
        <v>256.515</v>
      </c>
      <c r="J224" s="18" t="n">
        <f aca="false">H224*I224</f>
        <v>10260.6</v>
      </c>
    </row>
    <row r="225" customFormat="false" ht="15" hidden="false" customHeight="false" outlineLevel="0" collapsed="false">
      <c r="E225" s="16" t="s">
        <v>152</v>
      </c>
      <c r="F225" s="16" t="s">
        <v>214</v>
      </c>
      <c r="G225" s="16" t="s">
        <v>171</v>
      </c>
      <c r="H225" s="73" t="n">
        <v>105</v>
      </c>
      <c r="I225" s="74" t="n">
        <f aca="false">INDEX($C$5:$C$26,MATCH(G225,$A$5:$A$26,0))</f>
        <v>236.67</v>
      </c>
      <c r="J225" s="18" t="n">
        <f aca="false">H225*I225</f>
        <v>24850.35</v>
      </c>
    </row>
    <row r="226" customFormat="false" ht="15" hidden="false" customHeight="false" outlineLevel="0" collapsed="false">
      <c r="E226" s="16" t="s">
        <v>152</v>
      </c>
      <c r="F226" s="16" t="s">
        <v>214</v>
      </c>
      <c r="G226" s="16" t="s">
        <v>173</v>
      </c>
      <c r="H226" s="73" t="n">
        <v>130</v>
      </c>
      <c r="I226" s="74" t="n">
        <f aca="false">INDEX($C$5:$C$26,MATCH(G226,$A$5:$A$26,0))</f>
        <v>224.175</v>
      </c>
      <c r="J226" s="18" t="n">
        <f aca="false">H226*I226</f>
        <v>29142.75</v>
      </c>
    </row>
    <row r="227" customFormat="false" ht="15" hidden="false" customHeight="false" outlineLevel="0" collapsed="false">
      <c r="E227" s="16" t="s">
        <v>152</v>
      </c>
      <c r="F227" s="16" t="s">
        <v>214</v>
      </c>
      <c r="G227" s="16" t="s">
        <v>175</v>
      </c>
      <c r="H227" s="73" t="n">
        <v>65</v>
      </c>
      <c r="I227" s="74" t="n">
        <f aca="false">INDEX($C$5:$C$26,MATCH(G227,$A$5:$A$26,0))</f>
        <v>206.535</v>
      </c>
      <c r="J227" s="18" t="n">
        <f aca="false">H227*I227</f>
        <v>13424.775</v>
      </c>
    </row>
    <row r="228" customFormat="false" ht="15" hidden="false" customHeight="false" outlineLevel="0" collapsed="false">
      <c r="E228" s="16" t="s">
        <v>152</v>
      </c>
      <c r="F228" s="16" t="s">
        <v>215</v>
      </c>
      <c r="G228" s="16" t="s">
        <v>169</v>
      </c>
      <c r="H228" s="73" t="n">
        <v>30</v>
      </c>
      <c r="I228" s="74" t="n">
        <f aca="false">INDEX($C$5:$C$26,MATCH(G228,$A$5:$A$26,0))</f>
        <v>256.515</v>
      </c>
      <c r="J228" s="18" t="n">
        <f aca="false">H228*I228</f>
        <v>7695.45</v>
      </c>
    </row>
    <row r="229" customFormat="false" ht="15" hidden="false" customHeight="false" outlineLevel="0" collapsed="false">
      <c r="E229" s="16" t="s">
        <v>152</v>
      </c>
      <c r="F229" s="16" t="s">
        <v>215</v>
      </c>
      <c r="G229" s="16" t="s">
        <v>171</v>
      </c>
      <c r="H229" s="73" t="n">
        <v>70</v>
      </c>
      <c r="I229" s="74" t="n">
        <f aca="false">INDEX($C$5:$C$26,MATCH(G229,$A$5:$A$26,0))</f>
        <v>236.67</v>
      </c>
      <c r="J229" s="18" t="n">
        <f aca="false">H229*I229</f>
        <v>16566.9</v>
      </c>
    </row>
    <row r="230" customFormat="false" ht="15" hidden="false" customHeight="false" outlineLevel="0" collapsed="false">
      <c r="E230" s="16" t="s">
        <v>152</v>
      </c>
      <c r="F230" s="16" t="s">
        <v>215</v>
      </c>
      <c r="G230" s="16" t="s">
        <v>173</v>
      </c>
      <c r="H230" s="73" t="n">
        <v>70</v>
      </c>
      <c r="I230" s="74" t="n">
        <f aca="false">INDEX($C$5:$C$26,MATCH(G230,$A$5:$A$26,0))</f>
        <v>224.175</v>
      </c>
      <c r="J230" s="18" t="n">
        <f aca="false">H230*I230</f>
        <v>15692.25</v>
      </c>
    </row>
    <row r="231" customFormat="false" ht="15" hidden="false" customHeight="false" outlineLevel="0" collapsed="false">
      <c r="E231" s="16" t="s">
        <v>152</v>
      </c>
      <c r="F231" s="16" t="s">
        <v>215</v>
      </c>
      <c r="G231" s="16" t="s">
        <v>175</v>
      </c>
      <c r="H231" s="73" t="n">
        <v>55</v>
      </c>
      <c r="I231" s="74" t="n">
        <f aca="false">INDEX($C$5:$C$26,MATCH(G231,$A$5:$A$26,0))</f>
        <v>206.535</v>
      </c>
      <c r="J231" s="18" t="n">
        <f aca="false">H231*I231</f>
        <v>11359.425</v>
      </c>
    </row>
    <row r="232" customFormat="false" ht="15" hidden="false" customHeight="false" outlineLevel="0" collapsed="false">
      <c r="E232" s="16" t="s">
        <v>23</v>
      </c>
      <c r="F232" s="16" t="s">
        <v>21</v>
      </c>
      <c r="G232" s="16" t="s">
        <v>169</v>
      </c>
      <c r="H232" s="73" t="n">
        <v>45</v>
      </c>
      <c r="I232" s="74" t="n">
        <f aca="false">INDEX($C$5:$C$26,MATCH(G232,$A$5:$A$26,0))</f>
        <v>256.515</v>
      </c>
      <c r="J232" s="18" t="n">
        <f aca="false">H232*I232</f>
        <v>11543.175</v>
      </c>
    </row>
    <row r="233" customFormat="false" ht="15" hidden="false" customHeight="false" outlineLevel="0" collapsed="false">
      <c r="E233" s="16" t="s">
        <v>23</v>
      </c>
      <c r="F233" s="16" t="s">
        <v>21</v>
      </c>
      <c r="G233" s="16" t="s">
        <v>171</v>
      </c>
      <c r="H233" s="73" t="n">
        <v>95</v>
      </c>
      <c r="I233" s="74" t="n">
        <f aca="false">INDEX($C$5:$C$26,MATCH(G233,$A$5:$A$26,0))</f>
        <v>236.67</v>
      </c>
      <c r="J233" s="18" t="n">
        <f aca="false">H233*I233</f>
        <v>22483.65</v>
      </c>
    </row>
    <row r="234" customFormat="false" ht="15" hidden="false" customHeight="false" outlineLevel="0" collapsed="false">
      <c r="E234" s="16" t="s">
        <v>23</v>
      </c>
      <c r="F234" s="16" t="s">
        <v>21</v>
      </c>
      <c r="G234" s="16" t="s">
        <v>173</v>
      </c>
      <c r="H234" s="73" t="n">
        <v>140</v>
      </c>
      <c r="I234" s="74" t="n">
        <f aca="false">INDEX($C$5:$C$26,MATCH(G234,$A$5:$A$26,0))</f>
        <v>224.175</v>
      </c>
      <c r="J234" s="18" t="n">
        <f aca="false">H234*I234</f>
        <v>31384.5</v>
      </c>
    </row>
    <row r="235" customFormat="false" ht="15" hidden="false" customHeight="false" outlineLevel="0" collapsed="false">
      <c r="E235" s="16" t="s">
        <v>23</v>
      </c>
      <c r="F235" s="16" t="s">
        <v>21</v>
      </c>
      <c r="G235" s="16" t="s">
        <v>175</v>
      </c>
      <c r="H235" s="73" t="n">
        <v>65</v>
      </c>
      <c r="I235" s="74" t="n">
        <f aca="false">INDEX($C$5:$C$26,MATCH(G235,$A$5:$A$26,0))</f>
        <v>206.535</v>
      </c>
      <c r="J235" s="18" t="n">
        <f aca="false">H235*I235</f>
        <v>13424.775</v>
      </c>
    </row>
    <row r="236" customFormat="false" ht="15" hidden="false" customHeight="false" outlineLevel="0" collapsed="false">
      <c r="E236" s="16" t="s">
        <v>25</v>
      </c>
      <c r="F236" s="16" t="s">
        <v>21</v>
      </c>
      <c r="G236" s="16" t="s">
        <v>169</v>
      </c>
      <c r="H236" s="73" t="n">
        <v>55</v>
      </c>
      <c r="I236" s="74" t="n">
        <f aca="false">INDEX($C$5:$C$26,MATCH(G236,$A$5:$A$26,0))</f>
        <v>256.515</v>
      </c>
      <c r="J236" s="18" t="n">
        <f aca="false">H236*I236</f>
        <v>14108.325</v>
      </c>
    </row>
    <row r="237" customFormat="false" ht="15" hidden="false" customHeight="false" outlineLevel="0" collapsed="false">
      <c r="E237" s="16" t="s">
        <v>25</v>
      </c>
      <c r="F237" s="16" t="s">
        <v>21</v>
      </c>
      <c r="G237" s="16" t="s">
        <v>171</v>
      </c>
      <c r="H237" s="73" t="n">
        <v>95</v>
      </c>
      <c r="I237" s="74" t="n">
        <f aca="false">INDEX($C$5:$C$26,MATCH(G237,$A$5:$A$26,0))</f>
        <v>236.67</v>
      </c>
      <c r="J237" s="18" t="n">
        <f aca="false">H237*I237</f>
        <v>22483.65</v>
      </c>
    </row>
    <row r="238" customFormat="false" ht="15" hidden="false" customHeight="false" outlineLevel="0" collapsed="false">
      <c r="E238" s="16" t="s">
        <v>25</v>
      </c>
      <c r="F238" s="16" t="s">
        <v>21</v>
      </c>
      <c r="G238" s="16" t="s">
        <v>173</v>
      </c>
      <c r="H238" s="73" t="n">
        <v>85</v>
      </c>
      <c r="I238" s="74" t="n">
        <f aca="false">INDEX($C$5:$C$26,MATCH(G238,$A$5:$A$26,0))</f>
        <v>224.175</v>
      </c>
      <c r="J238" s="18" t="n">
        <f aca="false">H238*I238</f>
        <v>19054.875</v>
      </c>
    </row>
    <row r="239" customFormat="false" ht="15" hidden="false" customHeight="false" outlineLevel="0" collapsed="false">
      <c r="E239" s="16" t="s">
        <v>25</v>
      </c>
      <c r="F239" s="16" t="s">
        <v>21</v>
      </c>
      <c r="G239" s="16" t="s">
        <v>175</v>
      </c>
      <c r="H239" s="73" t="n">
        <v>35</v>
      </c>
      <c r="I239" s="74" t="n">
        <f aca="false">INDEX($C$5:$C$26,MATCH(G239,$A$5:$A$26,0))</f>
        <v>206.535</v>
      </c>
      <c r="J239" s="18" t="n">
        <f aca="false">H239*I239</f>
        <v>7228.725</v>
      </c>
    </row>
    <row r="240" customFormat="false" ht="15" hidden="false" customHeight="false" outlineLevel="0" collapsed="false">
      <c r="E240" s="16" t="s">
        <v>25</v>
      </c>
      <c r="F240" s="16" t="s">
        <v>25</v>
      </c>
      <c r="G240" s="16" t="s">
        <v>169</v>
      </c>
      <c r="H240" s="73" t="n">
        <v>65</v>
      </c>
      <c r="I240" s="74" t="n">
        <f aca="false">INDEX($C$5:$C$26,MATCH(G240,$A$5:$A$26,0))</f>
        <v>256.515</v>
      </c>
      <c r="J240" s="18" t="n">
        <f aca="false">H240*I240</f>
        <v>16673.475</v>
      </c>
    </row>
    <row r="241" customFormat="false" ht="15" hidden="false" customHeight="false" outlineLevel="0" collapsed="false">
      <c r="E241" s="16" t="s">
        <v>25</v>
      </c>
      <c r="F241" s="16" t="s">
        <v>25</v>
      </c>
      <c r="G241" s="16" t="s">
        <v>171</v>
      </c>
      <c r="H241" s="73" t="n">
        <v>140</v>
      </c>
      <c r="I241" s="74" t="n">
        <f aca="false">INDEX($C$5:$C$26,MATCH(G241,$A$5:$A$26,0))</f>
        <v>236.67</v>
      </c>
      <c r="J241" s="18" t="n">
        <f aca="false">H241*I241</f>
        <v>33133.8</v>
      </c>
    </row>
    <row r="242" customFormat="false" ht="15" hidden="false" customHeight="false" outlineLevel="0" collapsed="false">
      <c r="E242" s="16" t="s">
        <v>25</v>
      </c>
      <c r="F242" s="16" t="s">
        <v>25</v>
      </c>
      <c r="G242" s="16" t="s">
        <v>173</v>
      </c>
      <c r="H242" s="73" t="n">
        <v>130</v>
      </c>
      <c r="I242" s="74" t="n">
        <f aca="false">INDEX($C$5:$C$26,MATCH(G242,$A$5:$A$26,0))</f>
        <v>224.175</v>
      </c>
      <c r="J242" s="18" t="n">
        <f aca="false">H242*I242</f>
        <v>29142.75</v>
      </c>
    </row>
    <row r="243" customFormat="false" ht="15" hidden="false" customHeight="false" outlineLevel="0" collapsed="false">
      <c r="E243" s="16" t="s">
        <v>25</v>
      </c>
      <c r="F243" s="16" t="s">
        <v>25</v>
      </c>
      <c r="G243" s="16" t="s">
        <v>175</v>
      </c>
      <c r="H243" s="73" t="n">
        <v>45</v>
      </c>
      <c r="I243" s="74" t="n">
        <f aca="false">INDEX($C$5:$C$26,MATCH(G243,$A$5:$A$26,0))</f>
        <v>206.535</v>
      </c>
      <c r="J243" s="18" t="n">
        <f aca="false">H243*I243</f>
        <v>9294.075</v>
      </c>
    </row>
    <row r="244" customFormat="false" ht="15" hidden="false" customHeight="false" outlineLevel="0" collapsed="false">
      <c r="E244" s="16" t="s">
        <v>27</v>
      </c>
      <c r="F244" s="16" t="s">
        <v>21</v>
      </c>
      <c r="G244" s="16" t="s">
        <v>169</v>
      </c>
      <c r="H244" s="73" t="n">
        <v>35</v>
      </c>
      <c r="I244" s="74" t="n">
        <f aca="false">INDEX($C$5:$C$26,MATCH(G244,$A$5:$A$26,0))</f>
        <v>256.515</v>
      </c>
      <c r="J244" s="18" t="n">
        <f aca="false">H244*I244</f>
        <v>8978.025</v>
      </c>
    </row>
    <row r="245" customFormat="false" ht="15" hidden="false" customHeight="false" outlineLevel="0" collapsed="false">
      <c r="E245" s="16" t="s">
        <v>27</v>
      </c>
      <c r="F245" s="16" t="s">
        <v>21</v>
      </c>
      <c r="G245" s="16" t="s">
        <v>171</v>
      </c>
      <c r="H245" s="73" t="n">
        <v>70</v>
      </c>
      <c r="I245" s="74" t="n">
        <f aca="false">INDEX($C$5:$C$26,MATCH(G245,$A$5:$A$26,0))</f>
        <v>236.67</v>
      </c>
      <c r="J245" s="18" t="n">
        <f aca="false">H245*I245</f>
        <v>16566.9</v>
      </c>
    </row>
    <row r="246" customFormat="false" ht="15" hidden="false" customHeight="false" outlineLevel="0" collapsed="false">
      <c r="E246" s="16" t="s">
        <v>27</v>
      </c>
      <c r="F246" s="16" t="s">
        <v>21</v>
      </c>
      <c r="G246" s="16" t="s">
        <v>173</v>
      </c>
      <c r="H246" s="73" t="n">
        <v>60</v>
      </c>
      <c r="I246" s="74" t="n">
        <f aca="false">INDEX($C$5:$C$26,MATCH(G246,$A$5:$A$26,0))</f>
        <v>224.175</v>
      </c>
      <c r="J246" s="18" t="n">
        <f aca="false">H246*I246</f>
        <v>13450.5</v>
      </c>
    </row>
    <row r="247" customFormat="false" ht="15" hidden="false" customHeight="false" outlineLevel="0" collapsed="false">
      <c r="E247" s="16" t="s">
        <v>27</v>
      </c>
      <c r="F247" s="16" t="s">
        <v>21</v>
      </c>
      <c r="G247" s="16" t="s">
        <v>175</v>
      </c>
      <c r="H247" s="73" t="n">
        <v>30</v>
      </c>
      <c r="I247" s="74" t="n">
        <f aca="false">INDEX($C$5:$C$26,MATCH(G247,$A$5:$A$26,0))</f>
        <v>206.535</v>
      </c>
      <c r="J247" s="18" t="n">
        <f aca="false">H247*I247</f>
        <v>6196.05</v>
      </c>
    </row>
    <row r="248" customFormat="false" ht="15" hidden="false" customHeight="false" outlineLevel="0" collapsed="false">
      <c r="E248" s="16" t="s">
        <v>27</v>
      </c>
      <c r="F248" s="16" t="s">
        <v>25</v>
      </c>
      <c r="G248" s="16" t="s">
        <v>169</v>
      </c>
      <c r="H248" s="73" t="n">
        <v>45</v>
      </c>
      <c r="I248" s="74" t="n">
        <f aca="false">INDEX($C$5:$C$26,MATCH(G248,$A$5:$A$26,0))</f>
        <v>256.515</v>
      </c>
      <c r="J248" s="18" t="n">
        <f aca="false">H248*I248</f>
        <v>11543.175</v>
      </c>
    </row>
    <row r="249" customFormat="false" ht="15" hidden="false" customHeight="false" outlineLevel="0" collapsed="false">
      <c r="E249" s="16" t="s">
        <v>27</v>
      </c>
      <c r="F249" s="16" t="s">
        <v>25</v>
      </c>
      <c r="G249" s="16" t="s">
        <v>171</v>
      </c>
      <c r="H249" s="73" t="n">
        <v>120</v>
      </c>
      <c r="I249" s="74" t="n">
        <f aca="false">INDEX($C$5:$C$26,MATCH(G249,$A$5:$A$26,0))</f>
        <v>236.67</v>
      </c>
      <c r="J249" s="18" t="n">
        <f aca="false">H249*I249</f>
        <v>28400.4</v>
      </c>
    </row>
    <row r="250" customFormat="false" ht="15" hidden="false" customHeight="false" outlineLevel="0" collapsed="false">
      <c r="E250" s="16" t="s">
        <v>27</v>
      </c>
      <c r="F250" s="16" t="s">
        <v>25</v>
      </c>
      <c r="G250" s="16" t="s">
        <v>173</v>
      </c>
      <c r="H250" s="73" t="n">
        <v>100</v>
      </c>
      <c r="I250" s="74" t="n">
        <f aca="false">INDEX($C$5:$C$26,MATCH(G250,$A$5:$A$26,0))</f>
        <v>224.175</v>
      </c>
      <c r="J250" s="18" t="n">
        <f aca="false">H250*I250</f>
        <v>22417.5</v>
      </c>
    </row>
    <row r="251" customFormat="false" ht="15" hidden="false" customHeight="false" outlineLevel="0" collapsed="false">
      <c r="E251" s="16" t="s">
        <v>27</v>
      </c>
      <c r="F251" s="16" t="s">
        <v>25</v>
      </c>
      <c r="G251" s="16" t="s">
        <v>175</v>
      </c>
      <c r="H251" s="73" t="n">
        <v>40</v>
      </c>
      <c r="I251" s="74" t="n">
        <f aca="false">INDEX($C$5:$C$26,MATCH(G251,$A$5:$A$26,0))</f>
        <v>206.535</v>
      </c>
      <c r="J251" s="18" t="n">
        <f aca="false">H251*I251</f>
        <v>8261.4</v>
      </c>
    </row>
    <row r="252" customFormat="false" ht="15" hidden="false" customHeight="false" outlineLevel="0" collapsed="false">
      <c r="E252" s="16" t="s">
        <v>27</v>
      </c>
      <c r="F252" s="16" t="s">
        <v>27</v>
      </c>
      <c r="G252" s="16" t="s">
        <v>169</v>
      </c>
      <c r="H252" s="73" t="n">
        <v>75</v>
      </c>
      <c r="I252" s="74" t="n">
        <f aca="false">INDEX($C$5:$C$26,MATCH(G252,$A$5:$A$26,0))</f>
        <v>256.515</v>
      </c>
      <c r="J252" s="18" t="n">
        <f aca="false">H252*I252</f>
        <v>19238.625</v>
      </c>
    </row>
    <row r="253" customFormat="false" ht="15" hidden="false" customHeight="false" outlineLevel="0" collapsed="false">
      <c r="E253" s="16" t="s">
        <v>27</v>
      </c>
      <c r="F253" s="16" t="s">
        <v>27</v>
      </c>
      <c r="G253" s="16" t="s">
        <v>171</v>
      </c>
      <c r="H253" s="73" t="n">
        <v>190</v>
      </c>
      <c r="I253" s="74" t="n">
        <f aca="false">INDEX($C$5:$C$26,MATCH(G253,$A$5:$A$26,0))</f>
        <v>236.67</v>
      </c>
      <c r="J253" s="18" t="n">
        <f aca="false">H253*I253</f>
        <v>44967.3</v>
      </c>
    </row>
    <row r="254" customFormat="false" ht="15" hidden="false" customHeight="false" outlineLevel="0" collapsed="false">
      <c r="E254" s="16" t="s">
        <v>27</v>
      </c>
      <c r="F254" s="16" t="s">
        <v>27</v>
      </c>
      <c r="G254" s="16" t="s">
        <v>173</v>
      </c>
      <c r="H254" s="73" t="n">
        <v>200</v>
      </c>
      <c r="I254" s="74" t="n">
        <f aca="false">INDEX($C$5:$C$26,MATCH(G254,$A$5:$A$26,0))</f>
        <v>224.175</v>
      </c>
      <c r="J254" s="18" t="n">
        <f aca="false">H254*I254</f>
        <v>44835</v>
      </c>
    </row>
    <row r="255" customFormat="false" ht="15" hidden="false" customHeight="false" outlineLevel="0" collapsed="false">
      <c r="E255" s="16" t="s">
        <v>27</v>
      </c>
      <c r="F255" s="16" t="s">
        <v>27</v>
      </c>
      <c r="G255" s="16" t="s">
        <v>175</v>
      </c>
      <c r="H255" s="73" t="n">
        <v>75</v>
      </c>
      <c r="I255" s="74" t="n">
        <f aca="false">INDEX($C$5:$C$26,MATCH(G255,$A$5:$A$26,0))</f>
        <v>206.535</v>
      </c>
      <c r="J255" s="18" t="n">
        <f aca="false">H255*I255</f>
        <v>15490.125</v>
      </c>
    </row>
    <row r="256" customFormat="false" ht="15" hidden="false" customHeight="false" outlineLevel="0" collapsed="false">
      <c r="E256" s="16" t="s">
        <v>27</v>
      </c>
      <c r="F256" s="16" t="s">
        <v>191</v>
      </c>
      <c r="G256" s="16" t="s">
        <v>169</v>
      </c>
      <c r="H256" s="73" t="n">
        <v>85</v>
      </c>
      <c r="I256" s="74" t="n">
        <f aca="false">INDEX($C$5:$C$26,MATCH(G256,$A$5:$A$26,0))</f>
        <v>256.515</v>
      </c>
      <c r="J256" s="18" t="n">
        <f aca="false">H256*I256</f>
        <v>21803.775</v>
      </c>
    </row>
    <row r="257" customFormat="false" ht="15" hidden="false" customHeight="false" outlineLevel="0" collapsed="false">
      <c r="E257" s="16" t="s">
        <v>27</v>
      </c>
      <c r="F257" s="16" t="s">
        <v>191</v>
      </c>
      <c r="G257" s="16" t="s">
        <v>171</v>
      </c>
      <c r="H257" s="73" t="n">
        <v>235</v>
      </c>
      <c r="I257" s="74" t="n">
        <f aca="false">INDEX($C$5:$C$26,MATCH(G257,$A$5:$A$26,0))</f>
        <v>236.67</v>
      </c>
      <c r="J257" s="18" t="n">
        <f aca="false">H257*I257</f>
        <v>55617.45</v>
      </c>
    </row>
    <row r="258" customFormat="false" ht="15" hidden="false" customHeight="false" outlineLevel="0" collapsed="false">
      <c r="E258" s="16" t="s">
        <v>27</v>
      </c>
      <c r="F258" s="16" t="s">
        <v>191</v>
      </c>
      <c r="G258" s="16" t="s">
        <v>173</v>
      </c>
      <c r="H258" s="73" t="n">
        <v>225</v>
      </c>
      <c r="I258" s="74" t="n">
        <f aca="false">INDEX($C$5:$C$26,MATCH(G258,$A$5:$A$26,0))</f>
        <v>224.175</v>
      </c>
      <c r="J258" s="18" t="n">
        <f aca="false">H258*I258</f>
        <v>50439.375</v>
      </c>
    </row>
    <row r="259" customFormat="false" ht="15" hidden="false" customHeight="false" outlineLevel="0" collapsed="false">
      <c r="E259" s="16" t="s">
        <v>27</v>
      </c>
      <c r="F259" s="16" t="s">
        <v>191</v>
      </c>
      <c r="G259" s="16" t="s">
        <v>175</v>
      </c>
      <c r="H259" s="73" t="n">
        <v>85</v>
      </c>
      <c r="I259" s="74" t="n">
        <f aca="false">INDEX($C$5:$C$26,MATCH(G259,$A$5:$A$26,0))</f>
        <v>206.535</v>
      </c>
      <c r="J259" s="18" t="n">
        <f aca="false">H259*I259</f>
        <v>17555.475</v>
      </c>
    </row>
    <row r="260" customFormat="false" ht="15" hidden="false" customHeight="false" outlineLevel="0" collapsed="false">
      <c r="E260" s="16" t="s">
        <v>27</v>
      </c>
      <c r="F260" s="16" t="s">
        <v>216</v>
      </c>
      <c r="G260" s="16" t="s">
        <v>169</v>
      </c>
      <c r="H260" s="73" t="n">
        <v>45</v>
      </c>
      <c r="I260" s="74" t="n">
        <f aca="false">INDEX($C$5:$C$26,MATCH(G260,$A$5:$A$26,0))</f>
        <v>256.515</v>
      </c>
      <c r="J260" s="18" t="n">
        <f aca="false">H260*I260</f>
        <v>11543.175</v>
      </c>
    </row>
    <row r="261" customFormat="false" ht="15" hidden="false" customHeight="false" outlineLevel="0" collapsed="false">
      <c r="E261" s="16" t="s">
        <v>27</v>
      </c>
      <c r="F261" s="16" t="s">
        <v>216</v>
      </c>
      <c r="G261" s="16" t="s">
        <v>171</v>
      </c>
      <c r="H261" s="73" t="n">
        <v>85</v>
      </c>
      <c r="I261" s="74" t="n">
        <f aca="false">INDEX($C$5:$C$26,MATCH(G261,$A$5:$A$26,0))</f>
        <v>236.67</v>
      </c>
      <c r="J261" s="18" t="n">
        <f aca="false">H261*I261</f>
        <v>20116.95</v>
      </c>
    </row>
    <row r="262" customFormat="false" ht="15" hidden="false" customHeight="false" outlineLevel="0" collapsed="false">
      <c r="E262" s="16" t="s">
        <v>27</v>
      </c>
      <c r="F262" s="16" t="s">
        <v>216</v>
      </c>
      <c r="G262" s="16" t="s">
        <v>173</v>
      </c>
      <c r="H262" s="73" t="n">
        <v>90</v>
      </c>
      <c r="I262" s="74" t="n">
        <f aca="false">INDEX($C$5:$C$26,MATCH(G262,$A$5:$A$26,0))</f>
        <v>224.175</v>
      </c>
      <c r="J262" s="18" t="n">
        <f aca="false">H262*I262</f>
        <v>20175.75</v>
      </c>
    </row>
    <row r="263" customFormat="false" ht="15" hidden="false" customHeight="false" outlineLevel="0" collapsed="false">
      <c r="E263" s="16" t="s">
        <v>27</v>
      </c>
      <c r="F263" s="16" t="s">
        <v>216</v>
      </c>
      <c r="G263" s="16" t="s">
        <v>175</v>
      </c>
      <c r="H263" s="73" t="n">
        <v>55</v>
      </c>
      <c r="I263" s="74" t="n">
        <f aca="false">INDEX($C$5:$C$26,MATCH(G263,$A$5:$A$26,0))</f>
        <v>206.535</v>
      </c>
      <c r="J263" s="18" t="n">
        <f aca="false">H263*I263</f>
        <v>11359.425</v>
      </c>
    </row>
    <row r="264" customFormat="false" ht="15" hidden="false" customHeight="false" outlineLevel="0" collapsed="false">
      <c r="E264" s="16" t="s">
        <v>27</v>
      </c>
      <c r="F264" s="16" t="s">
        <v>214</v>
      </c>
      <c r="G264" s="16" t="s">
        <v>169</v>
      </c>
      <c r="H264" s="73" t="n">
        <v>45</v>
      </c>
      <c r="I264" s="74" t="n">
        <f aca="false">INDEX($C$5:$C$26,MATCH(G264,$A$5:$A$26,0))</f>
        <v>256.515</v>
      </c>
      <c r="J264" s="18" t="n">
        <f aca="false">H264*I264</f>
        <v>11543.175</v>
      </c>
    </row>
    <row r="265" customFormat="false" ht="15" hidden="false" customHeight="false" outlineLevel="0" collapsed="false">
      <c r="E265" s="16" t="s">
        <v>27</v>
      </c>
      <c r="F265" s="16" t="s">
        <v>214</v>
      </c>
      <c r="G265" s="16" t="s">
        <v>171</v>
      </c>
      <c r="H265" s="73" t="n">
        <v>90</v>
      </c>
      <c r="I265" s="74" t="n">
        <f aca="false">INDEX($C$5:$C$26,MATCH(G265,$A$5:$A$26,0))</f>
        <v>236.67</v>
      </c>
      <c r="J265" s="18" t="n">
        <f aca="false">H265*I265</f>
        <v>21300.3</v>
      </c>
    </row>
    <row r="266" customFormat="false" ht="15" hidden="false" customHeight="false" outlineLevel="0" collapsed="false">
      <c r="E266" s="16" t="s">
        <v>27</v>
      </c>
      <c r="F266" s="16" t="s">
        <v>214</v>
      </c>
      <c r="G266" s="16" t="s">
        <v>173</v>
      </c>
      <c r="H266" s="73" t="n">
        <v>90</v>
      </c>
      <c r="I266" s="74" t="n">
        <f aca="false">INDEX($C$5:$C$26,MATCH(G266,$A$5:$A$26,0))</f>
        <v>224.175</v>
      </c>
      <c r="J266" s="18" t="n">
        <f aca="false">H266*I266</f>
        <v>20175.75</v>
      </c>
    </row>
    <row r="267" customFormat="false" ht="15" hidden="false" customHeight="false" outlineLevel="0" collapsed="false">
      <c r="E267" s="16" t="s">
        <v>27</v>
      </c>
      <c r="F267" s="16" t="s">
        <v>214</v>
      </c>
      <c r="G267" s="16" t="s">
        <v>175</v>
      </c>
      <c r="H267" s="73" t="n">
        <v>60</v>
      </c>
      <c r="I267" s="74" t="n">
        <f aca="false">INDEX($C$5:$C$26,MATCH(G267,$A$5:$A$26,0))</f>
        <v>206.535</v>
      </c>
      <c r="J267" s="18" t="n">
        <f aca="false">H267*I267</f>
        <v>12392.1</v>
      </c>
    </row>
    <row r="268" customFormat="false" ht="15" hidden="false" customHeight="false" outlineLevel="0" collapsed="false">
      <c r="E268" s="16" t="s">
        <v>156</v>
      </c>
      <c r="F268" s="16" t="s">
        <v>191</v>
      </c>
      <c r="G268" s="16" t="s">
        <v>169</v>
      </c>
      <c r="H268" s="73" t="n">
        <v>7</v>
      </c>
      <c r="I268" s="74" t="n">
        <f aca="false">INDEX($C$5:$C$26,MATCH(G268,$A$5:$A$26,0))</f>
        <v>256.515</v>
      </c>
      <c r="J268" s="18" t="n">
        <f aca="false">H268*I268</f>
        <v>1795.605</v>
      </c>
    </row>
    <row r="269" customFormat="false" ht="15" hidden="false" customHeight="false" outlineLevel="0" collapsed="false">
      <c r="E269" s="16" t="s">
        <v>156</v>
      </c>
      <c r="F269" s="16" t="s">
        <v>191</v>
      </c>
      <c r="G269" s="16" t="s">
        <v>171</v>
      </c>
      <c r="H269" s="73" t="n">
        <v>235</v>
      </c>
      <c r="I269" s="74" t="n">
        <f aca="false">INDEX($C$5:$C$26,MATCH(G269,$A$5:$A$26,0))</f>
        <v>236.67</v>
      </c>
      <c r="J269" s="18" t="n">
        <f aca="false">H269*I269</f>
        <v>55617.45</v>
      </c>
    </row>
    <row r="270" customFormat="false" ht="15" hidden="false" customHeight="false" outlineLevel="0" collapsed="false">
      <c r="E270" s="16" t="s">
        <v>156</v>
      </c>
      <c r="F270" s="16" t="s">
        <v>191</v>
      </c>
      <c r="G270" s="16" t="s">
        <v>173</v>
      </c>
      <c r="H270" s="73" t="n">
        <v>280</v>
      </c>
      <c r="I270" s="74" t="n">
        <f aca="false">INDEX($C$5:$C$26,MATCH(G270,$A$5:$A$26,0))</f>
        <v>224.175</v>
      </c>
      <c r="J270" s="18" t="n">
        <f aca="false">H270*I270</f>
        <v>62769</v>
      </c>
    </row>
    <row r="271" customFormat="false" ht="15" hidden="false" customHeight="false" outlineLevel="0" collapsed="false">
      <c r="E271" s="16" t="s">
        <v>156</v>
      </c>
      <c r="F271" s="16" t="s">
        <v>191</v>
      </c>
      <c r="G271" s="16" t="s">
        <v>175</v>
      </c>
      <c r="H271" s="73" t="n">
        <v>75</v>
      </c>
      <c r="I271" s="74" t="n">
        <f aca="false">INDEX($C$5:$C$26,MATCH(G271,$A$5:$A$26,0))</f>
        <v>206.535</v>
      </c>
      <c r="J271" s="18" t="n">
        <f aca="false">H271*I271</f>
        <v>15490.125</v>
      </c>
    </row>
    <row r="272" customFormat="false" ht="15" hidden="false" customHeight="false" outlineLevel="0" collapsed="false">
      <c r="E272" s="16" t="s">
        <v>59</v>
      </c>
      <c r="F272" s="16" t="s">
        <v>27</v>
      </c>
      <c r="G272" s="16" t="s">
        <v>169</v>
      </c>
      <c r="H272" s="73" t="n">
        <v>40</v>
      </c>
      <c r="I272" s="74" t="n">
        <f aca="false">INDEX($C$5:$C$26,MATCH(G272,$A$5:$A$26,0))</f>
        <v>256.515</v>
      </c>
      <c r="J272" s="18" t="n">
        <f aca="false">H272*I272</f>
        <v>10260.6</v>
      </c>
    </row>
    <row r="273" customFormat="false" ht="15" hidden="false" customHeight="false" outlineLevel="0" collapsed="false">
      <c r="E273" s="16" t="s">
        <v>59</v>
      </c>
      <c r="F273" s="16" t="s">
        <v>27</v>
      </c>
      <c r="G273" s="16" t="s">
        <v>171</v>
      </c>
      <c r="H273" s="73" t="n">
        <v>85</v>
      </c>
      <c r="I273" s="74" t="n">
        <f aca="false">INDEX($C$5:$C$26,MATCH(G273,$A$5:$A$26,0))</f>
        <v>236.67</v>
      </c>
      <c r="J273" s="18" t="n">
        <f aca="false">H273*I273</f>
        <v>20116.95</v>
      </c>
    </row>
    <row r="274" customFormat="false" ht="15" hidden="false" customHeight="false" outlineLevel="0" collapsed="false">
      <c r="E274" s="16" t="s">
        <v>59</v>
      </c>
      <c r="F274" s="16" t="s">
        <v>27</v>
      </c>
      <c r="G274" s="16" t="s">
        <v>173</v>
      </c>
      <c r="H274" s="73" t="n">
        <v>105</v>
      </c>
      <c r="I274" s="74" t="n">
        <f aca="false">INDEX($C$5:$C$26,MATCH(G274,$A$5:$A$26,0))</f>
        <v>224.175</v>
      </c>
      <c r="J274" s="18" t="n">
        <f aca="false">H274*I274</f>
        <v>23538.375</v>
      </c>
    </row>
    <row r="275" customFormat="false" ht="15" hidden="false" customHeight="false" outlineLevel="0" collapsed="false">
      <c r="E275" s="16" t="s">
        <v>59</v>
      </c>
      <c r="F275" s="16" t="s">
        <v>27</v>
      </c>
      <c r="G275" s="16" t="s">
        <v>175</v>
      </c>
      <c r="H275" s="73" t="n">
        <v>55</v>
      </c>
      <c r="I275" s="74" t="n">
        <f aca="false">INDEX($C$5:$C$26,MATCH(G275,$A$5:$A$26,0))</f>
        <v>206.535</v>
      </c>
      <c r="J275" s="18" t="n">
        <f aca="false">H275*I275</f>
        <v>11359.425</v>
      </c>
    </row>
    <row r="276" customFormat="false" ht="15" hidden="false" customHeight="false" outlineLevel="0" collapsed="false">
      <c r="E276" s="16" t="s">
        <v>59</v>
      </c>
      <c r="F276" s="16" t="s">
        <v>191</v>
      </c>
      <c r="G276" s="16" t="s">
        <v>169</v>
      </c>
      <c r="H276" s="73" t="n">
        <v>85</v>
      </c>
      <c r="I276" s="74" t="n">
        <f aca="false">INDEX($C$5:$C$26,MATCH(G276,$A$5:$A$26,0))</f>
        <v>256.515</v>
      </c>
      <c r="J276" s="18" t="n">
        <f aca="false">H276*I276</f>
        <v>21803.775</v>
      </c>
    </row>
    <row r="277" customFormat="false" ht="15" hidden="false" customHeight="false" outlineLevel="0" collapsed="false">
      <c r="E277" s="16" t="s">
        <v>59</v>
      </c>
      <c r="F277" s="16" t="s">
        <v>191</v>
      </c>
      <c r="G277" s="16" t="s">
        <v>171</v>
      </c>
      <c r="H277" s="73" t="n">
        <v>225</v>
      </c>
      <c r="I277" s="74" t="n">
        <f aca="false">INDEX($C$5:$C$26,MATCH(G277,$A$5:$A$26,0))</f>
        <v>236.67</v>
      </c>
      <c r="J277" s="18" t="n">
        <f aca="false">H277*I277</f>
        <v>53250.75</v>
      </c>
    </row>
    <row r="278" customFormat="false" ht="15" hidden="false" customHeight="false" outlineLevel="0" collapsed="false">
      <c r="E278" s="16" t="s">
        <v>59</v>
      </c>
      <c r="F278" s="16" t="s">
        <v>191</v>
      </c>
      <c r="G278" s="16" t="s">
        <v>173</v>
      </c>
      <c r="H278" s="73" t="n">
        <v>265</v>
      </c>
      <c r="I278" s="74" t="n">
        <f aca="false">INDEX($C$5:$C$26,MATCH(G278,$A$5:$A$26,0))</f>
        <v>224.175</v>
      </c>
      <c r="J278" s="18" t="n">
        <f aca="false">H278*I278</f>
        <v>59406.375</v>
      </c>
    </row>
    <row r="279" customFormat="false" ht="15" hidden="false" customHeight="false" outlineLevel="0" collapsed="false">
      <c r="E279" s="16" t="s">
        <v>59</v>
      </c>
      <c r="F279" s="16" t="s">
        <v>191</v>
      </c>
      <c r="G279" s="16" t="s">
        <v>175</v>
      </c>
      <c r="H279" s="73" t="n">
        <v>85</v>
      </c>
      <c r="I279" s="74" t="n">
        <f aca="false">INDEX($C$5:$C$26,MATCH(G279,$A$5:$A$26,0))</f>
        <v>206.535</v>
      </c>
      <c r="J279" s="18" t="n">
        <f aca="false">H279*I279</f>
        <v>17555.475</v>
      </c>
    </row>
    <row r="280" customFormat="false" ht="15" hidden="false" customHeight="false" outlineLevel="0" collapsed="false">
      <c r="E280" s="16" t="s">
        <v>59</v>
      </c>
      <c r="F280" s="16" t="s">
        <v>216</v>
      </c>
      <c r="G280" s="16" t="s">
        <v>169</v>
      </c>
      <c r="H280" s="73" t="n">
        <v>40</v>
      </c>
      <c r="I280" s="74" t="n">
        <f aca="false">INDEX($C$5:$C$26,MATCH(G280,$A$5:$A$26,0))</f>
        <v>256.515</v>
      </c>
      <c r="J280" s="18" t="n">
        <f aca="false">H280*I280</f>
        <v>10260.6</v>
      </c>
    </row>
    <row r="281" customFormat="false" ht="15" hidden="false" customHeight="false" outlineLevel="0" collapsed="false">
      <c r="E281" s="16" t="s">
        <v>59</v>
      </c>
      <c r="F281" s="16" t="s">
        <v>216</v>
      </c>
      <c r="G281" s="16" t="s">
        <v>171</v>
      </c>
      <c r="H281" s="73" t="n">
        <v>90</v>
      </c>
      <c r="I281" s="74" t="n">
        <f aca="false">INDEX($C$5:$C$26,MATCH(G281,$A$5:$A$26,0))</f>
        <v>236.67</v>
      </c>
      <c r="J281" s="18" t="n">
        <f aca="false">H281*I281</f>
        <v>21300.3</v>
      </c>
    </row>
    <row r="282" customFormat="false" ht="15" hidden="false" customHeight="false" outlineLevel="0" collapsed="false">
      <c r="E282" s="16" t="s">
        <v>59</v>
      </c>
      <c r="F282" s="16" t="s">
        <v>216</v>
      </c>
      <c r="G282" s="16" t="s">
        <v>173</v>
      </c>
      <c r="H282" s="73" t="n">
        <v>100</v>
      </c>
      <c r="I282" s="74" t="n">
        <f aca="false">INDEX($C$5:$C$26,MATCH(G282,$A$5:$A$26,0))</f>
        <v>224.175</v>
      </c>
      <c r="J282" s="18" t="n">
        <f aca="false">H282*I282</f>
        <v>22417.5</v>
      </c>
    </row>
    <row r="283" customFormat="false" ht="15" hidden="false" customHeight="false" outlineLevel="0" collapsed="false">
      <c r="E283" s="16" t="s">
        <v>59</v>
      </c>
      <c r="F283" s="16" t="s">
        <v>216</v>
      </c>
      <c r="G283" s="16" t="s">
        <v>175</v>
      </c>
      <c r="H283" s="73" t="n">
        <v>55</v>
      </c>
      <c r="I283" s="74" t="n">
        <f aca="false">INDEX($C$5:$C$26,MATCH(G283,$A$5:$A$26,0))</f>
        <v>206.535</v>
      </c>
      <c r="J283" s="18" t="n">
        <f aca="false">H283*I283</f>
        <v>11359.425</v>
      </c>
    </row>
    <row r="284" customFormat="false" ht="15" hidden="false" customHeight="false" outlineLevel="0" collapsed="false">
      <c r="E284" s="16" t="s">
        <v>59</v>
      </c>
      <c r="F284" s="16" t="s">
        <v>214</v>
      </c>
      <c r="G284" s="16" t="s">
        <v>169</v>
      </c>
      <c r="H284" s="73" t="n">
        <v>45</v>
      </c>
      <c r="I284" s="74" t="n">
        <f aca="false">INDEX($C$5:$C$26,MATCH(G284,$A$5:$A$26,0))</f>
        <v>256.515</v>
      </c>
      <c r="J284" s="18" t="n">
        <f aca="false">H284*I284</f>
        <v>11543.175</v>
      </c>
    </row>
    <row r="285" customFormat="false" ht="15" hidden="false" customHeight="false" outlineLevel="0" collapsed="false">
      <c r="E285" s="16" t="s">
        <v>59</v>
      </c>
      <c r="F285" s="16" t="s">
        <v>214</v>
      </c>
      <c r="G285" s="16" t="s">
        <v>171</v>
      </c>
      <c r="H285" s="73" t="n">
        <v>120</v>
      </c>
      <c r="I285" s="74" t="n">
        <f aca="false">INDEX($C$5:$C$26,MATCH(G285,$A$5:$A$26,0))</f>
        <v>236.67</v>
      </c>
      <c r="J285" s="18" t="n">
        <f aca="false">H285*I285</f>
        <v>28400.4</v>
      </c>
    </row>
    <row r="286" customFormat="false" ht="15" hidden="false" customHeight="false" outlineLevel="0" collapsed="false">
      <c r="E286" s="16" t="s">
        <v>59</v>
      </c>
      <c r="F286" s="16" t="s">
        <v>214</v>
      </c>
      <c r="G286" s="16" t="s">
        <v>173</v>
      </c>
      <c r="H286" s="73" t="n">
        <v>130</v>
      </c>
      <c r="I286" s="74" t="n">
        <f aca="false">INDEX($C$5:$C$26,MATCH(G286,$A$5:$A$26,0))</f>
        <v>224.175</v>
      </c>
      <c r="J286" s="18" t="n">
        <f aca="false">H286*I286</f>
        <v>29142.75</v>
      </c>
    </row>
    <row r="287" customFormat="false" ht="15" hidden="false" customHeight="false" outlineLevel="0" collapsed="false">
      <c r="E287" s="16" t="s">
        <v>59</v>
      </c>
      <c r="F287" s="16" t="s">
        <v>214</v>
      </c>
      <c r="G287" s="16" t="s">
        <v>175</v>
      </c>
      <c r="H287" s="73" t="n">
        <v>60</v>
      </c>
      <c r="I287" s="74" t="n">
        <f aca="false">INDEX($C$5:$C$26,MATCH(G287,$A$5:$A$26,0))</f>
        <v>206.535</v>
      </c>
      <c r="J287" s="18" t="n">
        <f aca="false">H287*I287</f>
        <v>12392.1</v>
      </c>
    </row>
    <row r="288" customFormat="false" ht="15" hidden="false" customHeight="false" outlineLevel="0" collapsed="false">
      <c r="E288" s="16" t="s">
        <v>59</v>
      </c>
      <c r="F288" s="16" t="s">
        <v>215</v>
      </c>
      <c r="G288" s="16" t="s">
        <v>169</v>
      </c>
      <c r="H288" s="73" t="n">
        <v>40</v>
      </c>
      <c r="I288" s="74" t="n">
        <f aca="false">INDEX($C$5:$C$26,MATCH(G288,$A$5:$A$26,0))</f>
        <v>256.515</v>
      </c>
      <c r="J288" s="18" t="n">
        <f aca="false">H288*I288</f>
        <v>10260.6</v>
      </c>
    </row>
    <row r="289" customFormat="false" ht="15" hidden="false" customHeight="false" outlineLevel="0" collapsed="false">
      <c r="E289" s="16" t="s">
        <v>59</v>
      </c>
      <c r="F289" s="16" t="s">
        <v>215</v>
      </c>
      <c r="G289" s="16" t="s">
        <v>171</v>
      </c>
      <c r="H289" s="73" t="n">
        <v>75</v>
      </c>
      <c r="I289" s="74" t="n">
        <f aca="false">INDEX($C$5:$C$26,MATCH(G289,$A$5:$A$26,0))</f>
        <v>236.67</v>
      </c>
      <c r="J289" s="18" t="n">
        <f aca="false">H289*I289</f>
        <v>17750.25</v>
      </c>
    </row>
    <row r="290" customFormat="false" ht="15" hidden="false" customHeight="false" outlineLevel="0" collapsed="false">
      <c r="E290" s="16" t="s">
        <v>59</v>
      </c>
      <c r="F290" s="16" t="s">
        <v>215</v>
      </c>
      <c r="G290" s="16" t="s">
        <v>173</v>
      </c>
      <c r="H290" s="73" t="n">
        <v>90</v>
      </c>
      <c r="I290" s="74" t="n">
        <f aca="false">INDEX($C$5:$C$26,MATCH(G290,$A$5:$A$26,0))</f>
        <v>224.175</v>
      </c>
      <c r="J290" s="18" t="n">
        <f aca="false">H290*I290</f>
        <v>20175.75</v>
      </c>
    </row>
    <row r="291" customFormat="false" ht="15" hidden="false" customHeight="false" outlineLevel="0" collapsed="false">
      <c r="E291" s="16" t="s">
        <v>59</v>
      </c>
      <c r="F291" s="16" t="s">
        <v>215</v>
      </c>
      <c r="G291" s="16" t="s">
        <v>175</v>
      </c>
      <c r="H291" s="73" t="n">
        <v>40</v>
      </c>
      <c r="I291" s="74" t="n">
        <f aca="false">INDEX($C$5:$C$26,MATCH(G291,$A$5:$A$26,0))</f>
        <v>206.535</v>
      </c>
      <c r="J291" s="18" t="n">
        <f aca="false">H291*I291</f>
        <v>8261.4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2026-09-24T08:39:45Z</dcterms:created>
  <dc:creator>openpyxl</dc:creator>
  <dc:description/>
  <dc:language>en-US</dc:language>
  <cp:lastModifiedBy/>
  <dcterms:modified xsi:type="dcterms:W3CDTF">2026-09-24T08:39:45Z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