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En la plantilla había 130.000 fijos. Valor calculado: retrabajo sobre lo que queda de IDOM en el Stage 2 tras el descoping de SSC y el ajuste del S1 (46.917 AUD; aislado 139.097 AUD).</t>
        </r>
      </text>
    </comment>
    <comment ref="G3" authorId="0">
      <text>
        <r>
          <rPr>
            <sz val="10"/>
            <rFont val="Arial"/>
            <family val="2"/>
          </rPr>
          <t xml:space="preserve">La plantilla indicaba S1; el retrabajo está en el Stage 2.</t>
        </r>
      </text>
    </comment>
  </commentList>
</comments>
</file>

<file path=xl/sharedStrings.xml><?xml version="1.0" encoding="utf-8"?>
<sst xmlns="http://schemas.openxmlformats.org/spreadsheetml/2006/main" count="139" uniqueCount="90">
  <si>
    <t xml:space="preserve">Reducciones sobre la oferta. Value en € (tipo de cambio 1 AUD = 0,62 €); desglose por stage en AUD, que es la moneda de la oferta y del benchmark.</t>
  </si>
  <si>
    <t xml:space="preserve">Discpline</t>
  </si>
  <si>
    <t xml:space="preserve">Item</t>
  </si>
  <si>
    <t xml:space="preserve">Concept</t>
  </si>
  <si>
    <t xml:space="preserve">Value</t>
  </si>
  <si>
    <t xml:space="preserve">Explanation</t>
  </si>
  <si>
    <t xml:space="preserve">Deliverables affected</t>
  </si>
  <si>
    <t xml:space="preserve">Stages affected</t>
  </si>
  <si>
    <t xml:space="preserve">Escenario</t>
  </si>
  <si>
    <t xml:space="preserve">Valor AUD</t>
  </si>
  <si>
    <t xml:space="preserve">Valor aislado AUD (vs oferta original)</t>
  </si>
  <si>
    <t xml:space="preserve">S1 (AUD)</t>
  </si>
  <si>
    <t xml:space="preserve">S2 (AUD)</t>
  </si>
  <si>
    <t xml:space="preserve">S3 (AUD)</t>
  </si>
  <si>
    <t xml:space="preserve">S4 (AUD)</t>
  </si>
  <si>
    <t xml:space="preserve">S5 (AUD)</t>
  </si>
  <si>
    <t xml:space="preserve">S6 (AUD)</t>
  </si>
  <si>
    <t xml:space="preserve">S7 (AUD)</t>
  </si>
  <si>
    <t xml:space="preserve">Nuclear</t>
  </si>
  <si>
    <t xml:space="preserve">Reworks </t>
  </si>
  <si>
    <t xml:space="preserve">Se quita entero el retrabajo del 35% incluido en las tareas de IDOM del Stage 2: se asume que todo sale bien a la primera. Calculado sobre lo que queda de IDOM en S2 tras el descoping y el ajuste del S1 (aislado: 139,097 AUD).</t>
  </si>
  <si>
    <t xml:space="preserve">n/a</t>
  </si>
  <si>
    <t xml:space="preserve">S2</t>
  </si>
  <si>
    <t xml:space="preserve">1 y 2</t>
  </si>
  <si>
    <t xml:space="preserve">SSC descoping</t>
  </si>
  <si>
    <t xml:space="preserve">Descoping de los entregables SSC (Categorisation Report, Register, Engineering Schedule &amp; V&amp;V Report y Design Substantiation Report), incluida la parte de Plan Safe en S28 y S29, en los stages S1-S5.</t>
  </si>
  <si>
    <t xml:space="preserve">S26, S27, S28, S29</t>
  </si>
  <si>
    <t xml:space="preserve">S1-S5</t>
  </si>
  <si>
    <t xml:space="preserve">Commercial dIscount</t>
  </si>
  <si>
    <t xml:space="preserve">4% de descuento sobre lo que cobra IDOM, después del resto de reducciones (aislado sobre IDOM original: 234,329 AUD).</t>
  </si>
  <si>
    <t xml:space="preserve">All</t>
  </si>
  <si>
    <t xml:space="preserve">S1 deliverable adjustment</t>
  </si>
  <si>
    <t xml:space="preserve">Solo dos semanas de trabajo: una emisión sin revisión en el Stage 1, 165 h y 38,675 AUD (≈2,2 autores senior al 100 % durante 10 días laborables). Se elimina la actualización del Stage 2.</t>
  </si>
  <si>
    <t xml:space="preserve">S1</t>
  </si>
  <si>
    <t xml:space="preserve">S1, S2</t>
  </si>
  <si>
    <t xml:space="preserve">Viajes</t>
  </si>
  <si>
    <t xml:space="preserve">Se quitan los viajes: 70,000 EUR (112,903 AUD), repartidos por stage según lo que factura IDOM.</t>
  </si>
  <si>
    <t xml:space="preserve">Plansafe</t>
  </si>
  <si>
    <t xml:space="preserve">S2, S3, S8, S30</t>
  </si>
  <si>
    <t xml:space="preserve">S1-S7</t>
  </si>
  <si>
    <t xml:space="preserve">Solo 2</t>
  </si>
  <si>
    <t xml:space="preserve">Farma</t>
  </si>
  <si>
    <t xml:space="preserve">7</t>
  </si>
  <si>
    <t xml:space="preserve">Descuento Farma (a completar)</t>
  </si>
  <si>
    <t xml:space="preserve">8</t>
  </si>
  <si>
    <t xml:space="preserve">9</t>
  </si>
  <si>
    <t xml:space="preserve">10</t>
  </si>
  <si>
    <t xml:space="preserve">11</t>
  </si>
  <si>
    <t xml:space="preserve">Total reducción Nuclear · Escenario 1</t>
  </si>
  <si>
    <t xml:space="preserve">Total reducción Nuclear · Escenario 2</t>
  </si>
  <si>
    <t xml:space="preserve">Total reducción Farma</t>
  </si>
  <si>
    <t xml:space="preserve">Filas Farma (amarillo claro): Farma rellena concepto, explicación y el importe de cada descuento en su stage (AUD). Se suman solas en Value y en la tabla FARMA de Hoja2.</t>
  </si>
  <si>
    <t xml:space="preserve">Las reducciones nucleares se aplican en cadena y sin doble conteo: SSC → ajuste S1 → retrabajo → viajes → descuento comercial. «Valor aislado» = lo que valdría cada una por separado frente a la oferta original.</t>
  </si>
  <si>
    <t xml:space="preserve">NUCLEAR (AUD)</t>
  </si>
  <si>
    <t xml:space="preserve">Stage</t>
  </si>
  <si>
    <t xml:space="preserve">Original oferta</t>
  </si>
  <si>
    <t xml:space="preserve">Escenario 1: con plansafe</t>
  </si>
  <si>
    <t xml:space="preserve">Escenario 2: sin plansafe</t>
  </si>
  <si>
    <t xml:space="preserve">Benchmark Synertec</t>
  </si>
  <si>
    <t xml:space="preserve">% Reducción Esc. 1</t>
  </si>
  <si>
    <t xml:space="preserve">% Reducción Esc. 2</t>
  </si>
  <si>
    <t xml:space="preserve">% Diferencia synertec Esc. 1</t>
  </si>
  <si>
    <t xml:space="preserve">% Diferencia synertec Esc. 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</si>
  <si>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</si>
  <si>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</si>
  <si>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</si>
  <si>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</si>
  <si>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</si>
  <si>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TOTAL</t>
  </si>
  <si>
    <t xml:space="preserve">FARMA (AUD) — a completar por Farma</t>
  </si>
  <si>
    <t xml:space="preserve">Escenario Farma</t>
  </si>
  <si>
    <t xml:space="preserve">Descuentos Farma</t>
  </si>
  <si>
    <t xml:space="preserve">Benchmark Farma</t>
  </si>
  <si>
    <t xml:space="preserve">% Reducción</t>
  </si>
  <si>
    <t xml:space="preserve">% Diferencia benchmark</t>
  </si>
  <si>
    <t xml:space="preserve">Farma rellena la oferta original y su benchmark por stage (amarillo claro); sus descuentos vienen de las filas Farma de Hoja1. Escenario único.</t>
  </si>
  <si>
    <t xml:space="preserve">TOTAL NUCLEAR + FARMA (AUD)</t>
  </si>
  <si>
    <t xml:space="preserve">Escenario 1: con plansafe + Farma</t>
  </si>
  <si>
    <t xml:space="preserve">Escenario 2: sin plansafe + Farma</t>
  </si>
  <si>
    <t xml:space="preserve">Benchmark (Synertec + Farma)</t>
  </si>
  <si>
    <t xml:space="preserve">% Diferencia benchmark Esc. 1</t>
  </si>
  <si>
    <t xml:space="preserve">% Diferencia benchmark Esc. 2</t>
  </si>
  <si>
    <t xml:space="preserve">NUCLEAR · reparto por empresa (AUD)</t>
  </si>
  <si>
    <t xml:space="preserve">Empresa</t>
  </si>
  <si>
    <t xml:space="preserve">Reducción Esc. 1</t>
  </si>
  <si>
    <t xml:space="preserve">Reducción Esc. 2</t>
  </si>
  <si>
    <t xml:space="preserve">IDOM</t>
  </si>
  <si>
    <t xml:space="preserve">Plan Safe</t>
  </si>
  <si>
    <t xml:space="preserve">INVAP</t>
  </si>
  <si>
    <t xml:space="preserve">% Reducción = 1 − escenario / original. % Diferencia = (benchmark − escenario) / escenario (negativo = el benchmark está por debajo). Importes en AUD, moneda de la oferta y del benchmark de Synertec.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</si>
</sst>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;[RED]\-#,##0&quot; €&quot;"/>
    <numFmt numFmtId="166" formatCode="#,##0;\-#,##0;\-"/>
    <numFmt numFmtId="167" formatCode="0.0%;\-0.0%;\-"/>
    <numFmt numFmtId="168" formatCode="0.00%;\-0.00%;\-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000000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ptos Narrow"/>
      <family val="0"/>
      <charset val="1"/>
    </font>
    <font>
      <sz val="11"/>
      <color rgb="FF0000FF"/>
      <name val="Aptos Narrow"/>
      <family val="0"/>
      <charset val="1"/>
    </font>
    <font>
      <sz val="10"/>
      <name val="Arial"/>
      <family val="2"/>
    </font>
    <font>
      <b val="true"/>
      <sz val="12"/>
      <color rgb="FF0070C0"/>
      <name val="Aptos Narrow"/>
      <family val="0"/>
      <charset val="1"/>
    </font>
    <font>
      <b val="true"/>
      <sz val="11"/>
      <color rgb="FF2E75B6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5" tint="0.7999"/>
        <bgColor rgb="FFFFF2CC"/>
      </patternFill>
    </fill>
    <fill>
      <patternFill patternType="solid">
        <fgColor rgb="FFFFF2CC"/>
        <bgColor rgb="FFFBE3D6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4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Q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F11" activeCellId="0" sqref="F11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25.18"/>
    <col collapsed="false" customWidth="true" hidden="false" outlineLevel="0" max="4" min="4" style="1" width="15.64"/>
    <col collapsed="false" customWidth="true" hidden="false" outlineLevel="0" max="5" min="5" style="1" width="70"/>
    <col collapsed="false" customWidth="true" hidden="false" outlineLevel="0" max="6" min="6" style="1" width="27"/>
    <col collapsed="false" customWidth="true" hidden="false" outlineLevel="0" max="7" min="7" style="1" width="18.64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7"/>
    <col collapsed="false" customWidth="true" hidden="false" outlineLevel="0" max="17" min="11" style="1" width="12"/>
  </cols>
  <sheetData>
    <row r="1" customFormat="false" ht="14.25" hidden="false" customHeight="true" outlineLevel="0" collapsed="false">
      <c r="A1" s="2" t="s">
        <v>0</v>
      </c>
    </row>
    <row r="2" customFormat="false" ht="4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customFormat="false" ht="57.75" hidden="false" customHeight="true" outlineLevel="0" collapsed="false">
      <c r="A3" s="4" t="s">
        <v>18</v>
      </c>
      <c r="B3" s="4" t="n">
        <v>1</v>
      </c>
      <c r="C3" s="4" t="s">
        <v>19</v>
      </c>
      <c r="D3" s="5" t="n">
        <v>29088.2845944444</v>
      </c>
      <c r="E3" s="6" t="s">
        <v>20</v>
      </c>
      <c r="F3" s="7" t="s">
        <v>21</v>
      </c>
      <c r="G3" s="7" t="s">
        <v>22</v>
      </c>
      <c r="H3" s="8" t="s">
        <v>23</v>
      </c>
      <c r="I3" s="9" t="n">
        <v>46916.5880555555</v>
      </c>
      <c r="J3" s="10" t="n">
        <v>139096.504166667</v>
      </c>
      <c r="K3" s="10" t="n">
        <v>0</v>
      </c>
      <c r="L3" s="10" t="n">
        <v>46916.5880555555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</row>
    <row r="4" customFormat="false" ht="57.75" hidden="false" customHeight="true" outlineLevel="0" collapsed="false">
      <c r="A4" s="4" t="s">
        <v>18</v>
      </c>
      <c r="B4" s="4" t="n">
        <v>2</v>
      </c>
      <c r="C4" s="4" t="s">
        <v>24</v>
      </c>
      <c r="D4" s="5" t="n">
        <v>775407.7275</v>
      </c>
      <c r="E4" s="6" t="s">
        <v>25</v>
      </c>
      <c r="F4" s="7" t="s">
        <v>26</v>
      </c>
      <c r="G4" s="7" t="s">
        <v>27</v>
      </c>
      <c r="H4" s="8" t="s">
        <v>23</v>
      </c>
      <c r="I4" s="9" t="n">
        <v>1250657.625</v>
      </c>
      <c r="J4" s="10" t="n">
        <v>1250657.625</v>
      </c>
      <c r="K4" s="10" t="n">
        <v>0</v>
      </c>
      <c r="L4" s="10" t="n">
        <v>99735.825</v>
      </c>
      <c r="M4" s="10" t="n">
        <v>278487.825</v>
      </c>
      <c r="N4" s="10" t="n">
        <v>624849.225</v>
      </c>
      <c r="O4" s="10" t="n">
        <v>247584.75</v>
      </c>
      <c r="P4" s="10" t="n">
        <v>0</v>
      </c>
      <c r="Q4" s="10" t="n">
        <v>0</v>
      </c>
    </row>
    <row r="5" customFormat="false" ht="57.75" hidden="false" customHeight="true" outlineLevel="0" collapsed="false">
      <c r="A5" s="4" t="s">
        <v>18</v>
      </c>
      <c r="B5" s="4" t="n">
        <v>3</v>
      </c>
      <c r="C5" s="4" t="s">
        <v>28</v>
      </c>
      <c r="D5" s="5" t="n">
        <v>102903.872154222</v>
      </c>
      <c r="E5" s="6" t="s">
        <v>29</v>
      </c>
      <c r="F5" s="7" t="s">
        <v>21</v>
      </c>
      <c r="G5" s="7" t="s">
        <v>30</v>
      </c>
      <c r="H5" s="8" t="s">
        <v>23</v>
      </c>
      <c r="I5" s="9" t="n">
        <v>165973.98734552</v>
      </c>
      <c r="J5" s="10" t="n">
        <v>234328.7163</v>
      </c>
      <c r="K5" s="10" t="n">
        <v>1355.41923186397</v>
      </c>
      <c r="L5" s="10" t="n">
        <v>5219.86400664385</v>
      </c>
      <c r="M5" s="10" t="n">
        <v>36700.2326903973</v>
      </c>
      <c r="N5" s="10" t="n">
        <v>78139.9248500768</v>
      </c>
      <c r="O5" s="10" t="n">
        <v>5764.8862496962</v>
      </c>
      <c r="P5" s="10" t="n">
        <v>22741.6920336076</v>
      </c>
      <c r="Q5" s="10" t="n">
        <v>16051.968283234</v>
      </c>
    </row>
    <row r="6" customFormat="false" ht="57.75" hidden="false" customHeight="true" outlineLevel="0" collapsed="false">
      <c r="A6" s="4" t="s">
        <v>18</v>
      </c>
      <c r="B6" s="4" t="n">
        <v>4</v>
      </c>
      <c r="C6" s="4" t="s">
        <v>31</v>
      </c>
      <c r="D6" s="5" t="n">
        <v>244121.2025</v>
      </c>
      <c r="E6" s="6" t="s">
        <v>32</v>
      </c>
      <c r="F6" s="7" t="s">
        <v>33</v>
      </c>
      <c r="G6" s="7" t="s">
        <v>34</v>
      </c>
      <c r="H6" s="8" t="s">
        <v>23</v>
      </c>
      <c r="I6" s="9" t="n">
        <v>393743.875</v>
      </c>
      <c r="J6" s="10" t="n">
        <v>393743.875</v>
      </c>
      <c r="K6" s="10" t="n">
        <v>109504.675</v>
      </c>
      <c r="L6" s="10" t="n">
        <v>284239.2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</row>
    <row r="7" customFormat="false" ht="57.75" hidden="false" customHeight="true" outlineLevel="0" collapsed="false">
      <c r="A7" s="4" t="s">
        <v>18</v>
      </c>
      <c r="B7" s="4" t="n">
        <v>5</v>
      </c>
      <c r="C7" s="4" t="s">
        <v>35</v>
      </c>
      <c r="D7" s="5" t="n">
        <v>70000</v>
      </c>
      <c r="E7" s="6" t="s">
        <v>36</v>
      </c>
      <c r="F7" s="7" t="s">
        <v>21</v>
      </c>
      <c r="G7" s="7" t="s">
        <v>30</v>
      </c>
      <c r="H7" s="8" t="s">
        <v>23</v>
      </c>
      <c r="I7" s="9" t="n">
        <v>112903.225806452</v>
      </c>
      <c r="J7" s="10" t="n">
        <v>112903.225806452</v>
      </c>
      <c r="K7" s="10" t="n">
        <v>922.019203400649</v>
      </c>
      <c r="L7" s="10" t="n">
        <v>3550.79427834803</v>
      </c>
      <c r="M7" s="10" t="n">
        <v>24965.2052400674</v>
      </c>
      <c r="N7" s="10" t="n">
        <v>53154.41124808</v>
      </c>
      <c r="O7" s="10" t="n">
        <v>3921.5437575949</v>
      </c>
      <c r="P7" s="10" t="n">
        <v>15469.9566598108</v>
      </c>
      <c r="Q7" s="10" t="n">
        <v>10919.2954191498</v>
      </c>
    </row>
    <row r="8" customFormat="false" ht="57.75" hidden="false" customHeight="true" outlineLevel="0" collapsed="false">
      <c r="A8" s="7" t="s">
        <v>18</v>
      </c>
      <c r="B8" s="7" t="n">
        <v>6</v>
      </c>
      <c r="C8" s="7" t="s">
        <v>37</v>
      </c>
      <c r="D8" s="5" t="n">
        <v>757463.6286</v>
      </c>
      <c r="E8" s="6" t="str">
        <f aca="false">"Se quitan a Plan Safe sus entregables propios de human factors (HFIP, HFHICP, HF Task Assessments y HF Substantiation Report). Mantiene su parte de los entregables compartidos."</f>
        <v>Se quitan a Plan Safe sus entregables propios de human factors (HFIP, HFHICP, HF Task Assessments y HF Substantiation Report). Mantiene su parte de los entregables compartidos.</v>
      </c>
      <c r="F8" s="7" t="s">
        <v>38</v>
      </c>
      <c r="G8" s="7" t="s">
        <v>39</v>
      </c>
      <c r="H8" s="8" t="s">
        <v>40</v>
      </c>
      <c r="I8" s="9" t="n">
        <v>1221715.53</v>
      </c>
      <c r="J8" s="10" t="n">
        <v>1221715.53</v>
      </c>
      <c r="K8" s="10" t="n">
        <v>108067.05</v>
      </c>
      <c r="L8" s="10" t="n">
        <v>158866.575</v>
      </c>
      <c r="M8" s="10" t="n">
        <v>189806.4</v>
      </c>
      <c r="N8" s="10" t="n">
        <v>433104.63</v>
      </c>
      <c r="O8" s="10" t="n">
        <v>128533.125</v>
      </c>
      <c r="P8" s="10" t="n">
        <v>146889.75</v>
      </c>
      <c r="Q8" s="10" t="n">
        <v>56448</v>
      </c>
    </row>
    <row r="9" customFormat="false" ht="14.25" hidden="false" customHeight="true" outlineLevel="0" collapsed="false">
      <c r="A9" s="7" t="s">
        <v>41</v>
      </c>
      <c r="B9" s="7" t="s">
        <v>42</v>
      </c>
      <c r="C9" s="11" t="s">
        <v>43</v>
      </c>
      <c r="D9" s="12" t="n">
        <v>0</v>
      </c>
      <c r="E9" s="11"/>
      <c r="F9" s="11"/>
      <c r="G9" s="11"/>
      <c r="H9" s="8" t="s">
        <v>41</v>
      </c>
      <c r="I9" s="9" t="n">
        <f aca="false">SUM(K9:Q9)</f>
        <v>0</v>
      </c>
      <c r="J9" s="10" t="n">
        <f aca="false">I9</f>
        <v>0</v>
      </c>
      <c r="K9" s="13"/>
      <c r="L9" s="13"/>
      <c r="M9" s="13"/>
      <c r="N9" s="13"/>
      <c r="O9" s="13"/>
      <c r="P9" s="13"/>
      <c r="Q9" s="13"/>
    </row>
    <row r="10" customFormat="false" ht="14.25" hidden="false" customHeight="true" outlineLevel="0" collapsed="false">
      <c r="A10" s="7" t="s">
        <v>41</v>
      </c>
      <c r="B10" s="7" t="s">
        <v>44</v>
      </c>
      <c r="C10" s="11"/>
      <c r="D10" s="12" t="n">
        <v>0</v>
      </c>
      <c r="E10" s="11"/>
      <c r="F10" s="11"/>
      <c r="G10" s="11"/>
      <c r="H10" s="8" t="s">
        <v>41</v>
      </c>
      <c r="I10" s="9" t="n">
        <f aca="false">SUM(K10:Q10)</f>
        <v>0</v>
      </c>
      <c r="J10" s="10" t="n">
        <f aca="false">I10</f>
        <v>0</v>
      </c>
      <c r="K10" s="13"/>
      <c r="L10" s="13"/>
      <c r="M10" s="13"/>
      <c r="N10" s="13"/>
      <c r="O10" s="13"/>
      <c r="P10" s="13"/>
      <c r="Q10" s="13"/>
    </row>
    <row r="11" customFormat="false" ht="14.25" hidden="false" customHeight="true" outlineLevel="0" collapsed="false">
      <c r="A11" s="7" t="s">
        <v>41</v>
      </c>
      <c r="B11" s="7" t="s">
        <v>45</v>
      </c>
      <c r="C11" s="11"/>
      <c r="D11" s="12" t="n">
        <v>0</v>
      </c>
      <c r="E11" s="11"/>
      <c r="F11" s="11"/>
      <c r="G11" s="11"/>
      <c r="H11" s="8" t="s">
        <v>41</v>
      </c>
      <c r="I11" s="9" t="n">
        <f aca="false">SUM(K11:Q11)</f>
        <v>0</v>
      </c>
      <c r="J11" s="10" t="n">
        <f aca="false">I11</f>
        <v>0</v>
      </c>
      <c r="K11" s="13"/>
      <c r="L11" s="13"/>
      <c r="M11" s="13"/>
      <c r="N11" s="13"/>
      <c r="O11" s="13"/>
      <c r="P11" s="13"/>
      <c r="Q11" s="13"/>
    </row>
    <row r="12" customFormat="false" ht="14.25" hidden="false" customHeight="true" outlineLevel="0" collapsed="false">
      <c r="A12" s="7" t="s">
        <v>41</v>
      </c>
      <c r="B12" s="7" t="s">
        <v>46</v>
      </c>
      <c r="C12" s="11"/>
      <c r="D12" s="12" t="n">
        <v>0</v>
      </c>
      <c r="E12" s="11"/>
      <c r="F12" s="11"/>
      <c r="G12" s="11"/>
      <c r="H12" s="8" t="s">
        <v>41</v>
      </c>
      <c r="I12" s="9" t="n">
        <f aca="false">SUM(K12:Q12)</f>
        <v>0</v>
      </c>
      <c r="J12" s="10" t="n">
        <f aca="false">I12</f>
        <v>0</v>
      </c>
      <c r="K12" s="13"/>
      <c r="L12" s="13"/>
      <c r="M12" s="13"/>
      <c r="N12" s="13"/>
      <c r="O12" s="13"/>
      <c r="P12" s="13"/>
      <c r="Q12" s="13"/>
    </row>
    <row r="13" customFormat="false" ht="14.25" hidden="false" customHeight="true" outlineLevel="0" collapsed="false">
      <c r="A13" s="7" t="s">
        <v>41</v>
      </c>
      <c r="B13" s="7" t="s">
        <v>47</v>
      </c>
      <c r="C13" s="11"/>
      <c r="D13" s="12" t="n">
        <v>0</v>
      </c>
      <c r="E13" s="11"/>
      <c r="F13" s="11"/>
      <c r="G13" s="11"/>
      <c r="H13" s="8" t="s">
        <v>41</v>
      </c>
      <c r="I13" s="9" t="n">
        <f aca="false">SUM(K13:Q13)</f>
        <v>0</v>
      </c>
      <c r="J13" s="10" t="n">
        <f aca="false">I13</f>
        <v>0</v>
      </c>
      <c r="K13" s="13"/>
      <c r="L13" s="13"/>
      <c r="M13" s="13"/>
      <c r="N13" s="13"/>
      <c r="O13" s="13"/>
      <c r="P13" s="13"/>
      <c r="Q13" s="13"/>
    </row>
    <row r="15" customFormat="false" ht="14.25" hidden="false" customHeight="true" outlineLevel="0" collapsed="false">
      <c r="C15" s="14" t="s">
        <v>48</v>
      </c>
      <c r="D15" s="15" t="n">
        <f aca="false">SUMPRODUCT((D3:D8)*($H$3:$H$8="1 y 2"))</f>
        <v>1221521.08674867</v>
      </c>
      <c r="I15" s="16" t="n">
        <f aca="false">SUMPRODUCT((I3:I8)*($H$3:$H$8="1 y 2"))</f>
        <v>1970195.30120753</v>
      </c>
      <c r="K15" s="16" t="n">
        <f aca="false">SUMPRODUCT((K3:K8)*($H$3:$H$8="1 y 2"))</f>
        <v>111782.113435265</v>
      </c>
      <c r="L15" s="16" t="n">
        <f aca="false">SUMPRODUCT((L3:L8)*($H$3:$H$8="1 y 2"))</f>
        <v>439662.271340547</v>
      </c>
      <c r="M15" s="16" t="n">
        <f aca="false">SUMPRODUCT((M3:M8)*($H$3:$H$8="1 y 2"))</f>
        <v>340153.262930465</v>
      </c>
      <c r="N15" s="16" t="n">
        <f aca="false">SUMPRODUCT((N3:N8)*($H$3:$H$8="1 y 2"))</f>
        <v>756143.561098157</v>
      </c>
      <c r="O15" s="16" t="n">
        <f aca="false">SUMPRODUCT((O3:O8)*($H$3:$H$8="1 y 2"))</f>
        <v>257271.180007291</v>
      </c>
      <c r="P15" s="16" t="n">
        <f aca="false">SUMPRODUCT((P3:P8)*($H$3:$H$8="1 y 2"))</f>
        <v>38211.6486934184</v>
      </c>
      <c r="Q15" s="16" t="n">
        <f aca="false">SUMPRODUCT((Q3:Q8)*($H$3:$H$8="1 y 2"))</f>
        <v>26971.2637023838</v>
      </c>
    </row>
    <row r="16" customFormat="false" ht="14.25" hidden="false" customHeight="true" outlineLevel="0" collapsed="false">
      <c r="C16" s="14" t="s">
        <v>49</v>
      </c>
      <c r="D16" s="15" t="n">
        <f aca="false">SUM(D3:D8)</f>
        <v>1978984.71534867</v>
      </c>
      <c r="I16" s="16" t="n">
        <f aca="false">SUM(I3:I8)</f>
        <v>3191910.83120753</v>
      </c>
      <c r="K16" s="16" t="n">
        <f aca="false">SUM(K3:K8)</f>
        <v>219849.163435265</v>
      </c>
      <c r="L16" s="16" t="n">
        <f aca="false">SUM(L3:L8)</f>
        <v>598528.846340547</v>
      </c>
      <c r="M16" s="16" t="n">
        <f aca="false">SUM(M3:M8)</f>
        <v>529959.662930465</v>
      </c>
      <c r="N16" s="16" t="n">
        <f aca="false">SUM(N3:N8)</f>
        <v>1189248.19109816</v>
      </c>
      <c r="O16" s="16" t="n">
        <f aca="false">SUM(O3:O8)</f>
        <v>385804.305007291</v>
      </c>
      <c r="P16" s="16" t="n">
        <f aca="false">SUM(P3:P8)</f>
        <v>185101.398693418</v>
      </c>
      <c r="Q16" s="16" t="n">
        <f aca="false">SUM(Q3:Q8)</f>
        <v>83419.2637023838</v>
      </c>
    </row>
    <row r="17" customFormat="false" ht="14.25" hidden="false" customHeight="true" outlineLevel="0" collapsed="false">
      <c r="C17" s="14" t="s">
        <v>50</v>
      </c>
      <c r="D17" s="15" t="n">
        <f aca="false">SUM(D9:D13)</f>
        <v>0</v>
      </c>
      <c r="I17" s="16" t="n">
        <f aca="false">SUM(I9:I13)</f>
        <v>0</v>
      </c>
      <c r="K17" s="16" t="n">
        <f aca="false">SUM(K9:K13)</f>
        <v>0</v>
      </c>
      <c r="L17" s="16" t="n">
        <f aca="false">SUM(L9:L13)</f>
        <v>0</v>
      </c>
      <c r="M17" s="16" t="n">
        <f aca="false">SUM(M9:M13)</f>
        <v>0</v>
      </c>
      <c r="N17" s="16" t="n">
        <f aca="false">SUM(N9:N13)</f>
        <v>0</v>
      </c>
      <c r="O17" s="16" t="n">
        <f aca="false">SUM(O9:O13)</f>
        <v>0</v>
      </c>
      <c r="P17" s="16" t="n">
        <f aca="false">SUM(P9:P13)</f>
        <v>0</v>
      </c>
      <c r="Q17" s="16" t="n">
        <f aca="false">SUM(Q9:Q13)</f>
        <v>0</v>
      </c>
    </row>
    <row r="19" customFormat="false" ht="14.25" hidden="false" customHeight="true" outlineLevel="0" collapsed="false">
      <c r="A19" s="2" t="s">
        <v>51</v>
      </c>
    </row>
    <row r="20" customFormat="false" ht="14.25" hidden="false" customHeight="true" outlineLevel="0" collapsed="false">
      <c r="A20" s="2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2:I43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F20" activeCellId="0" sqref="F20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4" min="3" style="1" width="20"/>
    <col collapsed="false" customWidth="true" hidden="false" outlineLevel="0" max="5" min="5" style="1" width="18"/>
    <col collapsed="false" customWidth="true" hidden="false" outlineLevel="0" max="7" min="6" style="1" width="13"/>
    <col collapsed="false" customWidth="true" hidden="false" outlineLevel="0" max="9" min="8" style="1" width="16"/>
  </cols>
  <sheetData>
    <row r="2" customFormat="false" ht="15" hidden="false" customHeight="true" outlineLevel="0" collapsed="false">
      <c r="A2" s="17" t="s">
        <v>53</v>
      </c>
      <c r="B2" s="17"/>
      <c r="C2" s="17"/>
      <c r="D2" s="17"/>
      <c r="E2" s="17"/>
      <c r="F2" s="17"/>
      <c r="G2" s="17"/>
      <c r="H2" s="17"/>
      <c r="I2" s="17"/>
    </row>
    <row r="3" customFormat="false" ht="45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62</v>
      </c>
    </row>
    <row r="4" customFormat="false" ht="14.25" hidden="false" customHeight="true" outlineLevel="0" collapsed="false">
      <c r="A4" s="18" t="s">
        <v>33</v>
      </c>
      <c r="B4" s="10" t="n">
        <v>335082.825</v>
      </c>
      <c r="C4" s="9" t="n">
        <v>223300.711564735</v>
      </c>
      <c r="D4" s="9" t="n">
        <v>115233.661564735</v>
      </c>
      <c r="E4" s="19" t="n">
        <v>106000</v>
      </c>
      <c r="F4" s="20" t="n">
        <f aca="false">IF(B4=0,0,1-C4/B4)</f>
        <v>0.333595472806656</v>
      </c>
      <c r="G4" s="20" t="n">
        <f aca="false">IF(B4=0,0,1-D4/B4)</f>
        <v>0.656103945152262</v>
      </c>
      <c r="H4" s="21" t="n">
        <f aca="false">IF(C4=0,0,(E4-C4)/C4)</f>
        <v>-0.525303796583422</v>
      </c>
      <c r="I4" s="21" t="n">
        <f aca="false">IF(D4=0,0,(E4-D4)/D4)</f>
        <v>-0.0801298981508783</v>
      </c>
    </row>
    <row r="5" customFormat="false" ht="14.25" hidden="false" customHeight="true" outlineLevel="0" collapsed="false">
      <c r="A5" s="18" t="s">
        <v>22</v>
      </c>
      <c r="B5" s="10" t="n">
        <v>732839.1</v>
      </c>
      <c r="C5" s="9" t="n">
        <v>293176.828659453</v>
      </c>
      <c r="D5" s="9" t="n">
        <v>134310.253659453</v>
      </c>
      <c r="E5" s="19" t="n">
        <v>453000</v>
      </c>
      <c r="F5" s="20" t="n">
        <f aca="false">IF(B5=0,0,1-C5/B5)</f>
        <v>0.599943795767102</v>
      </c>
      <c r="G5" s="20" t="n">
        <f aca="false">IF(B5=0,0,1-D5/B5)</f>
        <v>0.816726135846937</v>
      </c>
      <c r="H5" s="21" t="n">
        <f aca="false">IF(C5=0,0,(E5-C5)/C5)</f>
        <v>0.545142575118696</v>
      </c>
      <c r="I5" s="21" t="n">
        <f aca="false">IF(D5=0,0,(E5-D5)/D5)</f>
        <v>2.37278791199809</v>
      </c>
    </row>
    <row r="6" customFormat="false" ht="14.25" hidden="false" customHeight="true" outlineLevel="0" collapsed="false">
      <c r="A6" s="18" t="s">
        <v>63</v>
      </c>
      <c r="B6" s="10" t="n">
        <v>1469323.8</v>
      </c>
      <c r="C6" s="9" t="n">
        <v>1129170.53706954</v>
      </c>
      <c r="D6" s="9" t="n">
        <v>939364.137069535</v>
      </c>
      <c r="E6" s="19" t="n">
        <v>1250000</v>
      </c>
      <c r="F6" s="20" t="n">
        <f aca="false">IF(B6=0,0,1-C6/B6)</f>
        <v>0.231503269007458</v>
      </c>
      <c r="G6" s="20" t="n">
        <f aca="false">IF(B6=0,0,1-D6/B6)</f>
        <v>0.360682691541827</v>
      </c>
      <c r="H6" s="21" t="n">
        <f aca="false">IF(C6=0,0,(E6-C6)/C6)</f>
        <v>0.107007275662754</v>
      </c>
      <c r="I6" s="21" t="n">
        <f aca="false">IF(D6=0,0,(E6-D6)/D6)</f>
        <v>0.330687377420574</v>
      </c>
    </row>
    <row r="7" customFormat="false" ht="14.25" hidden="false" customHeight="true" outlineLevel="0" collapsed="false">
      <c r="A7" s="18" t="s">
        <v>64</v>
      </c>
      <c r="B7" s="10" t="n">
        <v>3183882.555</v>
      </c>
      <c r="C7" s="9" t="n">
        <v>2427738.99390184</v>
      </c>
      <c r="D7" s="9" t="n">
        <v>1994634.36390184</v>
      </c>
      <c r="E7" s="19" t="n">
        <v>1455000</v>
      </c>
      <c r="F7" s="20" t="n">
        <f aca="false">IF(B7=0,0,1-C7/B7)</f>
        <v>0.237491034306748</v>
      </c>
      <c r="G7" s="20" t="n">
        <f aca="false">IF(B7=0,0,1-D7/B7)</f>
        <v>0.373521375413347</v>
      </c>
      <c r="H7" s="21" t="n">
        <f aca="false">IF(C7=0,0,(E7-C7)/C7)</f>
        <v>-0.400676924638617</v>
      </c>
      <c r="I7" s="21" t="n">
        <f aca="false">IF(D7=0,0,(E7-D7)/D7)</f>
        <v>-0.270542999593281</v>
      </c>
    </row>
    <row r="8" customFormat="false" ht="14.25" hidden="false" customHeight="true" outlineLevel="0" collapsed="false">
      <c r="A8" s="18" t="s">
        <v>65</v>
      </c>
      <c r="B8" s="10" t="n">
        <v>540610.875</v>
      </c>
      <c r="C8" s="9" t="n">
        <v>283339.694992709</v>
      </c>
      <c r="D8" s="9" t="n">
        <v>154806.569992709</v>
      </c>
      <c r="E8" s="19" t="n">
        <v>370000</v>
      </c>
      <c r="F8" s="20" t="n">
        <f aca="false">IF(B8=0,0,1-C8/B8)</f>
        <v>0.475889760832671</v>
      </c>
      <c r="G8" s="20" t="n">
        <f aca="false">IF(B8=0,0,1-D8/B8)</f>
        <v>0.713645105654397</v>
      </c>
      <c r="H8" s="21" t="n">
        <f aca="false">IF(C8=0,0,(E8-C8)/C8)</f>
        <v>0.305853032733451</v>
      </c>
      <c r="I8" s="21" t="n">
        <f aca="false">IF(D8=0,0,(E8-D8)/D8)</f>
        <v>1.39007943924748</v>
      </c>
    </row>
    <row r="9" customFormat="false" ht="14.25" hidden="false" customHeight="true" outlineLevel="0" collapsed="false">
      <c r="A9" s="18" t="s">
        <v>66</v>
      </c>
      <c r="B9" s="10" t="n">
        <v>775079.55</v>
      </c>
      <c r="C9" s="9" t="n">
        <v>736867.901306582</v>
      </c>
      <c r="D9" s="9" t="n">
        <v>589978.151306582</v>
      </c>
      <c r="E9" s="19" t="n">
        <v>102000</v>
      </c>
      <c r="F9" s="20" t="n">
        <f aca="false">IF(B9=0,0,1-C9/B9)</f>
        <v>0.0493002927162999</v>
      </c>
      <c r="G9" s="20" t="n">
        <f aca="false">IF(B9=0,0,1-D9/B9)</f>
        <v>0.238816001136165</v>
      </c>
      <c r="H9" s="21" t="n">
        <f aca="false">IF(C9=0,0,(E9-C9)/C9)</f>
        <v>-0.861576274636013</v>
      </c>
      <c r="I9" s="21" t="n">
        <f aca="false">IF(D9=0,0,(E9-D9)/D9)</f>
        <v>-0.827112241743007</v>
      </c>
    </row>
    <row r="10" customFormat="false" ht="14.25" hidden="false" customHeight="true" outlineLevel="0" collapsed="false">
      <c r="A10" s="18" t="s">
        <v>67</v>
      </c>
      <c r="B10" s="10" t="n">
        <v>493905.3</v>
      </c>
      <c r="C10" s="9" t="n">
        <v>466934.036297616</v>
      </c>
      <c r="D10" s="9" t="n">
        <v>410486.036297616</v>
      </c>
      <c r="E10" s="19" t="n">
        <v>73000</v>
      </c>
      <c r="F10" s="20" t="n">
        <f aca="false">IF(B10=0,0,1-C10/B10)</f>
        <v>0.0546081682103512</v>
      </c>
      <c r="G10" s="20" t="n">
        <f aca="false">IF(B10=0,0,1-D10/B10)</f>
        <v>0.168897283957844</v>
      </c>
      <c r="H10" s="21" t="n">
        <f aca="false">IF(C10=0,0,(E10-C10)/C10)</f>
        <v>-0.843661000644059</v>
      </c>
      <c r="I10" s="21" t="n">
        <f aca="false">IF(D10=0,0,(E10-D10)/D10)</f>
        <v>-0.822162038303606</v>
      </c>
    </row>
    <row r="11" customFormat="false" ht="14.25" hidden="false" customHeight="true" outlineLevel="0" collapsed="false">
      <c r="A11" s="22" t="s">
        <v>68</v>
      </c>
      <c r="B11" s="16" t="n">
        <f aca="false">SUM(B4:B10)</f>
        <v>7530724.005</v>
      </c>
      <c r="C11" s="16" t="n">
        <f aca="false">SUM(C4:C10)</f>
        <v>5560528.70379248</v>
      </c>
      <c r="D11" s="16" t="n">
        <f aca="false">SUM(D4:D10)</f>
        <v>4338813.17379247</v>
      </c>
      <c r="E11" s="16" t="n">
        <f aca="false">SUM(E4:E10)</f>
        <v>3809000</v>
      </c>
      <c r="F11" s="23" t="n">
        <f aca="false">IF(B11=0,0,1-C11/B11)</f>
        <v>0.261620967638625</v>
      </c>
      <c r="G11" s="23" t="n">
        <f aca="false">IF(B11=0,0,1-D11/B11)</f>
        <v>0.423851787568934</v>
      </c>
      <c r="H11" s="24" t="n">
        <f aca="false">IF(C11=0,0,(E11-C11)/C11)</f>
        <v>-0.314993195268981</v>
      </c>
      <c r="I11" s="24" t="n">
        <f aca="false">IF(D11=0,0,(E11-D11)/D11)</f>
        <v>-0.12211016067543</v>
      </c>
    </row>
    <row r="12" customFormat="false" ht="15" hidden="false" customHeight="true" outlineLevel="0" collapsed="false">
      <c r="A12" s="17" t="s">
        <v>69</v>
      </c>
      <c r="B12" s="17"/>
      <c r="C12" s="17"/>
      <c r="D12" s="17"/>
      <c r="E12" s="17"/>
      <c r="F12" s="17"/>
      <c r="G12" s="17"/>
      <c r="H12" s="17"/>
      <c r="I12" s="17"/>
    </row>
    <row r="13" customFormat="false" ht="31.5" hidden="false" customHeight="true" outlineLevel="0" collapsed="false">
      <c r="A13" s="3" t="s">
        <v>54</v>
      </c>
      <c r="B13" s="3" t="s">
        <v>55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</row>
    <row r="14" customFormat="false" ht="14.25" hidden="false" customHeight="true" outlineLevel="0" collapsed="false">
      <c r="A14" s="18" t="s">
        <v>33</v>
      </c>
      <c r="B14" s="13"/>
      <c r="C14" s="9" t="n">
        <f aca="false">B14-D14</f>
        <v>0</v>
      </c>
      <c r="D14" s="10" t="n">
        <f aca="false">Hoja1!K17</f>
        <v>0</v>
      </c>
      <c r="E14" s="13"/>
      <c r="F14" s="20" t="n">
        <f aca="false">IF(N(B14)=0,0,1-C14/B14)</f>
        <v>0</v>
      </c>
      <c r="G14" s="21" t="n">
        <f aca="false">IF(N(C14)=0,0,(N(E14)-C14)/C14)</f>
        <v>0</v>
      </c>
    </row>
    <row r="15" customFormat="false" ht="14.25" hidden="false" customHeight="true" outlineLevel="0" collapsed="false">
      <c r="A15" s="18" t="s">
        <v>22</v>
      </c>
      <c r="B15" s="13"/>
      <c r="C15" s="9" t="n">
        <f aca="false">B15-D15</f>
        <v>0</v>
      </c>
      <c r="D15" s="10" t="n">
        <f aca="false">Hoja1!L17</f>
        <v>0</v>
      </c>
      <c r="E15" s="13"/>
      <c r="F15" s="20" t="n">
        <f aca="false">IF(N(B15)=0,0,1-C15/B15)</f>
        <v>0</v>
      </c>
      <c r="G15" s="21" t="n">
        <f aca="false">IF(N(C15)=0,0,(N(E15)-C15)/C15)</f>
        <v>0</v>
      </c>
    </row>
    <row r="16" customFormat="false" ht="14.25" hidden="false" customHeight="true" outlineLevel="0" collapsed="false">
      <c r="A16" s="18" t="s">
        <v>63</v>
      </c>
      <c r="B16" s="13"/>
      <c r="C16" s="9" t="n">
        <f aca="false">B16-D16</f>
        <v>0</v>
      </c>
      <c r="D16" s="10" t="n">
        <f aca="false">Hoja1!M17</f>
        <v>0</v>
      </c>
      <c r="E16" s="13"/>
      <c r="F16" s="20" t="n">
        <f aca="false">IF(N(B16)=0,0,1-C16/B16)</f>
        <v>0</v>
      </c>
      <c r="G16" s="21" t="n">
        <f aca="false">IF(N(C16)=0,0,(N(E16)-C16)/C16)</f>
        <v>0</v>
      </c>
    </row>
    <row r="17" customFormat="false" ht="14.25" hidden="false" customHeight="true" outlineLevel="0" collapsed="false">
      <c r="A17" s="18" t="s">
        <v>64</v>
      </c>
      <c r="B17" s="13"/>
      <c r="C17" s="9" t="n">
        <f aca="false">B17-D17</f>
        <v>0</v>
      </c>
      <c r="D17" s="10" t="n">
        <f aca="false">Hoja1!N17</f>
        <v>0</v>
      </c>
      <c r="E17" s="13"/>
      <c r="F17" s="20" t="n">
        <f aca="false">IF(N(B17)=0,0,1-C17/B17)</f>
        <v>0</v>
      </c>
      <c r="G17" s="21" t="n">
        <f aca="false">IF(N(C17)=0,0,(N(E17)-C17)/C17)</f>
        <v>0</v>
      </c>
    </row>
    <row r="18" customFormat="false" ht="14.25" hidden="false" customHeight="true" outlineLevel="0" collapsed="false">
      <c r="A18" s="18" t="s">
        <v>65</v>
      </c>
      <c r="B18" s="13"/>
      <c r="C18" s="9" t="n">
        <f aca="false">B18-D18</f>
        <v>0</v>
      </c>
      <c r="D18" s="10" t="n">
        <f aca="false">Hoja1!O17</f>
        <v>0</v>
      </c>
      <c r="E18" s="13"/>
      <c r="F18" s="20" t="n">
        <f aca="false">IF(N(B18)=0,0,1-C18/B18)</f>
        <v>0</v>
      </c>
      <c r="G18" s="21" t="n">
        <f aca="false">IF(N(C18)=0,0,(N(E18)-C18)/C18)</f>
        <v>0</v>
      </c>
    </row>
    <row r="19" customFormat="false" ht="14.25" hidden="false" customHeight="true" outlineLevel="0" collapsed="false">
      <c r="A19" s="18" t="s">
        <v>66</v>
      </c>
      <c r="B19" s="13"/>
      <c r="C19" s="9" t="n">
        <f aca="false">B19-D19</f>
        <v>0</v>
      </c>
      <c r="D19" s="10" t="n">
        <f aca="false">Hoja1!P17</f>
        <v>0</v>
      </c>
      <c r="E19" s="13"/>
      <c r="F19" s="20" t="n">
        <f aca="false">IF(N(B19)=0,0,1-C19/B19)</f>
        <v>0</v>
      </c>
      <c r="G19" s="21" t="n">
        <f aca="false">IF(N(C19)=0,0,(N(E19)-C19)/C19)</f>
        <v>0</v>
      </c>
    </row>
    <row r="20" customFormat="false" ht="14.25" hidden="false" customHeight="true" outlineLevel="0" collapsed="false">
      <c r="A20" s="18" t="s">
        <v>67</v>
      </c>
      <c r="B20" s="13"/>
      <c r="C20" s="9" t="n">
        <f aca="false">B20-D20</f>
        <v>0</v>
      </c>
      <c r="D20" s="10" t="n">
        <f aca="false">Hoja1!Q17</f>
        <v>0</v>
      </c>
      <c r="E20" s="13"/>
      <c r="F20" s="20" t="n">
        <f aca="false">IF(N(B20)=0,0,1-C20/B20)</f>
        <v>0</v>
      </c>
      <c r="G20" s="21" t="n">
        <f aca="false">IF(N(C20)=0,0,(N(E20)-C20)/C20)</f>
        <v>0</v>
      </c>
    </row>
    <row r="21" customFormat="false" ht="14.25" hidden="false" customHeight="true" outlineLevel="0" collapsed="false">
      <c r="A21" s="22" t="s">
        <v>68</v>
      </c>
      <c r="B21" s="16" t="n">
        <f aca="false">SUM(B14:B20)</f>
        <v>0</v>
      </c>
      <c r="C21" s="16" t="n">
        <f aca="false">SUM(C14:C20)</f>
        <v>0</v>
      </c>
      <c r="D21" s="16" t="n">
        <f aca="false">SUM(D14:D20)</f>
        <v>0</v>
      </c>
      <c r="E21" s="16" t="n">
        <f aca="false">SUM(E14:E20)</f>
        <v>0</v>
      </c>
      <c r="F21" s="23" t="n">
        <f aca="false">IF(B21=0,0,1-C21/B21)</f>
        <v>0</v>
      </c>
      <c r="G21" s="24" t="n">
        <f aca="false">IF(C21=0,0,(E21-C21)/C21)</f>
        <v>0</v>
      </c>
    </row>
    <row r="22" customFormat="false" ht="14.25" hidden="false" customHeight="true" outlineLevel="0" collapsed="false">
      <c r="A22" s="2" t="s">
        <v>75</v>
      </c>
    </row>
    <row r="24" customFormat="false" ht="15" hidden="false" customHeight="true" outlineLevel="0" collapsed="false">
      <c r="A24" s="17" t="s">
        <v>76</v>
      </c>
      <c r="B24" s="17"/>
      <c r="C24" s="17"/>
      <c r="D24" s="17"/>
      <c r="E24" s="17"/>
      <c r="F24" s="17"/>
      <c r="G24" s="17"/>
      <c r="H24" s="17"/>
      <c r="I24" s="17"/>
    </row>
    <row r="25" customFormat="false" ht="45" hidden="false" customHeight="true" outlineLevel="0" collapsed="false">
      <c r="A25" s="3" t="s">
        <v>54</v>
      </c>
      <c r="B25" s="3" t="s">
        <v>55</v>
      </c>
      <c r="C25" s="3" t="s">
        <v>77</v>
      </c>
      <c r="D25" s="3" t="s">
        <v>78</v>
      </c>
      <c r="E25" s="3" t="s">
        <v>79</v>
      </c>
      <c r="F25" s="3" t="s">
        <v>59</v>
      </c>
      <c r="G25" s="3" t="s">
        <v>60</v>
      </c>
      <c r="H25" s="3" t="s">
        <v>80</v>
      </c>
      <c r="I25" s="3" t="s">
        <v>81</v>
      </c>
    </row>
    <row r="26" customFormat="false" ht="14.25" hidden="false" customHeight="true" outlineLevel="0" collapsed="false">
      <c r="A26" s="18" t="s">
        <v>33</v>
      </c>
      <c r="B26" s="10" t="n">
        <f aca="false">B4+N(B14)</f>
        <v>335082.825</v>
      </c>
      <c r="C26" s="9" t="n">
        <f aca="false">C4+C14</f>
        <v>223300.711564735</v>
      </c>
      <c r="D26" s="9" t="n">
        <f aca="false">D4+C14</f>
        <v>115233.661564735</v>
      </c>
      <c r="E26" s="10" t="n">
        <f aca="false">E4+N(E14)</f>
        <v>106000</v>
      </c>
      <c r="F26" s="20" t="n">
        <f aca="false">IF(B26=0,0,1-C26/B26)</f>
        <v>0.333595472806656</v>
      </c>
      <c r="G26" s="20" t="n">
        <f aca="false">IF(B26=0,0,1-D26/B26)</f>
        <v>0.656103945152262</v>
      </c>
      <c r="H26" s="21" t="n">
        <f aca="false">IF(C26=0,0,(E26-C26)/C26)</f>
        <v>-0.525303796583422</v>
      </c>
      <c r="I26" s="21" t="n">
        <f aca="false">IF(D26=0,0,(E26-D26)/D26)</f>
        <v>-0.0801298981508783</v>
      </c>
    </row>
    <row r="27" customFormat="false" ht="14.25" hidden="false" customHeight="true" outlineLevel="0" collapsed="false">
      <c r="A27" s="18" t="s">
        <v>22</v>
      </c>
      <c r="B27" s="10" t="n">
        <f aca="false">B5+N(B15)</f>
        <v>732839.1</v>
      </c>
      <c r="C27" s="9" t="n">
        <f aca="false">C5+C15</f>
        <v>293176.828659453</v>
      </c>
      <c r="D27" s="9" t="n">
        <f aca="false">D5+C15</f>
        <v>134310.253659453</v>
      </c>
      <c r="E27" s="10" t="n">
        <f aca="false">E5+N(E15)</f>
        <v>453000</v>
      </c>
      <c r="F27" s="20" t="n">
        <f aca="false">IF(B27=0,0,1-C27/B27)</f>
        <v>0.599943795767102</v>
      </c>
      <c r="G27" s="20" t="n">
        <f aca="false">IF(B27=0,0,1-D27/B27)</f>
        <v>0.816726135846937</v>
      </c>
      <c r="H27" s="21" t="n">
        <f aca="false">IF(C27=0,0,(E27-C27)/C27)</f>
        <v>0.545142575118696</v>
      </c>
      <c r="I27" s="21" t="n">
        <f aca="false">IF(D27=0,0,(E27-D27)/D27)</f>
        <v>2.37278791199809</v>
      </c>
    </row>
    <row r="28" customFormat="false" ht="14.25" hidden="false" customHeight="true" outlineLevel="0" collapsed="false">
      <c r="A28" s="18" t="s">
        <v>63</v>
      </c>
      <c r="B28" s="10" t="n">
        <f aca="false">B6+N(B16)</f>
        <v>1469323.8</v>
      </c>
      <c r="C28" s="9" t="n">
        <f aca="false">C6+C16</f>
        <v>1129170.53706954</v>
      </c>
      <c r="D28" s="9" t="n">
        <f aca="false">D6+C16</f>
        <v>939364.137069535</v>
      </c>
      <c r="E28" s="10" t="n">
        <f aca="false">E6+N(E16)</f>
        <v>1250000</v>
      </c>
      <c r="F28" s="20" t="n">
        <f aca="false">IF(B28=0,0,1-C28/B28)</f>
        <v>0.231503269007458</v>
      </c>
      <c r="G28" s="20" t="n">
        <f aca="false">IF(B28=0,0,1-D28/B28)</f>
        <v>0.360682691541827</v>
      </c>
      <c r="H28" s="21" t="n">
        <f aca="false">IF(C28=0,0,(E28-C28)/C28)</f>
        <v>0.107007275662754</v>
      </c>
      <c r="I28" s="21" t="n">
        <f aca="false">IF(D28=0,0,(E28-D28)/D28)</f>
        <v>0.330687377420574</v>
      </c>
    </row>
    <row r="29" customFormat="false" ht="14.25" hidden="false" customHeight="true" outlineLevel="0" collapsed="false">
      <c r="A29" s="18" t="s">
        <v>64</v>
      </c>
      <c r="B29" s="10" t="n">
        <f aca="false">B7+N(B17)</f>
        <v>3183882.555</v>
      </c>
      <c r="C29" s="9" t="n">
        <f aca="false">C7+C17</f>
        <v>2427738.99390184</v>
      </c>
      <c r="D29" s="9" t="n">
        <f aca="false">D7+C17</f>
        <v>1994634.36390184</v>
      </c>
      <c r="E29" s="10" t="n">
        <f aca="false">E7+N(E17)</f>
        <v>1455000</v>
      </c>
      <c r="F29" s="20" t="n">
        <f aca="false">IF(B29=0,0,1-C29/B29)</f>
        <v>0.237491034306748</v>
      </c>
      <c r="G29" s="20" t="n">
        <f aca="false">IF(B29=0,0,1-D29/B29)</f>
        <v>0.373521375413347</v>
      </c>
      <c r="H29" s="21" t="n">
        <f aca="false">IF(C29=0,0,(E29-C29)/C29)</f>
        <v>-0.400676924638617</v>
      </c>
      <c r="I29" s="21" t="n">
        <f aca="false">IF(D29=0,0,(E29-D29)/D29)</f>
        <v>-0.270542999593281</v>
      </c>
    </row>
    <row r="30" customFormat="false" ht="14.25" hidden="false" customHeight="true" outlineLevel="0" collapsed="false">
      <c r="A30" s="18" t="s">
        <v>65</v>
      </c>
      <c r="B30" s="10" t="n">
        <f aca="false">B8+N(B18)</f>
        <v>540610.875</v>
      </c>
      <c r="C30" s="9" t="n">
        <f aca="false">C8+C18</f>
        <v>283339.694992709</v>
      </c>
      <c r="D30" s="9" t="n">
        <f aca="false">D8+C18</f>
        <v>154806.569992709</v>
      </c>
      <c r="E30" s="10" t="n">
        <f aca="false">E8+N(E18)</f>
        <v>370000</v>
      </c>
      <c r="F30" s="20" t="n">
        <f aca="false">IF(B30=0,0,1-C30/B30)</f>
        <v>0.475889760832671</v>
      </c>
      <c r="G30" s="20" t="n">
        <f aca="false">IF(B30=0,0,1-D30/B30)</f>
        <v>0.713645105654397</v>
      </c>
      <c r="H30" s="21" t="n">
        <f aca="false">IF(C30=0,0,(E30-C30)/C30)</f>
        <v>0.305853032733451</v>
      </c>
      <c r="I30" s="21" t="n">
        <f aca="false">IF(D30=0,0,(E30-D30)/D30)</f>
        <v>1.39007943924748</v>
      </c>
    </row>
    <row r="31" customFormat="false" ht="14.25" hidden="false" customHeight="true" outlineLevel="0" collapsed="false">
      <c r="A31" s="18" t="s">
        <v>66</v>
      </c>
      <c r="B31" s="10" t="n">
        <f aca="false">B9+N(B19)</f>
        <v>775079.55</v>
      </c>
      <c r="C31" s="9" t="n">
        <f aca="false">C9+C19</f>
        <v>736867.901306582</v>
      </c>
      <c r="D31" s="9" t="n">
        <f aca="false">D9+C19</f>
        <v>589978.151306582</v>
      </c>
      <c r="E31" s="10" t="n">
        <f aca="false">E9+N(E19)</f>
        <v>102000</v>
      </c>
      <c r="F31" s="20" t="n">
        <f aca="false">IF(B31=0,0,1-C31/B31)</f>
        <v>0.0493002927162999</v>
      </c>
      <c r="G31" s="20" t="n">
        <f aca="false">IF(B31=0,0,1-D31/B31)</f>
        <v>0.238816001136165</v>
      </c>
      <c r="H31" s="21" t="n">
        <f aca="false">IF(C31=0,0,(E31-C31)/C31)</f>
        <v>-0.861576274636013</v>
      </c>
      <c r="I31" s="21" t="n">
        <f aca="false">IF(D31=0,0,(E31-D31)/D31)</f>
        <v>-0.827112241743007</v>
      </c>
    </row>
    <row r="32" customFormat="false" ht="14.25" hidden="false" customHeight="true" outlineLevel="0" collapsed="false">
      <c r="A32" s="18" t="s">
        <v>67</v>
      </c>
      <c r="B32" s="10" t="n">
        <f aca="false">B10+N(B20)</f>
        <v>493905.3</v>
      </c>
      <c r="C32" s="9" t="n">
        <f aca="false">C10+C20</f>
        <v>466934.036297616</v>
      </c>
      <c r="D32" s="9" t="n">
        <f aca="false">D10+C20</f>
        <v>410486.036297616</v>
      </c>
      <c r="E32" s="10" t="n">
        <f aca="false">E10+N(E20)</f>
        <v>73000</v>
      </c>
      <c r="F32" s="20" t="n">
        <f aca="false">IF(B32=0,0,1-C32/B32)</f>
        <v>0.0546081682103512</v>
      </c>
      <c r="G32" s="20" t="n">
        <f aca="false">IF(B32=0,0,1-D32/B32)</f>
        <v>0.168897283957844</v>
      </c>
      <c r="H32" s="21" t="n">
        <f aca="false">IF(C32=0,0,(E32-C32)/C32)</f>
        <v>-0.843661000644059</v>
      </c>
      <c r="I32" s="21" t="n">
        <f aca="false">IF(D32=0,0,(E32-D32)/D32)</f>
        <v>-0.822162038303606</v>
      </c>
    </row>
    <row r="33" customFormat="false" ht="14.25" hidden="false" customHeight="true" outlineLevel="0" collapsed="false">
      <c r="A33" s="22" t="s">
        <v>68</v>
      </c>
      <c r="B33" s="16" t="n">
        <f aca="false">SUM(B26:B32)</f>
        <v>7530724.005</v>
      </c>
      <c r="C33" s="16" t="n">
        <f aca="false">SUM(C26:C32)</f>
        <v>5560528.70379247</v>
      </c>
      <c r="D33" s="16" t="n">
        <f aca="false">SUM(D26:D32)</f>
        <v>4338813.17379247</v>
      </c>
      <c r="E33" s="16" t="n">
        <f aca="false">SUM(E26:E32)</f>
        <v>3809000</v>
      </c>
      <c r="F33" s="23" t="n">
        <f aca="false">IF(B33=0,0,1-C33/B33)</f>
        <v>0.261620967638626</v>
      </c>
      <c r="G33" s="23" t="n">
        <f aca="false">IF(B33=0,0,1-D33/B33)</f>
        <v>0.423851787568934</v>
      </c>
      <c r="H33" s="24" t="n">
        <f aca="false">IF(C33=0,0,(E33-C33)/C33)</f>
        <v>-0.314993195268981</v>
      </c>
      <c r="I33" s="24" t="n">
        <f aca="false">IF(D33=0,0,(E33-D33)/D33)</f>
        <v>-0.12211016067543</v>
      </c>
    </row>
    <row r="36" customFormat="false" ht="15" hidden="false" customHeight="true" outlineLevel="0" collapsed="false">
      <c r="A36" s="17" t="s">
        <v>82</v>
      </c>
      <c r="B36" s="17"/>
      <c r="C36" s="17"/>
      <c r="D36" s="17"/>
      <c r="E36" s="17"/>
      <c r="F36" s="17"/>
      <c r="G36" s="17"/>
      <c r="H36" s="17"/>
      <c r="I36" s="17"/>
    </row>
    <row r="37" customFormat="false" ht="31.5" hidden="false" customHeight="true" outlineLevel="0" collapsed="false">
      <c r="A37" s="3" t="s">
        <v>83</v>
      </c>
      <c r="B37" s="3" t="s">
        <v>55</v>
      </c>
      <c r="C37" s="3" t="s">
        <v>56</v>
      </c>
      <c r="D37" s="3" t="s">
        <v>57</v>
      </c>
      <c r="E37" s="3" t="s">
        <v>84</v>
      </c>
      <c r="F37" s="3" t="s">
        <v>85</v>
      </c>
    </row>
    <row r="38" customFormat="false" ht="14.25" hidden="false" customHeight="true" outlineLevel="0" collapsed="false">
      <c r="A38" s="25" t="s">
        <v>86</v>
      </c>
      <c r="B38" s="10" t="n">
        <v>5858217.9075</v>
      </c>
      <c r="C38" s="10" t="n">
        <v>3983375.69629247</v>
      </c>
      <c r="D38" s="10" t="n">
        <v>3983375.69629247</v>
      </c>
      <c r="E38" s="10" t="n">
        <f aca="false">B38-C38</f>
        <v>1874842.21120753</v>
      </c>
      <c r="F38" s="10" t="n">
        <f aca="false">B38-D38</f>
        <v>1874842.21120753</v>
      </c>
    </row>
    <row r="39" customFormat="false" ht="14.25" hidden="false" customHeight="true" outlineLevel="0" collapsed="false">
      <c r="A39" s="25" t="s">
        <v>87</v>
      </c>
      <c r="B39" s="10" t="n">
        <v>1593669.9975</v>
      </c>
      <c r="C39" s="10" t="n">
        <v>1498316.9075</v>
      </c>
      <c r="D39" s="10" t="n">
        <v>276601.3775</v>
      </c>
      <c r="E39" s="10" t="n">
        <f aca="false">B39-C39</f>
        <v>95353.0900000001</v>
      </c>
      <c r="F39" s="10" t="n">
        <f aca="false">B39-D39</f>
        <v>1317068.62</v>
      </c>
    </row>
    <row r="40" customFormat="false" ht="14.25" hidden="false" customHeight="true" outlineLevel="0" collapsed="false">
      <c r="A40" s="25" t="s">
        <v>88</v>
      </c>
      <c r="B40" s="10" t="n">
        <v>78836.1</v>
      </c>
      <c r="C40" s="10" t="n">
        <v>78836.1</v>
      </c>
      <c r="D40" s="10" t="n">
        <v>78836.1</v>
      </c>
      <c r="E40" s="10" t="n">
        <f aca="false">B40-C40</f>
        <v>0</v>
      </c>
      <c r="F40" s="10" t="n">
        <f aca="false">B40-D40</f>
        <v>0</v>
      </c>
    </row>
    <row r="41" customFormat="false" ht="14.25" hidden="false" customHeight="true" outlineLevel="0" collapsed="false">
      <c r="A41" s="14" t="s">
        <v>68</v>
      </c>
      <c r="B41" s="16" t="n">
        <f aca="false">SUM(B38:B40)</f>
        <v>7530724.005</v>
      </c>
      <c r="C41" s="16" t="n">
        <f aca="false">SUM(C38:C40)</f>
        <v>5560528.70379247</v>
      </c>
      <c r="D41" s="16" t="n">
        <f aca="false">SUM(D38:D40)</f>
        <v>4338813.17379247</v>
      </c>
      <c r="E41" s="16" t="n">
        <f aca="false">SUM(E38:E40)</f>
        <v>1970195.30120753</v>
      </c>
      <c r="F41" s="16" t="n">
        <f aca="false">SUM(F38:F40)</f>
        <v>3191910.83120753</v>
      </c>
    </row>
    <row r="43" customFormat="false" ht="14.25" hidden="false" customHeight="true" outlineLevel="0" collapsed="false">
      <c r="A43" s="2" t="s">
        <v>89</v>
      </c>
    </row>
  </sheetData>
  <mergeCells count="4">
    <mergeCell ref="A2:I2"/>
    <mergeCell ref="A12:I12"/>
    <mergeCell ref="A24:I24"/>
    <mergeCell ref="A36:I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2026-09-24T13:32:31Z</dcterms:created>
  <dc:creator>Teresa Ancochea Nodal</dc:creator>
  <dc:description/>
  <dc:language>en-US</dc:language>
  <cp:lastModifiedBy>Teresa Ancochea Nodal</cp:lastModifiedBy>
  <dcterms:modified xsi:type="dcterms:W3CDTF">2026-09-24T14:05:55Z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0x010100CF2FD4E27FC8FA4BB0E879FB9F3FC2AB</vt:lpwstr>
  </property>
</Properties>
</file>