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Hoja1" sheetId="1" state="visible" r:id="rId3"/>
    <sheet name="Hoja2" sheetId="2" state="visible" r:id="rId4"/>
    <sheet name="Parámetros" sheetId="3" state="visible" r:id="rId5"/>
    <sheet name="Cálculo nuclear" sheetId="4" state="visible" r:id="rId6"/>
    <sheet name="Dato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3" authorId="0">
      <text>
        <r>
          <rPr>
            <sz val="10"/>
            <rFont val="Arial"/>
            <family val="2"/>
          </rPr>
          <t xml:space="preserve">En la plantilla había 130.000 fijos. Ahora es fórmula: retrabajo calculado sobre lo que queda de IDOM en el Stage 2 tras el descoping de SSC y el ajuste del S1, pasado a €.</t>
        </r>
      </text>
    </comment>
    <comment ref="G3" authorId="0">
      <text>
        <r>
          <rPr>
            <sz val="10"/>
            <rFont val="Arial"/>
            <family val="2"/>
          </rPr>
          <t xml:space="preserve">La plantilla indicaba S1; el retrabajo está en el Stage 2.</t>
        </r>
      </text>
    </comment>
  </commentList>
</comments>
</file>

<file path=xl/sharedStrings.xml><?xml version="1.0" encoding="utf-8"?>
<sst xmlns="http://schemas.openxmlformats.org/spreadsheetml/2006/main" count="1219" uniqueCount="249">
  <si>
    <t xml:space="preserve">Reducciones sobre la oferta. Value en € (tipo de cambio en Parámetros); desglose por stage en AUD, que es la moneda de la oferta y del benchmark.</t>
  </si>
  <si>
    <t xml:space="preserve">Discpline</t>
  </si>
  <si>
    <t xml:space="preserve">Item</t>
  </si>
  <si>
    <t xml:space="preserve">Concept</t>
  </si>
  <si>
    <t xml:space="preserve">Value</t>
  </si>
  <si>
    <t xml:space="preserve">Explanation</t>
  </si>
  <si>
    <t xml:space="preserve">Deliverables affected</t>
  </si>
  <si>
    <t xml:space="preserve">Stages affected</t>
  </si>
  <si>
    <t xml:space="preserve">Escenario</t>
  </si>
  <si>
    <t xml:space="preserve">Valor AUD</t>
  </si>
  <si>
    <t xml:space="preserve">Valor aislado AUD (vs oferta original)</t>
  </si>
  <si>
    <t xml:space="preserve">S1 (AUD)</t>
  </si>
  <si>
    <t xml:space="preserve">S2 (AUD)</t>
  </si>
  <si>
    <t xml:space="preserve">S3 (AUD)</t>
  </si>
  <si>
    <t xml:space="preserve">S4 (AUD)</t>
  </si>
  <si>
    <t xml:space="preserve">S5 (AUD)</t>
  </si>
  <si>
    <t xml:space="preserve">S6 (AUD)</t>
  </si>
  <si>
    <t xml:space="preserve">S7 (AUD)</t>
  </si>
  <si>
    <t xml:space="preserve">Nuclear</t>
  </si>
  <si>
    <t xml:space="preserve">Reworks </t>
  </si>
  <si>
    <t xml:space="preserve">n/a</t>
  </si>
  <si>
    <t xml:space="preserve">S2</t>
  </si>
  <si>
    <t xml:space="preserve">1 y 2</t>
  </si>
  <si>
    <t xml:space="preserve">SSC descoping</t>
  </si>
  <si>
    <t xml:space="preserve">S26, S27, S28, S29</t>
  </si>
  <si>
    <t xml:space="preserve">Commercial dIscount</t>
  </si>
  <si>
    <t xml:space="preserve">All</t>
  </si>
  <si>
    <t xml:space="preserve">S1 deliverable adjustment</t>
  </si>
  <si>
    <t xml:space="preserve">S1</t>
  </si>
  <si>
    <t xml:space="preserve">S1, S2</t>
  </si>
  <si>
    <t xml:space="preserve">Viajes</t>
  </si>
  <si>
    <t xml:space="preserve">Plansafe</t>
  </si>
  <si>
    <t xml:space="preserve">S2, S3, S8, S30</t>
  </si>
  <si>
    <t xml:space="preserve">S1-S7</t>
  </si>
  <si>
    <t xml:space="preserve">Solo 2</t>
  </si>
  <si>
    <t xml:space="preserve">Farma</t>
  </si>
  <si>
    <t xml:space="preserve">7</t>
  </si>
  <si>
    <t xml:space="preserve">Descuento Farma (a completar)</t>
  </si>
  <si>
    <t xml:space="preserve">8</t>
  </si>
  <si>
    <t xml:space="preserve">9</t>
  </si>
  <si>
    <t xml:space="preserve">10</t>
  </si>
  <si>
    <t xml:space="preserve">11</t>
  </si>
  <si>
    <t xml:space="preserve">Total reducción Nuclear · Escenario 1</t>
  </si>
  <si>
    <t xml:space="preserve">Total reducción Nuclear · Escenario 2</t>
  </si>
  <si>
    <t xml:space="preserve">Total reducción Farma</t>
  </si>
  <si>
    <t xml:space="preserve">Filas Farma (amarillo claro): Farma rellena concepto, explicación y el importe de cada descuento en su stage (AUD). Se suman solas en Value y en la tabla FARMA de Hoja2.</t>
  </si>
  <si>
    <t xml:space="preserve">Las reducciones nucleares se aplican en cadena y sin doble conteo (orden en Parámetros). «Valor aislado» = lo que valdría cada una por separado frente a la oferta original.</t>
  </si>
  <si>
    <t xml:space="preserve">NUCLEAR (AUD)</t>
  </si>
  <si>
    <t xml:space="preserve">Stage</t>
  </si>
  <si>
    <t xml:space="preserve">Original oferta</t>
  </si>
  <si>
    <t xml:space="preserve">Escenario 1: con plansafe</t>
  </si>
  <si>
    <t xml:space="preserve">Escenario 2: sin plansafe</t>
  </si>
  <si>
    <t xml:space="preserve">Benchmark Synertec</t>
  </si>
  <si>
    <t xml:space="preserve">% Reducción Esc. 1</t>
  </si>
  <si>
    <t xml:space="preserve">% Reducción Esc. 2</t>
  </si>
  <si>
    <t xml:space="preserve">% Diferencia synertec Esc. 1</t>
  </si>
  <si>
    <t xml:space="preserve">% Diferencia synertec Esc. 2</t>
  </si>
  <si>
    <t xml:space="preserve">S3</t>
  </si>
  <si>
    <t xml:space="preserve">S4</t>
  </si>
  <si>
    <t xml:space="preserve">S5</t>
  </si>
  <si>
    <t xml:space="preserve">S6</t>
  </si>
  <si>
    <t xml:space="preserve">S7</t>
  </si>
  <si>
    <t xml:space="preserve">TOTAL</t>
  </si>
  <si>
    <t xml:space="preserve">FARMA (AUD) — a completar por Farma</t>
  </si>
  <si>
    <t xml:space="preserve">Escenario Farma</t>
  </si>
  <si>
    <t xml:space="preserve">Descuentos Farma</t>
  </si>
  <si>
    <t xml:space="preserve">Benchmark Farma</t>
  </si>
  <si>
    <t xml:space="preserve">% Reducción</t>
  </si>
  <si>
    <t xml:space="preserve">% Diferencia benchmark</t>
  </si>
  <si>
    <t xml:space="preserve">Farma rellena la oferta original y su benchmark por stage (amarillo claro); sus descuentos vienen de las filas Farma de Hoja1. Escenario único.</t>
  </si>
  <si>
    <t xml:space="preserve">TOTAL NUCLEAR + FARMA (AUD)</t>
  </si>
  <si>
    <t xml:space="preserve">Escenario 1: con plansafe + Farma</t>
  </si>
  <si>
    <t xml:space="preserve">Escenario 2: sin plansafe + Farma</t>
  </si>
  <si>
    <t xml:space="preserve">Benchmark (Synertec + Farma)</t>
  </si>
  <si>
    <t xml:space="preserve">% Diferencia benchmark Esc. 1</t>
  </si>
  <si>
    <t xml:space="preserve">% Diferencia benchmark Esc. 2</t>
  </si>
  <si>
    <t xml:space="preserve">NUCLEAR · reparto por empresa (AUD)</t>
  </si>
  <si>
    <t xml:space="preserve">Empresa</t>
  </si>
  <si>
    <t xml:space="preserve">Reducción Esc. 1</t>
  </si>
  <si>
    <t xml:space="preserve">Reducción Esc. 2</t>
  </si>
  <si>
    <t xml:space="preserve">IDOM</t>
  </si>
  <si>
    <t xml:space="preserve">Plan Safe</t>
  </si>
  <si>
    <t xml:space="preserve">INVAP</t>
  </si>
  <si>
    <t xml:space="preserve">% Reducción = 1 − escenario / original. % Diferencia = (benchmark − escenario) / escenario (negativo = el benchmark está por debajo). Importes en AUD, moneda de la oferta y del benchmark de Synertec.</t>
  </si>
  <si>
    <t xml:space="preserve">Parámetros de las reducciones (NMMP · alcance nuclear)</t>
  </si>
  <si>
    <t xml:space="preserve">Amarillo con texto azul = editable. Los importes del modelo están en AUD (horas × tarifa de venta de la oferta).</t>
  </si>
  <si>
    <t xml:space="preserve">Tipo de cambio</t>
  </si>
  <si>
    <t xml:space="preserve">Tipo de cambio: 1 AUD = … EUR</t>
  </si>
  <si>
    <t xml:space="preserve">Valor de la herramienta de la oferta. Se usa para pasar a € la columna Value de Hoja1 y los viajes a AUD.</t>
  </si>
  <si>
    <t xml:space="preserve">Escenario 1 (con Plan Safe)</t>
  </si>
  <si>
    <t xml:space="preserve">SSC descoping: stages en los que se quita</t>
  </si>
  <si>
    <t xml:space="preserve">S1-S5</t>
  </si>
  <si>
    <t xml:space="preserve">Según la plantilla: S1-S5. Con «S1-S7» también se quita en construcción y puesta en marcha.</t>
  </si>
  <si>
    <t xml:space="preserve">Entregable S1 ajustado a 2 semanas: horas</t>
  </si>
  <si>
    <t xml:space="preserve">Una sola emisión, sin revisión, en los primeros 10 días laborables.</t>
  </si>
  <si>
    <t xml:space="preserve">Entregable S1 ajustado a 2 semanas: precio (AUD)</t>
  </si>
  <si>
    <t xml:space="preserve">41.769 AUD con costes variables (informativo). Se factura en el Stage 1; el Stage 2 del S1 queda a 0.</t>
  </si>
  <si>
    <t xml:space="preserve">Retrabajo incluido en la oferta (Stage 2, sobre tareas de IDOM)</t>
  </si>
  <si>
    <t xml:space="preserve">Recargo del 35 % sobre las tareas de IDOM del Stage 2. Se quita entero.</t>
  </si>
  <si>
    <t xml:space="preserve">Viajes que se quitan</t>
  </si>
  <si>
    <t xml:space="preserve">Importe indicado: 70.000.</t>
  </si>
  <si>
    <t xml:space="preserve">Moneda del importe de viajes</t>
  </si>
  <si>
    <t xml:space="preserve">EUR</t>
  </si>
  <si>
    <t xml:space="preserve">EUR = se convierte a AUD con el tipo de cambio. AUD = se toma tal cual.</t>
  </si>
  <si>
    <t xml:space="preserve">Descuento comercial sobre lo que cobra IDOM</t>
  </si>
  <si>
    <t xml:space="preserve">Sobre la facturación de IDOM después del resto de reducciones. No aplica a Plan Safe ni a INVAP.</t>
  </si>
  <si>
    <t xml:space="preserve">Participación de Plan Safe en los entregables compartidos</t>
  </si>
  <si>
    <t xml:space="preserve">Valor de la herramienta; reparte, no cambia el precio.</t>
  </si>
  <si>
    <t xml:space="preserve">Escenario 2 (sin Plan Safe)</t>
  </si>
  <si>
    <t xml:space="preserve">Quitar los entregables propios de Plan Safe (S2, S3, S8, S30)</t>
  </si>
  <si>
    <t xml:space="preserve">Sí</t>
  </si>
  <si>
    <t xml:space="preserve">Escenario 2 = escenario 1 + quitar las 4 tareas propias de Plan Safe. Plan Safe mantiene su parte de los compartidos.</t>
  </si>
  <si>
    <t xml:space="preserve">Orden de aplicación (sin doble conteo): 1) SSC descoping · 2) ajuste del entregable S1 · 3) retrabajo sobre lo que queda de IDOM en S2 · 4) viajes · 5) descuento comercial sobre IDOM · 6) Plan Safe (solo escenario 2).</t>
  </si>
  <si>
    <t xml:space="preserve">Cálculo de las reducciones nucleares por stage (AUD) — no editar, se alimenta de Parámetros y Datos</t>
  </si>
  <si>
    <t xml:space="preserve">Nº stage</t>
  </si>
  <si>
    <t xml:space="preserve">Código</t>
  </si>
  <si>
    <t xml:space="preserve">Entregable</t>
  </si>
  <si>
    <t xml:space="preserve">Tipo</t>
  </si>
  <si>
    <t xml:space="preserve">Grupo</t>
  </si>
  <si>
    <t xml:space="preserve">% IDOM</t>
  </si>
  <si>
    <t xml:space="preserve">% Plan Safe</t>
  </si>
  <si>
    <t xml:space="preserve">% INVAP</t>
  </si>
  <si>
    <t xml:space="preserve">Total</t>
  </si>
  <si>
    <t xml:space="preserve">E94</t>
  </si>
  <si>
    <t xml:space="preserve">Radiological Zoning Layout drawing(s)</t>
  </si>
  <si>
    <t xml:space="preserve">Resto</t>
  </si>
  <si>
    <t xml:space="preserve">Safety Assurance Plan / Safety Integration Plan</t>
  </si>
  <si>
    <t xml:space="preserve">Compartido</t>
  </si>
  <si>
    <t xml:space="preserve">S9</t>
  </si>
  <si>
    <t xml:space="preserve">Deterministic Safety Assessment(s) (DSA) / Inherent Risk Assessment(s)</t>
  </si>
  <si>
    <t xml:space="preserve">S10</t>
  </si>
  <si>
    <t xml:space="preserve">Probablisitic Safety Assessment / Quantitative Risk Assessment (s) (QRA)</t>
  </si>
  <si>
    <t xml:space="preserve">S17</t>
  </si>
  <si>
    <t xml:space="preserve">ALARP (Optioneering) Study</t>
  </si>
  <si>
    <t xml:space="preserve">S18</t>
  </si>
  <si>
    <t xml:space="preserve">ALARP Summary Report (ALARP/SFARP Statement Report)</t>
  </si>
  <si>
    <t xml:space="preserve">S20</t>
  </si>
  <si>
    <t xml:space="preserve">Safety in Design (SiD) Report</t>
  </si>
  <si>
    <t xml:space="preserve">S21</t>
  </si>
  <si>
    <t xml:space="preserve">Radiological Shielding Basis of Design</t>
  </si>
  <si>
    <t xml:space="preserve">S22</t>
  </si>
  <si>
    <t xml:space="preserve">Radiological Shielding Assessment</t>
  </si>
  <si>
    <t xml:space="preserve">S23</t>
  </si>
  <si>
    <t xml:space="preserve">Radiological Contamination Control Strategy</t>
  </si>
  <si>
    <t xml:space="preserve">S24</t>
  </si>
  <si>
    <t xml:space="preserve">Radiological Classification of Areas (RCA)</t>
  </si>
  <si>
    <t xml:space="preserve">S25</t>
  </si>
  <si>
    <t xml:space="preserve">Radiation Dose Assessment /Normal) Operations Dose Assessment</t>
  </si>
  <si>
    <t xml:space="preserve">S26</t>
  </si>
  <si>
    <t xml:space="preserve">Structures Systems and Components (SSC) Categorisation Report</t>
  </si>
  <si>
    <t xml:space="preserve">SSC</t>
  </si>
  <si>
    <t xml:space="preserve">S27</t>
  </si>
  <si>
    <t xml:space="preserve">Structures Systems and Components (SSC) Register</t>
  </si>
  <si>
    <t xml:space="preserve">S28</t>
  </si>
  <si>
    <t xml:space="preserve">Engineering Schedule &amp; Verification and Validation Report (Safety Controls)</t>
  </si>
  <si>
    <t xml:space="preserve">S29</t>
  </si>
  <si>
    <t xml:space="preserve">Design Substantiation Report</t>
  </si>
  <si>
    <t xml:space="preserve">S31</t>
  </si>
  <si>
    <t xml:space="preserve">Independent Verification Reports (design, constructions and commissioning phases)</t>
  </si>
  <si>
    <t xml:space="preserve">S33</t>
  </si>
  <si>
    <t xml:space="preserve">Radiological Shielding Verification Report / (Shielding integrity test report)</t>
  </si>
  <si>
    <t xml:space="preserve">S37</t>
  </si>
  <si>
    <t xml:space="preserve">Radiological Environmental Monitoring Plan</t>
  </si>
  <si>
    <t xml:space="preserve">S38</t>
  </si>
  <si>
    <t xml:space="preserve">Radiological Stack Monitoring Protocol</t>
  </si>
  <si>
    <t xml:space="preserve">Pre</t>
  </si>
  <si>
    <t xml:space="preserve">Conceptual Design Verification</t>
  </si>
  <si>
    <t xml:space="preserve">Human Factors Assurance Plan / Human Factors Integration Plan (HFIP)</t>
  </si>
  <si>
    <t xml:space="preserve">Human Factors Hazards Identification and Control Plan (HFHICP)</t>
  </si>
  <si>
    <t xml:space="preserve">S8</t>
  </si>
  <si>
    <t xml:space="preserve">Human Factor Task Assessments</t>
  </si>
  <si>
    <t xml:space="preserve">S30</t>
  </si>
  <si>
    <t xml:space="preserve">Human Factors Substantiation/Assurance Report</t>
  </si>
  <si>
    <t xml:space="preserve">Oferta original (total)</t>
  </si>
  <si>
    <t xml:space="preserve">Oferta original · IDOM</t>
  </si>
  <si>
    <t xml:space="preserve">Oferta original · Plan Safe</t>
  </si>
  <si>
    <t xml:space="preserve">Oferta original · INVAP</t>
  </si>
  <si>
    <t xml:space="preserve">1 · SSC descoping (total)</t>
  </si>
  <si>
    <t xml:space="preserve">1 · SSC descoping · parte IDOM</t>
  </si>
  <si>
    <t xml:space="preserve">2 · Ajuste entregable S1 a 2 semanas (total)</t>
  </si>
  <si>
    <t xml:space="preserve">2 · Ajuste entregable S1 · parte IDOM</t>
  </si>
  <si>
    <t xml:space="preserve">IDOM tras 1 y 2</t>
  </si>
  <si>
    <t xml:space="preserve">3 · Retrabajo quitado (IDOM, Stage 2)</t>
  </si>
  <si>
    <t xml:space="preserve">IDOM tras 1 a 3</t>
  </si>
  <si>
    <t xml:space="preserve">4 · Viajes quitados (reparto según IDOM)</t>
  </si>
  <si>
    <t xml:space="preserve">IDOM tras 1 a 4</t>
  </si>
  <si>
    <t xml:space="preserve">5 · Descuento comercial sobre IDOM</t>
  </si>
  <si>
    <t xml:space="preserve">ESCENARIO 1 · con Plan Safe (total)</t>
  </si>
  <si>
    <t xml:space="preserve">Escenario 1 · IDOM</t>
  </si>
  <si>
    <t xml:space="preserve">Escenario 1 · Plan Safe</t>
  </si>
  <si>
    <t xml:space="preserve">Escenario 1 · INVAP</t>
  </si>
  <si>
    <t xml:space="preserve">6 · Entregables propios de Plan Safe quitados</t>
  </si>
  <si>
    <t xml:space="preserve">ESCENARIO 2 · sin Plan Safe (total)</t>
  </si>
  <si>
    <t xml:space="preserve">Escenario 2 · Plan Safe</t>
  </si>
  <si>
    <t xml:space="preserve">Valor aislado · retrabajo (sobre la oferta original)</t>
  </si>
  <si>
    <t xml:space="preserve">Valor aislado · descuento comercial (sobre IDOM original)</t>
  </si>
  <si>
    <t xml:space="preserve">Control: escenario 1 = IDOM + Plan Safe + INVAP</t>
  </si>
  <si>
    <t xml:space="preserve">Datos de la oferta nuclear: horas por entregable, stage y perfil, a tarifa de venta (AUD)</t>
  </si>
  <si>
    <t xml:space="preserve">Fuente: modelo bottom-up de la oferta (herramienta NMMP, «Oferta mayo»). Tarifas con descuento y factor 1,05.</t>
  </si>
  <si>
    <t xml:space="preserve">Perfil</t>
  </si>
  <si>
    <t xml:space="preserve">Descripción</t>
  </si>
  <si>
    <t xml:space="preserve">Tarifa AUD/h</t>
  </si>
  <si>
    <t xml:space="preserve">Horas</t>
  </si>
  <si>
    <t xml:space="preserve">Tarifa</t>
  </si>
  <si>
    <t xml:space="preserve">Importe AUD</t>
  </si>
  <si>
    <t xml:space="preserve">P7</t>
  </si>
  <si>
    <t xml:space="preserve">Associate Director 2</t>
  </si>
  <si>
    <t xml:space="preserve">P6</t>
  </si>
  <si>
    <t xml:space="preserve">Principal Professional</t>
  </si>
  <si>
    <t xml:space="preserve">P5</t>
  </si>
  <si>
    <t xml:space="preserve">Senior Professional 1</t>
  </si>
  <si>
    <t xml:space="preserve">P4</t>
  </si>
  <si>
    <t xml:space="preserve">Senior Professional 2</t>
  </si>
  <si>
    <t xml:space="preserve">TO3</t>
  </si>
  <si>
    <t xml:space="preserve">TO4</t>
  </si>
  <si>
    <t xml:space="preserve">Senior Technical Officer</t>
  </si>
  <si>
    <t xml:space="preserve">TO2</t>
  </si>
  <si>
    <t xml:space="preserve">Technical Officer 1</t>
  </si>
  <si>
    <t xml:space="preserve">Technical Officer 2</t>
  </si>
  <si>
    <t xml:space="preserve">PM3</t>
  </si>
  <si>
    <t xml:space="preserve">Project Director / Project Manager</t>
  </si>
  <si>
    <t xml:space="preserve">PM2</t>
  </si>
  <si>
    <t xml:space="preserve">Senior Executive</t>
  </si>
  <si>
    <t xml:space="preserve">PM1</t>
  </si>
  <si>
    <t xml:space="preserve">Discipline Lead / Design Manager</t>
  </si>
  <si>
    <t xml:space="preserve">P10</t>
  </si>
  <si>
    <t xml:space="preserve">Industry / International Specialist</t>
  </si>
  <si>
    <t xml:space="preserve">P9</t>
  </si>
  <si>
    <t xml:space="preserve">Technical Director</t>
  </si>
  <si>
    <t xml:space="preserve">P8</t>
  </si>
  <si>
    <t xml:space="preserve">Associate Director 1</t>
  </si>
  <si>
    <t xml:space="preserve">P3</t>
  </si>
  <si>
    <t xml:space="preserve">Professional 1</t>
  </si>
  <si>
    <t xml:space="preserve">P2</t>
  </si>
  <si>
    <t xml:space="preserve">Professional 2</t>
  </si>
  <si>
    <t xml:space="preserve">P1</t>
  </si>
  <si>
    <t xml:space="preserve">Graduate Professional</t>
  </si>
  <si>
    <t xml:space="preserve">TO6</t>
  </si>
  <si>
    <t xml:space="preserve">Principal Technical Officer 1</t>
  </si>
  <si>
    <t xml:space="preserve">TO5</t>
  </si>
  <si>
    <t xml:space="preserve">Principal Technical Officer 2</t>
  </si>
  <si>
    <t xml:space="preserve">TO1</t>
  </si>
  <si>
    <t xml:space="preserve">Technical Assistant</t>
  </si>
  <si>
    <t xml:space="preserve">A3</t>
  </si>
  <si>
    <t xml:space="preserve">Senior Admin Officer</t>
  </si>
  <si>
    <t xml:space="preserve">A2</t>
  </si>
  <si>
    <t xml:space="preserve">Admin Officer</t>
  </si>
  <si>
    <t xml:space="preserve">A1</t>
  </si>
  <si>
    <t xml:space="preserve">Admin Assistant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</si>
</sst>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&quot; €&quot;;[RED]\-#,##0&quot; €&quot;"/>
    <numFmt numFmtId="166" formatCode="#,##0;\-#,##0;\-"/>
    <numFmt numFmtId="167" formatCode="0.0%;\-0.0%;\-"/>
    <numFmt numFmtId="168" formatCode="0.00%;\-0.00%;\-"/>
    <numFmt numFmtId="169" formatCode="0.0000"/>
    <numFmt numFmtId="170" formatCode="#,##0"/>
    <numFmt numFmtId="171" formatCode="0%"/>
    <numFmt numFmtId="172" formatCode="0.0%"/>
    <numFmt numFmtId="173" formatCode="#,##0.000"/>
  </numFmts>
  <fonts count="16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i val="true"/>
      <sz val="9"/>
      <color rgb="FF000000"/>
      <name val="Aptos Narrow"/>
      <family val="0"/>
      <charset val="1"/>
    </font>
    <font>
      <b val="true"/>
      <sz val="11"/>
      <color rgb="FFFFFFFF"/>
      <name val="Aptos Narrow"/>
      <family val="0"/>
      <charset val="1"/>
    </font>
    <font>
      <b val="true"/>
      <sz val="11"/>
      <color rgb="FF000000"/>
      <name val="Aptos Narrow"/>
      <family val="0"/>
      <charset val="1"/>
    </font>
    <font>
      <sz val="11"/>
      <color rgb="FF000000"/>
      <name val="Aptos Narrow"/>
      <family val="0"/>
      <charset val="1"/>
    </font>
    <font>
      <sz val="11"/>
      <color rgb="FF0000FF"/>
      <name val="Aptos Narrow"/>
      <family val="0"/>
      <charset val="1"/>
    </font>
    <font>
      <sz val="10"/>
      <name val="Arial"/>
      <family val="2"/>
    </font>
    <font>
      <b val="true"/>
      <sz val="12"/>
      <color rgb="FF0070C0"/>
      <name val="Aptos Narrow"/>
      <family val="0"/>
      <charset val="1"/>
    </font>
    <font>
      <b val="true"/>
      <sz val="11"/>
      <color rgb="FF2E75B6"/>
      <name val="Aptos Narrow"/>
      <family val="0"/>
      <charset val="1"/>
    </font>
    <font>
      <b val="true"/>
      <sz val="14"/>
      <color rgb="FF0070C0"/>
      <name val="Aptos Narrow"/>
      <family val="0"/>
      <charset val="1"/>
    </font>
    <font>
      <b val="true"/>
      <sz val="11"/>
      <color rgb="FF0000FF"/>
      <name val="Aptos Narrow"/>
      <family val="0"/>
      <charset val="1"/>
    </font>
    <font>
      <sz val="9"/>
      <color rgb="FF808080"/>
      <name val="Aptos Narrow"/>
      <family val="0"/>
      <charset val="1"/>
    </font>
    <font>
      <i val="true"/>
      <sz val="9"/>
      <color rgb="FF808080"/>
      <name val="Aptos Narrow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070C0"/>
        <bgColor rgb="FF008080"/>
      </patternFill>
    </fill>
    <fill>
      <patternFill patternType="solid">
        <fgColor theme="5" tint="0.7999"/>
        <bgColor rgb="FFFFF2CC"/>
      </patternFill>
    </fill>
    <fill>
      <patternFill patternType="solid">
        <fgColor rgb="FFFFF2CC"/>
        <bgColor rgb="FFFBE3D6"/>
      </patternFill>
    </fill>
    <fill>
      <patternFill patternType="solid">
        <fgColor rgb="FFF2F4F7"/>
        <bgColor rgb="FFFFFFF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3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3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3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3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3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4F7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BE3D6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Tema d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Q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F11" activeCellId="0" sqref="F11"/>
    </sheetView>
  </sheetViews>
  <sheetFormatPr defaultColWidth="10.5390625" defaultRowHeight="14.2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6"/>
    <col collapsed="false" customWidth="true" hidden="false" outlineLevel="0" max="3" min="3" style="0" width="25.18"/>
    <col collapsed="false" customWidth="true" hidden="false" outlineLevel="0" max="4" min="4" style="0" width="15.64"/>
    <col collapsed="false" customWidth="true" hidden="false" outlineLevel="0" max="5" min="5" style="0" width="70"/>
    <col collapsed="false" customWidth="true" hidden="false" outlineLevel="0" max="6" min="6" style="0" width="27"/>
    <col collapsed="false" customWidth="true" hidden="false" outlineLevel="0" max="7" min="7" style="0" width="18.64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0" min="10" style="0" width="17"/>
    <col collapsed="false" customWidth="true" hidden="false" outlineLevel="0" max="17" min="11" style="0" width="12"/>
  </cols>
  <sheetData>
    <row r="1" customFormat="false" ht="14.25" hidden="false" customHeight="false" outlineLevel="0" collapsed="false">
      <c r="A1" s="1" t="s">
        <v>0</v>
      </c>
    </row>
    <row r="2" customFormat="false" ht="45" hidden="false" customHeight="tru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customFormat="false" ht="57.75" hidden="false" customHeight="true" outlineLevel="0" collapsed="false">
      <c r="A3" s="3" t="s">
        <v>18</v>
      </c>
      <c r="B3" s="3" t="n">
        <v>1</v>
      </c>
      <c r="C3" s="3" t="s">
        <v>19</v>
      </c>
      <c r="D3" s="4" t="n">
        <f aca="false">I3*Parámetros!$C$5</f>
        <v>29088.2845944444</v>
      </c>
      <c r="E3" s="5" t="str">
        <f aca="false">"Se quita entero el retrabajo del "&amp;TEXT(Parámetros!$C$10,"0%")&amp;" incluido en las tareas de IDOM del Stage 2: se asume que todo sale bien a la primera. Calculado sobre lo que queda de IDOM en S2 tras el descoping y el ajuste del S1 (aislado: "&amp;TEXT('Cálculo nuclear'!O53,"#,##0")&amp;" AUD)."</f>
        <v>Se quita entero el retrabajo del 35% incluido en las tareas de IDOM del Stage 2: se asume que todo sale bien a la primera. Calculado sobre lo que queda de IDOM en S2 tras el descoping y el ajuste del S1 (aislado: 139,097 AUD).</v>
      </c>
      <c r="F3" s="6" t="s">
        <v>20</v>
      </c>
      <c r="G3" s="6" t="s">
        <v>21</v>
      </c>
      <c r="H3" s="7" t="s">
        <v>22</v>
      </c>
      <c r="I3" s="8" t="n">
        <f aca="false">'Cálculo nuclear'!O41</f>
        <v>46916.5880555555</v>
      </c>
      <c r="J3" s="9" t="n">
        <f aca="false">'Cálculo nuclear'!O53</f>
        <v>139096.504166667</v>
      </c>
      <c r="K3" s="9" t="n">
        <f aca="false">'Cálculo nuclear'!H41</f>
        <v>0</v>
      </c>
      <c r="L3" s="9" t="n">
        <f aca="false">'Cálculo nuclear'!I41</f>
        <v>46916.5880555555</v>
      </c>
      <c r="M3" s="9" t="n">
        <f aca="false">'Cálculo nuclear'!J41</f>
        <v>0</v>
      </c>
      <c r="N3" s="9" t="n">
        <f aca="false">'Cálculo nuclear'!K41</f>
        <v>0</v>
      </c>
      <c r="O3" s="9" t="n">
        <f aca="false">'Cálculo nuclear'!L41</f>
        <v>0</v>
      </c>
      <c r="P3" s="9" t="n">
        <f aca="false">'Cálculo nuclear'!M41</f>
        <v>0</v>
      </c>
      <c r="Q3" s="9" t="n">
        <f aca="false">'Cálculo nuclear'!N41</f>
        <v>0</v>
      </c>
    </row>
    <row r="4" customFormat="false" ht="57.75" hidden="false" customHeight="true" outlineLevel="0" collapsed="false">
      <c r="A4" s="3" t="s">
        <v>18</v>
      </c>
      <c r="B4" s="3" t="n">
        <v>2</v>
      </c>
      <c r="C4" s="3" t="s">
        <v>23</v>
      </c>
      <c r="D4" s="4" t="n">
        <f aca="false">I4*Parámetros!$C$5</f>
        <v>775407.7275</v>
      </c>
      <c r="E4" s="5" t="str">
        <f aca="false">"Descoping de los entregables SSC (Categorisation Report, Register, Engineering Schedule &amp; V&amp;V Report y Design Substantiation Report), incluida la parte de Plan Safe en S28 y S29, en los stages "&amp;Parámetros!$C$7&amp;"."</f>
        <v>Descoping de los entregables SSC (Categorisation Report, Register, Engineering Schedule &amp; V&amp;V Report y Design Substantiation Report), incluida la parte de Plan Safe en S28 y S29, en los stages S1-S5.</v>
      </c>
      <c r="F4" s="6" t="s">
        <v>24</v>
      </c>
      <c r="G4" s="6" t="str">
        <f aca="false">Parámetros!$C$7</f>
        <v>S1-S5</v>
      </c>
      <c r="H4" s="7" t="s">
        <v>22</v>
      </c>
      <c r="I4" s="8" t="n">
        <f aca="false">'Cálculo nuclear'!O36</f>
        <v>1250657.625</v>
      </c>
      <c r="J4" s="9" t="n">
        <f aca="false">'Cálculo nuclear'!O36</f>
        <v>1250657.625</v>
      </c>
      <c r="K4" s="9" t="n">
        <f aca="false">'Cálculo nuclear'!H36</f>
        <v>0</v>
      </c>
      <c r="L4" s="9" t="n">
        <f aca="false">'Cálculo nuclear'!I36</f>
        <v>99735.825</v>
      </c>
      <c r="M4" s="9" t="n">
        <f aca="false">'Cálculo nuclear'!J36</f>
        <v>278487.825</v>
      </c>
      <c r="N4" s="9" t="n">
        <f aca="false">'Cálculo nuclear'!K36</f>
        <v>624849.225</v>
      </c>
      <c r="O4" s="9" t="n">
        <f aca="false">'Cálculo nuclear'!L36</f>
        <v>247584.75</v>
      </c>
      <c r="P4" s="9" t="n">
        <f aca="false">'Cálculo nuclear'!M36</f>
        <v>0</v>
      </c>
      <c r="Q4" s="9" t="n">
        <f aca="false">'Cálculo nuclear'!N36</f>
        <v>0</v>
      </c>
    </row>
    <row r="5" customFormat="false" ht="57.75" hidden="false" customHeight="true" outlineLevel="0" collapsed="false">
      <c r="A5" s="3" t="s">
        <v>18</v>
      </c>
      <c r="B5" s="3" t="n">
        <v>3</v>
      </c>
      <c r="C5" s="3" t="s">
        <v>25</v>
      </c>
      <c r="D5" s="4" t="n">
        <f aca="false">I5*Parámetros!$C$5</f>
        <v>102903.872154222</v>
      </c>
      <c r="E5" s="5" t="str">
        <f aca="false">TEXT(Parámetros!$C$13,"0%")&amp;" de descuento sobre lo que cobra IDOM, después del resto de reducciones (aislado sobre IDOM original: "&amp;TEXT('Cálculo nuclear'!O54,"#,##0")&amp;" AUD)."</f>
        <v>4% de descuento sobre lo que cobra IDOM, después del resto de reducciones (aislado sobre IDOM original: 234,329 AUD).</v>
      </c>
      <c r="F5" s="6" t="s">
        <v>20</v>
      </c>
      <c r="G5" s="6" t="s">
        <v>26</v>
      </c>
      <c r="H5" s="7" t="s">
        <v>22</v>
      </c>
      <c r="I5" s="8" t="n">
        <f aca="false">'Cálculo nuclear'!O45</f>
        <v>165973.98734552</v>
      </c>
      <c r="J5" s="9" t="n">
        <f aca="false">'Cálculo nuclear'!O54</f>
        <v>234328.7163</v>
      </c>
      <c r="K5" s="9" t="n">
        <f aca="false">'Cálculo nuclear'!H45</f>
        <v>1355.41923186397</v>
      </c>
      <c r="L5" s="9" t="n">
        <f aca="false">'Cálculo nuclear'!I45</f>
        <v>5219.86400664385</v>
      </c>
      <c r="M5" s="9" t="n">
        <f aca="false">'Cálculo nuclear'!J45</f>
        <v>36700.2326903973</v>
      </c>
      <c r="N5" s="9" t="n">
        <f aca="false">'Cálculo nuclear'!K45</f>
        <v>78139.9248500768</v>
      </c>
      <c r="O5" s="9" t="n">
        <f aca="false">'Cálculo nuclear'!L45</f>
        <v>5764.8862496962</v>
      </c>
      <c r="P5" s="9" t="n">
        <f aca="false">'Cálculo nuclear'!M45</f>
        <v>22741.6920336076</v>
      </c>
      <c r="Q5" s="9" t="n">
        <f aca="false">'Cálculo nuclear'!N45</f>
        <v>16051.968283234</v>
      </c>
    </row>
    <row r="6" customFormat="false" ht="57.75" hidden="false" customHeight="true" outlineLevel="0" collapsed="false">
      <c r="A6" s="3" t="s">
        <v>18</v>
      </c>
      <c r="B6" s="3" t="n">
        <v>4</v>
      </c>
      <c r="C6" s="3" t="s">
        <v>27</v>
      </c>
      <c r="D6" s="4" t="n">
        <f aca="false">I6*Parámetros!$C$5</f>
        <v>244121.2025</v>
      </c>
      <c r="E6" s="5" t="str">
        <f aca="false">"Solo dos semanas de trabajo: una emisión sin revisión en el Stage 1, "&amp;TEXT(Parámetros!$C$8,"#,##0")&amp;" h y "&amp;TEXT(Parámetros!$C$9,"#,##0")&amp;" AUD (≈2,2 autores senior al 100 % durante 10 días laborables). Se elimina la actualización del Stage 2."</f>
        <v>Solo dos semanas de trabajo: una emisión sin revisión en el Stage 1, 165 h y 38,675 AUD (≈2,2 autores senior al 100 % durante 10 días laborables). Se elimina la actualización del Stage 2.</v>
      </c>
      <c r="F6" s="6" t="s">
        <v>28</v>
      </c>
      <c r="G6" s="6" t="s">
        <v>29</v>
      </c>
      <c r="H6" s="7" t="s">
        <v>22</v>
      </c>
      <c r="I6" s="8" t="n">
        <f aca="false">'Cálculo nuclear'!O38</f>
        <v>393743.875</v>
      </c>
      <c r="J6" s="9" t="n">
        <f aca="false">'Cálculo nuclear'!O38</f>
        <v>393743.875</v>
      </c>
      <c r="K6" s="9" t="n">
        <f aca="false">'Cálculo nuclear'!H38</f>
        <v>109504.675</v>
      </c>
      <c r="L6" s="9" t="n">
        <f aca="false">'Cálculo nuclear'!I38</f>
        <v>284239.2</v>
      </c>
      <c r="M6" s="9" t="n">
        <f aca="false">'Cálculo nuclear'!J38</f>
        <v>0</v>
      </c>
      <c r="N6" s="9" t="n">
        <f aca="false">'Cálculo nuclear'!K38</f>
        <v>0</v>
      </c>
      <c r="O6" s="9" t="n">
        <f aca="false">'Cálculo nuclear'!L38</f>
        <v>0</v>
      </c>
      <c r="P6" s="9" t="n">
        <f aca="false">'Cálculo nuclear'!M38</f>
        <v>0</v>
      </c>
      <c r="Q6" s="9" t="n">
        <f aca="false">'Cálculo nuclear'!N38</f>
        <v>0</v>
      </c>
    </row>
    <row r="7" customFormat="false" ht="57.75" hidden="false" customHeight="true" outlineLevel="0" collapsed="false">
      <c r="A7" s="3" t="s">
        <v>18</v>
      </c>
      <c r="B7" s="3" t="n">
        <v>5</v>
      </c>
      <c r="C7" s="3" t="s">
        <v>30</v>
      </c>
      <c r="D7" s="4" t="n">
        <f aca="false">I7*Parámetros!$C$5</f>
        <v>70000</v>
      </c>
      <c r="E7" s="5" t="str">
        <f aca="false">"Se quitan los viajes: "&amp;TEXT(Parámetros!$C$11,"#,##0")&amp;" "&amp;Parámetros!$C$12&amp;" ("&amp;TEXT('Cálculo nuclear'!O43,"#,##0")&amp;" AUD), repartidos por stage según lo que factura IDOM."</f>
        <v>Se quitan los viajes: 70,000 EUR (112,903 AUD), repartidos por stage según lo que factura IDOM.</v>
      </c>
      <c r="F7" s="6" t="s">
        <v>20</v>
      </c>
      <c r="G7" s="6" t="s">
        <v>26</v>
      </c>
      <c r="H7" s="7" t="s">
        <v>22</v>
      </c>
      <c r="I7" s="8" t="n">
        <f aca="false">'Cálculo nuclear'!O43</f>
        <v>112903.225806452</v>
      </c>
      <c r="J7" s="9" t="n">
        <f aca="false">'Cálculo nuclear'!O43</f>
        <v>112903.225806452</v>
      </c>
      <c r="K7" s="9" t="n">
        <f aca="false">'Cálculo nuclear'!H43</f>
        <v>922.019203400649</v>
      </c>
      <c r="L7" s="9" t="n">
        <f aca="false">'Cálculo nuclear'!I43</f>
        <v>3550.79427834803</v>
      </c>
      <c r="M7" s="9" t="n">
        <f aca="false">'Cálculo nuclear'!J43</f>
        <v>24965.2052400674</v>
      </c>
      <c r="N7" s="9" t="n">
        <f aca="false">'Cálculo nuclear'!K43</f>
        <v>53154.41124808</v>
      </c>
      <c r="O7" s="9" t="n">
        <f aca="false">'Cálculo nuclear'!L43</f>
        <v>3921.5437575949</v>
      </c>
      <c r="P7" s="9" t="n">
        <f aca="false">'Cálculo nuclear'!M43</f>
        <v>15469.9566598108</v>
      </c>
      <c r="Q7" s="9" t="n">
        <f aca="false">'Cálculo nuclear'!N43</f>
        <v>10919.2954191498</v>
      </c>
    </row>
    <row r="8" customFormat="false" ht="57.75" hidden="false" customHeight="true" outlineLevel="0" collapsed="false">
      <c r="A8" s="6" t="s">
        <v>18</v>
      </c>
      <c r="B8" s="6" t="n">
        <v>6</v>
      </c>
      <c r="C8" s="6" t="s">
        <v>31</v>
      </c>
      <c r="D8" s="4" t="n">
        <f aca="false">I8*Parámetros!$C$5</f>
        <v>757463.6286</v>
      </c>
      <c r="E8" s="5" t="str">
        <f aca="false">"Se quitan a Plan Safe sus entregables propios de human factors (HFIP, HFHICP, HF Task Assessments y HF Substantiation Report). Mantiene su parte de los entregables compartidos."</f>
        <v>Se quitan a Plan Safe sus entregables propios de human factors (HFIP, HFHICP, HF Task Assessments y HF Substantiation Report). Mantiene su parte de los entregables compartidos.</v>
      </c>
      <c r="F8" s="6" t="s">
        <v>32</v>
      </c>
      <c r="G8" s="6" t="s">
        <v>33</v>
      </c>
      <c r="H8" s="7" t="s">
        <v>34</v>
      </c>
      <c r="I8" s="8" t="n">
        <f aca="false">'Cálculo nuclear'!O50</f>
        <v>1221715.53</v>
      </c>
      <c r="J8" s="9" t="n">
        <f aca="false">'Cálculo nuclear'!O50</f>
        <v>1221715.53</v>
      </c>
      <c r="K8" s="9" t="n">
        <f aca="false">'Cálculo nuclear'!H50</f>
        <v>108067.05</v>
      </c>
      <c r="L8" s="9" t="n">
        <f aca="false">'Cálculo nuclear'!I50</f>
        <v>158866.575</v>
      </c>
      <c r="M8" s="9" t="n">
        <f aca="false">'Cálculo nuclear'!J50</f>
        <v>189806.4</v>
      </c>
      <c r="N8" s="9" t="n">
        <f aca="false">'Cálculo nuclear'!K50</f>
        <v>433104.63</v>
      </c>
      <c r="O8" s="9" t="n">
        <f aca="false">'Cálculo nuclear'!L50</f>
        <v>128533.125</v>
      </c>
      <c r="P8" s="9" t="n">
        <f aca="false">'Cálculo nuclear'!M50</f>
        <v>146889.75</v>
      </c>
      <c r="Q8" s="9" t="n">
        <f aca="false">'Cálculo nuclear'!N50</f>
        <v>56448</v>
      </c>
    </row>
    <row r="9" customFormat="false" ht="14.25" hidden="false" customHeight="false" outlineLevel="0" collapsed="false">
      <c r="A9" s="6" t="s">
        <v>35</v>
      </c>
      <c r="B9" s="6" t="s">
        <v>36</v>
      </c>
      <c r="C9" s="10" t="s">
        <v>37</v>
      </c>
      <c r="D9" s="11" t="n">
        <f aca="false">I9*Parámetros!$C$5</f>
        <v>0</v>
      </c>
      <c r="E9" s="10"/>
      <c r="F9" s="10"/>
      <c r="G9" s="10"/>
      <c r="H9" s="7" t="s">
        <v>35</v>
      </c>
      <c r="I9" s="8" t="n">
        <f aca="false">SUM(K9:Q9)</f>
        <v>0</v>
      </c>
      <c r="J9" s="9" t="n">
        <f aca="false">I9</f>
        <v>0</v>
      </c>
      <c r="K9" s="12"/>
      <c r="L9" s="12"/>
      <c r="M9" s="12"/>
      <c r="N9" s="12"/>
      <c r="O9" s="12"/>
      <c r="P9" s="12"/>
      <c r="Q9" s="12"/>
    </row>
    <row r="10" customFormat="false" ht="14.25" hidden="false" customHeight="false" outlineLevel="0" collapsed="false">
      <c r="A10" s="6" t="s">
        <v>35</v>
      </c>
      <c r="B10" s="6" t="s">
        <v>38</v>
      </c>
      <c r="C10" s="10"/>
      <c r="D10" s="11" t="n">
        <f aca="false">I10*Parámetros!$C$5</f>
        <v>0</v>
      </c>
      <c r="E10" s="10"/>
      <c r="F10" s="10"/>
      <c r="G10" s="10"/>
      <c r="H10" s="7" t="s">
        <v>35</v>
      </c>
      <c r="I10" s="8" t="n">
        <f aca="false">SUM(K10:Q10)</f>
        <v>0</v>
      </c>
      <c r="J10" s="9" t="n">
        <f aca="false">I10</f>
        <v>0</v>
      </c>
      <c r="K10" s="12"/>
      <c r="L10" s="12"/>
      <c r="M10" s="12"/>
      <c r="N10" s="12"/>
      <c r="O10" s="12"/>
      <c r="P10" s="12"/>
      <c r="Q10" s="12"/>
    </row>
    <row r="11" customFormat="false" ht="14.25" hidden="false" customHeight="false" outlineLevel="0" collapsed="false">
      <c r="A11" s="6" t="s">
        <v>35</v>
      </c>
      <c r="B11" s="6" t="s">
        <v>39</v>
      </c>
      <c r="C11" s="10"/>
      <c r="D11" s="11" t="n">
        <f aca="false">I11*Parámetros!$C$5</f>
        <v>0</v>
      </c>
      <c r="E11" s="10"/>
      <c r="F11" s="10"/>
      <c r="G11" s="10"/>
      <c r="H11" s="7" t="s">
        <v>35</v>
      </c>
      <c r="I11" s="8" t="n">
        <f aca="false">SUM(K11:Q11)</f>
        <v>0</v>
      </c>
      <c r="J11" s="9" t="n">
        <f aca="false">I11</f>
        <v>0</v>
      </c>
      <c r="K11" s="12"/>
      <c r="L11" s="12"/>
      <c r="M11" s="12"/>
      <c r="N11" s="12"/>
      <c r="O11" s="12"/>
      <c r="P11" s="12"/>
      <c r="Q11" s="12"/>
    </row>
    <row r="12" customFormat="false" ht="14.25" hidden="false" customHeight="false" outlineLevel="0" collapsed="false">
      <c r="A12" s="6" t="s">
        <v>35</v>
      </c>
      <c r="B12" s="6" t="s">
        <v>40</v>
      </c>
      <c r="C12" s="10"/>
      <c r="D12" s="11" t="n">
        <f aca="false">I12*Parámetros!$C$5</f>
        <v>0</v>
      </c>
      <c r="E12" s="10"/>
      <c r="F12" s="10"/>
      <c r="G12" s="10"/>
      <c r="H12" s="7" t="s">
        <v>35</v>
      </c>
      <c r="I12" s="8" t="n">
        <f aca="false">SUM(K12:Q12)</f>
        <v>0</v>
      </c>
      <c r="J12" s="9" t="n">
        <f aca="false">I12</f>
        <v>0</v>
      </c>
      <c r="K12" s="12"/>
      <c r="L12" s="12"/>
      <c r="M12" s="12"/>
      <c r="N12" s="12"/>
      <c r="O12" s="12"/>
      <c r="P12" s="12"/>
      <c r="Q12" s="12"/>
    </row>
    <row r="13" customFormat="false" ht="14.25" hidden="false" customHeight="false" outlineLevel="0" collapsed="false">
      <c r="A13" s="6" t="s">
        <v>35</v>
      </c>
      <c r="B13" s="6" t="s">
        <v>41</v>
      </c>
      <c r="C13" s="10"/>
      <c r="D13" s="11" t="n">
        <f aca="false">I13*Parámetros!$C$5</f>
        <v>0</v>
      </c>
      <c r="E13" s="10"/>
      <c r="F13" s="10"/>
      <c r="G13" s="10"/>
      <c r="H13" s="7" t="s">
        <v>35</v>
      </c>
      <c r="I13" s="8" t="n">
        <f aca="false">SUM(K13:Q13)</f>
        <v>0</v>
      </c>
      <c r="J13" s="9" t="n">
        <f aca="false">I13</f>
        <v>0</v>
      </c>
      <c r="K13" s="12"/>
      <c r="L13" s="12"/>
      <c r="M13" s="12"/>
      <c r="N13" s="12"/>
      <c r="O13" s="12"/>
      <c r="P13" s="12"/>
      <c r="Q13" s="12"/>
    </row>
    <row r="15" customFormat="false" ht="14.25" hidden="false" customHeight="false" outlineLevel="0" collapsed="false">
      <c r="C15" s="13" t="s">
        <v>42</v>
      </c>
      <c r="D15" s="14" t="n">
        <f aca="false">SUMPRODUCT((D3:D8)*($H$3:$H$8="1 y 2"))</f>
        <v>1221521.08674867</v>
      </c>
      <c r="I15" s="15" t="n">
        <f aca="false">SUMPRODUCT((I3:I8)*($H$3:$H$8="1 y 2"))</f>
        <v>1970195.30120753</v>
      </c>
      <c r="K15" s="15" t="n">
        <f aca="false">SUMPRODUCT((K3:K8)*($H$3:$H$8="1 y 2"))</f>
        <v>111782.113435265</v>
      </c>
      <c r="L15" s="15" t="n">
        <f aca="false">SUMPRODUCT((L3:L8)*($H$3:$H$8="1 y 2"))</f>
        <v>439662.271340547</v>
      </c>
      <c r="M15" s="15" t="n">
        <f aca="false">SUMPRODUCT((M3:M8)*($H$3:$H$8="1 y 2"))</f>
        <v>340153.262930465</v>
      </c>
      <c r="N15" s="15" t="n">
        <f aca="false">SUMPRODUCT((N3:N8)*($H$3:$H$8="1 y 2"))</f>
        <v>756143.561098157</v>
      </c>
      <c r="O15" s="15" t="n">
        <f aca="false">SUMPRODUCT((O3:O8)*($H$3:$H$8="1 y 2"))</f>
        <v>257271.180007291</v>
      </c>
      <c r="P15" s="15" t="n">
        <f aca="false">SUMPRODUCT((P3:P8)*($H$3:$H$8="1 y 2"))</f>
        <v>38211.6486934184</v>
      </c>
      <c r="Q15" s="15" t="n">
        <f aca="false">SUMPRODUCT((Q3:Q8)*($H$3:$H$8="1 y 2"))</f>
        <v>26971.2637023839</v>
      </c>
    </row>
    <row r="16" customFormat="false" ht="14.25" hidden="false" customHeight="false" outlineLevel="0" collapsed="false">
      <c r="C16" s="13" t="s">
        <v>43</v>
      </c>
      <c r="D16" s="14" t="n">
        <f aca="false">SUM(D3:D8)</f>
        <v>1978984.71534867</v>
      </c>
      <c r="I16" s="15" t="n">
        <f aca="false">SUM(I3:I8)</f>
        <v>3191910.83120753</v>
      </c>
      <c r="K16" s="15" t="n">
        <f aca="false">SUM(K3:K8)</f>
        <v>219849.163435265</v>
      </c>
      <c r="L16" s="15" t="n">
        <f aca="false">SUM(L3:L8)</f>
        <v>598528.846340547</v>
      </c>
      <c r="M16" s="15" t="n">
        <f aca="false">SUM(M3:M8)</f>
        <v>529959.662930465</v>
      </c>
      <c r="N16" s="15" t="n">
        <f aca="false">SUM(N3:N8)</f>
        <v>1189248.19109816</v>
      </c>
      <c r="O16" s="15" t="n">
        <f aca="false">SUM(O3:O8)</f>
        <v>385804.305007291</v>
      </c>
      <c r="P16" s="15" t="n">
        <f aca="false">SUM(P3:P8)</f>
        <v>185101.398693418</v>
      </c>
      <c r="Q16" s="15" t="n">
        <f aca="false">SUM(Q3:Q8)</f>
        <v>83419.2637023839</v>
      </c>
    </row>
    <row r="17" customFormat="false" ht="14.25" hidden="false" customHeight="false" outlineLevel="0" collapsed="false">
      <c r="C17" s="13" t="s">
        <v>44</v>
      </c>
      <c r="D17" s="14" t="n">
        <f aca="false">SUM(D9:D13)</f>
        <v>0</v>
      </c>
      <c r="I17" s="15" t="n">
        <f aca="false">SUM(I9:I13)</f>
        <v>0</v>
      </c>
      <c r="K17" s="15" t="n">
        <f aca="false">SUM(K9:K13)</f>
        <v>0</v>
      </c>
      <c r="L17" s="15" t="n">
        <f aca="false">SUM(L9:L13)</f>
        <v>0</v>
      </c>
      <c r="M17" s="15" t="n">
        <f aca="false">SUM(M9:M13)</f>
        <v>0</v>
      </c>
      <c r="N17" s="15" t="n">
        <f aca="false">SUM(N9:N13)</f>
        <v>0</v>
      </c>
      <c r="O17" s="15" t="n">
        <f aca="false">SUM(O9:O13)</f>
        <v>0</v>
      </c>
      <c r="P17" s="15" t="n">
        <f aca="false">SUM(P9:P13)</f>
        <v>0</v>
      </c>
      <c r="Q17" s="15" t="n">
        <f aca="false">SUM(Q9:Q13)</f>
        <v>0</v>
      </c>
    </row>
    <row r="19" customFormat="false" ht="14.25" hidden="false" customHeight="false" outlineLevel="0" collapsed="false">
      <c r="A19" s="1" t="s">
        <v>45</v>
      </c>
    </row>
    <row r="20" customFormat="false" ht="14.25" hidden="false" customHeight="false" outlineLevel="0" collapsed="false">
      <c r="A20" s="1" t="s">
        <v>46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2:I43"/>
  <sheetViews>
    <sheetView showFormulas="false" showGridLines="true" showRowColHeaders="true" showZeros="true" rightToLeft="false" tabSelected="true" showOutlineSymbols="true" defaultGridColor="true" view="normal" topLeftCell="A7" colorId="64" zoomScale="100" zoomScaleNormal="100" zoomScalePageLayoutView="100" workbookViewId="0">
      <selection pane="topLeft" activeCell="F20" activeCellId="0" sqref="F20"/>
    </sheetView>
  </sheetViews>
  <sheetFormatPr defaultColWidth="10.5390625" defaultRowHeight="14.2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5"/>
    <col collapsed="false" customWidth="true" hidden="false" outlineLevel="0" max="4" min="3" style="0" width="20"/>
    <col collapsed="false" customWidth="true" hidden="false" outlineLevel="0" max="5" min="5" style="0" width="18"/>
    <col collapsed="false" customWidth="true" hidden="false" outlineLevel="0" max="7" min="6" style="0" width="13"/>
    <col collapsed="false" customWidth="true" hidden="false" outlineLevel="0" max="9" min="8" style="0" width="16"/>
  </cols>
  <sheetData>
    <row r="2" customFormat="false" ht="15" hidden="false" customHeight="false" outlineLevel="0" collapsed="false">
      <c r="A2" s="16" t="s">
        <v>47</v>
      </c>
      <c r="B2" s="16"/>
      <c r="C2" s="16"/>
      <c r="D2" s="16"/>
      <c r="E2" s="16"/>
      <c r="F2" s="16"/>
      <c r="G2" s="16"/>
      <c r="H2" s="16"/>
      <c r="I2" s="16"/>
    </row>
    <row r="3" customFormat="false" ht="45" hidden="false" customHeight="true" outlineLevel="0" collapsed="false">
      <c r="A3" s="2" t="s">
        <v>48</v>
      </c>
      <c r="B3" s="2" t="s">
        <v>49</v>
      </c>
      <c r="C3" s="2" t="s">
        <v>50</v>
      </c>
      <c r="D3" s="2" t="s">
        <v>51</v>
      </c>
      <c r="E3" s="2" t="s">
        <v>52</v>
      </c>
      <c r="F3" s="2" t="s">
        <v>53</v>
      </c>
      <c r="G3" s="2" t="s">
        <v>54</v>
      </c>
      <c r="H3" s="2" t="s">
        <v>55</v>
      </c>
      <c r="I3" s="2" t="s">
        <v>56</v>
      </c>
    </row>
    <row r="4" customFormat="false" ht="14.25" hidden="false" customHeight="false" outlineLevel="0" collapsed="false">
      <c r="A4" s="17" t="s">
        <v>28</v>
      </c>
      <c r="B4" s="9" t="n">
        <f aca="false">'Cálculo nuclear'!H32</f>
        <v>335082.825</v>
      </c>
      <c r="C4" s="8" t="n">
        <f aca="false">'Cálculo nuclear'!H46</f>
        <v>223300.711564735</v>
      </c>
      <c r="D4" s="8" t="n">
        <f aca="false">'Cálculo nuclear'!H51</f>
        <v>115233.661564735</v>
      </c>
      <c r="E4" s="18" t="n">
        <v>106000</v>
      </c>
      <c r="F4" s="19" t="n">
        <f aca="false">IF(B4=0,0,1-C4/B4)</f>
        <v>0.333595472806655</v>
      </c>
      <c r="G4" s="19" t="n">
        <f aca="false">IF(B4=0,0,1-D4/B4)</f>
        <v>0.656103945152261</v>
      </c>
      <c r="H4" s="20" t="n">
        <f aca="false">IF(C4=0,0,(E4-C4)/C4)</f>
        <v>-0.525303796583423</v>
      </c>
      <c r="I4" s="20" t="n">
        <f aca="false">IF(D4=0,0,(E4-D4)/D4)</f>
        <v>-0.0801298981508811</v>
      </c>
    </row>
    <row r="5" customFormat="false" ht="14.25" hidden="false" customHeight="false" outlineLevel="0" collapsed="false">
      <c r="A5" s="17" t="s">
        <v>21</v>
      </c>
      <c r="B5" s="9" t="n">
        <f aca="false">'Cálculo nuclear'!I32</f>
        <v>732839.1</v>
      </c>
      <c r="C5" s="8" t="n">
        <f aca="false">'Cálculo nuclear'!I46</f>
        <v>293176.828659453</v>
      </c>
      <c r="D5" s="8" t="n">
        <f aca="false">'Cálculo nuclear'!I51</f>
        <v>134310.253659453</v>
      </c>
      <c r="E5" s="18" t="n">
        <v>453000</v>
      </c>
      <c r="F5" s="19" t="n">
        <f aca="false">IF(B5=0,0,1-C5/B5)</f>
        <v>0.599943795767103</v>
      </c>
      <c r="G5" s="19" t="n">
        <f aca="false">IF(B5=0,0,1-D5/B5)</f>
        <v>0.816726135846938</v>
      </c>
      <c r="H5" s="20" t="n">
        <f aca="false">IF(C5=0,0,(E5-C5)/C5)</f>
        <v>0.545142575118699</v>
      </c>
      <c r="I5" s="20" t="n">
        <f aca="false">IF(D5=0,0,(E5-D5)/D5)</f>
        <v>2.3727879119981</v>
      </c>
    </row>
    <row r="6" customFormat="false" ht="14.25" hidden="false" customHeight="false" outlineLevel="0" collapsed="false">
      <c r="A6" s="17" t="s">
        <v>57</v>
      </c>
      <c r="B6" s="9" t="n">
        <f aca="false">'Cálculo nuclear'!J32</f>
        <v>1469323.8</v>
      </c>
      <c r="C6" s="8" t="n">
        <f aca="false">'Cálculo nuclear'!J46</f>
        <v>1129170.53706954</v>
      </c>
      <c r="D6" s="8" t="n">
        <f aca="false">'Cálculo nuclear'!J51</f>
        <v>939364.137069535</v>
      </c>
      <c r="E6" s="18" t="n">
        <v>1250000</v>
      </c>
      <c r="F6" s="19" t="n">
        <f aca="false">IF(B6=0,0,1-C6/B6)</f>
        <v>0.231503269007461</v>
      </c>
      <c r="G6" s="19" t="n">
        <f aca="false">IF(B6=0,0,1-D6/B6)</f>
        <v>0.360682691541827</v>
      </c>
      <c r="H6" s="20" t="n">
        <f aca="false">IF(C6=0,0,(E6-C6)/C6)</f>
        <v>0.107007275662758</v>
      </c>
      <c r="I6" s="20" t="n">
        <f aca="false">IF(D6=0,0,(E6-D6)/D6)</f>
        <v>0.330687377420573</v>
      </c>
    </row>
    <row r="7" customFormat="false" ht="14.25" hidden="false" customHeight="false" outlineLevel="0" collapsed="false">
      <c r="A7" s="17" t="s">
        <v>58</v>
      </c>
      <c r="B7" s="9" t="n">
        <f aca="false">'Cálculo nuclear'!K32</f>
        <v>3183882.555</v>
      </c>
      <c r="C7" s="8" t="n">
        <f aca="false">'Cálculo nuclear'!K46</f>
        <v>2427738.99390184</v>
      </c>
      <c r="D7" s="8" t="n">
        <f aca="false">'Cálculo nuclear'!K51</f>
        <v>1994634.36390184</v>
      </c>
      <c r="E7" s="18" t="n">
        <v>1455000</v>
      </c>
      <c r="F7" s="19" t="n">
        <f aca="false">IF(B7=0,0,1-C7/B7)</f>
        <v>0.237491034306747</v>
      </c>
      <c r="G7" s="19" t="n">
        <f aca="false">IF(B7=0,0,1-D7/B7)</f>
        <v>0.373521375413346</v>
      </c>
      <c r="H7" s="20" t="n">
        <f aca="false">IF(C7=0,0,(E7-C7)/C7)</f>
        <v>-0.400676924638618</v>
      </c>
      <c r="I7" s="20" t="n">
        <f aca="false">IF(D7=0,0,(E7-D7)/D7)</f>
        <v>-0.270542999593282</v>
      </c>
    </row>
    <row r="8" customFormat="false" ht="14.25" hidden="false" customHeight="false" outlineLevel="0" collapsed="false">
      <c r="A8" s="17" t="s">
        <v>59</v>
      </c>
      <c r="B8" s="9" t="n">
        <f aca="false">'Cálculo nuclear'!L32</f>
        <v>540610.875</v>
      </c>
      <c r="C8" s="8" t="n">
        <f aca="false">'Cálculo nuclear'!L46</f>
        <v>283339.694992709</v>
      </c>
      <c r="D8" s="8" t="n">
        <f aca="false">'Cálculo nuclear'!L51</f>
        <v>154806.569992709</v>
      </c>
      <c r="E8" s="18" t="n">
        <v>370000</v>
      </c>
      <c r="F8" s="19" t="n">
        <f aca="false">IF(B8=0,0,1-C8/B8)</f>
        <v>0.475889760832671</v>
      </c>
      <c r="G8" s="19" t="n">
        <f aca="false">IF(B8=0,0,1-D8/B8)</f>
        <v>0.713645105654397</v>
      </c>
      <c r="H8" s="20" t="n">
        <f aca="false">IF(C8=0,0,(E8-C8)/C8)</f>
        <v>0.305853032733451</v>
      </c>
      <c r="I8" s="20" t="n">
        <f aca="false">IF(D8=0,0,(E8-D8)/D8)</f>
        <v>1.39007943924748</v>
      </c>
    </row>
    <row r="9" customFormat="false" ht="14.25" hidden="false" customHeight="false" outlineLevel="0" collapsed="false">
      <c r="A9" s="17" t="s">
        <v>60</v>
      </c>
      <c r="B9" s="9" t="n">
        <f aca="false">'Cálculo nuclear'!M32</f>
        <v>775079.55</v>
      </c>
      <c r="C9" s="8" t="n">
        <f aca="false">'Cálculo nuclear'!M46</f>
        <v>736867.901306582</v>
      </c>
      <c r="D9" s="8" t="n">
        <f aca="false">'Cálculo nuclear'!M51</f>
        <v>589978.151306582</v>
      </c>
      <c r="E9" s="18" t="n">
        <v>102000</v>
      </c>
      <c r="F9" s="19" t="n">
        <f aca="false">IF(B9=0,0,1-C9/B9)</f>
        <v>0.0493002927163003</v>
      </c>
      <c r="G9" s="19" t="n">
        <f aca="false">IF(B9=0,0,1-D9/B9)</f>
        <v>0.238816001136165</v>
      </c>
      <c r="H9" s="20" t="n">
        <f aca="false">IF(C9=0,0,(E9-C9)/C9)</f>
        <v>-0.861576274636013</v>
      </c>
      <c r="I9" s="20" t="n">
        <f aca="false">IF(D9=0,0,(E9-D9)/D9)</f>
        <v>-0.827112241743007</v>
      </c>
    </row>
    <row r="10" customFormat="false" ht="14.25" hidden="false" customHeight="false" outlineLevel="0" collapsed="false">
      <c r="A10" s="17" t="s">
        <v>61</v>
      </c>
      <c r="B10" s="9" t="n">
        <f aca="false">'Cálculo nuclear'!N32</f>
        <v>493905.3</v>
      </c>
      <c r="C10" s="8" t="n">
        <f aca="false">'Cálculo nuclear'!N46</f>
        <v>466934.036297616</v>
      </c>
      <c r="D10" s="8" t="n">
        <f aca="false">'Cálculo nuclear'!N51</f>
        <v>410486.036297616</v>
      </c>
      <c r="E10" s="18" t="n">
        <v>73000</v>
      </c>
      <c r="F10" s="19" t="n">
        <f aca="false">IF(B10=0,0,1-C10/B10)</f>
        <v>0.054608168210351</v>
      </c>
      <c r="G10" s="19" t="n">
        <f aca="false">IF(B10=0,0,1-D10/B10)</f>
        <v>0.168897283957843</v>
      </c>
      <c r="H10" s="20" t="n">
        <f aca="false">IF(C10=0,0,(E10-C10)/C10)</f>
        <v>-0.843661000644059</v>
      </c>
      <c r="I10" s="20" t="n">
        <f aca="false">IF(D10=0,0,(E10-D10)/D10)</f>
        <v>-0.822162038303606</v>
      </c>
    </row>
    <row r="11" customFormat="false" ht="14.25" hidden="false" customHeight="false" outlineLevel="0" collapsed="false">
      <c r="A11" s="21" t="s">
        <v>62</v>
      </c>
      <c r="B11" s="15" t="n">
        <f aca="false">SUM(B4:B10)</f>
        <v>7530724.005</v>
      </c>
      <c r="C11" s="15" t="n">
        <f aca="false">SUM(C4:C10)</f>
        <v>5560528.70379247</v>
      </c>
      <c r="D11" s="15" t="n">
        <f aca="false">SUM(D4:D10)</f>
        <v>4338813.17379247</v>
      </c>
      <c r="E11" s="15" t="n">
        <f aca="false">SUM(E4:E10)</f>
        <v>3809000</v>
      </c>
      <c r="F11" s="22" t="n">
        <f aca="false">IF(B11=0,0,1-C11/B11)</f>
        <v>0.261620967638626</v>
      </c>
      <c r="G11" s="22" t="n">
        <f aca="false">IF(B11=0,0,1-D11/B11)</f>
        <v>0.423851787568933</v>
      </c>
      <c r="H11" s="23" t="n">
        <f aca="false">IF(C11=0,0,(E11-C11)/C11)</f>
        <v>-0.31499319526898</v>
      </c>
      <c r="I11" s="23" t="n">
        <f aca="false">IF(D11=0,0,(E11-D11)/D11)</f>
        <v>-0.12211016067543</v>
      </c>
    </row>
    <row r="12" customFormat="false" ht="15" hidden="false" customHeight="false" outlineLevel="0" collapsed="false">
      <c r="A12" s="16" t="s">
        <v>63</v>
      </c>
      <c r="B12" s="16"/>
      <c r="C12" s="16"/>
      <c r="D12" s="16"/>
      <c r="E12" s="16"/>
      <c r="F12" s="16"/>
      <c r="G12" s="16"/>
      <c r="H12" s="16"/>
      <c r="I12" s="16"/>
    </row>
    <row r="13" customFormat="false" ht="31.5" hidden="false" customHeight="true" outlineLevel="0" collapsed="false">
      <c r="A13" s="2" t="s">
        <v>48</v>
      </c>
      <c r="B13" s="2" t="s">
        <v>49</v>
      </c>
      <c r="C13" s="2" t="s">
        <v>64</v>
      </c>
      <c r="D13" s="2" t="s">
        <v>65</v>
      </c>
      <c r="E13" s="2" t="s">
        <v>66</v>
      </c>
      <c r="F13" s="2" t="s">
        <v>67</v>
      </c>
      <c r="G13" s="2" t="s">
        <v>68</v>
      </c>
    </row>
    <row r="14" customFormat="false" ht="14.25" hidden="false" customHeight="false" outlineLevel="0" collapsed="false">
      <c r="A14" s="17" t="s">
        <v>28</v>
      </c>
      <c r="B14" s="12"/>
      <c r="C14" s="8" t="n">
        <f aca="false">B14-D14</f>
        <v>0</v>
      </c>
      <c r="D14" s="9" t="n">
        <f aca="false">Hoja1!K17</f>
        <v>0</v>
      </c>
      <c r="E14" s="12"/>
      <c r="F14" s="19" t="n">
        <f aca="false">IF(N(B14)=0,0,1-C14/B14)</f>
        <v>0</v>
      </c>
      <c r="G14" s="20" t="n">
        <f aca="false">IF(N(C14)=0,0,(N(E14)-C14)/C14)</f>
        <v>0</v>
      </c>
    </row>
    <row r="15" customFormat="false" ht="14.25" hidden="false" customHeight="false" outlineLevel="0" collapsed="false">
      <c r="A15" s="17" t="s">
        <v>21</v>
      </c>
      <c r="B15" s="12"/>
      <c r="C15" s="8" t="n">
        <f aca="false">B15-D15</f>
        <v>0</v>
      </c>
      <c r="D15" s="9" t="n">
        <f aca="false">Hoja1!L17</f>
        <v>0</v>
      </c>
      <c r="E15" s="12"/>
      <c r="F15" s="19" t="n">
        <f aca="false">IF(N(B15)=0,0,1-C15/B15)</f>
        <v>0</v>
      </c>
      <c r="G15" s="20" t="n">
        <f aca="false">IF(N(C15)=0,0,(N(E15)-C15)/C15)</f>
        <v>0</v>
      </c>
    </row>
    <row r="16" customFormat="false" ht="14.25" hidden="false" customHeight="false" outlineLevel="0" collapsed="false">
      <c r="A16" s="17" t="s">
        <v>57</v>
      </c>
      <c r="B16" s="12"/>
      <c r="C16" s="8" t="n">
        <f aca="false">B16-D16</f>
        <v>0</v>
      </c>
      <c r="D16" s="9" t="n">
        <f aca="false">Hoja1!M17</f>
        <v>0</v>
      </c>
      <c r="E16" s="12"/>
      <c r="F16" s="19" t="n">
        <f aca="false">IF(N(B16)=0,0,1-C16/B16)</f>
        <v>0</v>
      </c>
      <c r="G16" s="20" t="n">
        <f aca="false">IF(N(C16)=0,0,(N(E16)-C16)/C16)</f>
        <v>0</v>
      </c>
    </row>
    <row r="17" customFormat="false" ht="14.25" hidden="false" customHeight="false" outlineLevel="0" collapsed="false">
      <c r="A17" s="17" t="s">
        <v>58</v>
      </c>
      <c r="B17" s="12"/>
      <c r="C17" s="8" t="n">
        <f aca="false">B17-D17</f>
        <v>0</v>
      </c>
      <c r="D17" s="9" t="n">
        <f aca="false">Hoja1!N17</f>
        <v>0</v>
      </c>
      <c r="E17" s="12"/>
      <c r="F17" s="19" t="n">
        <f aca="false">IF(N(B17)=0,0,1-C17/B17)</f>
        <v>0</v>
      </c>
      <c r="G17" s="20" t="n">
        <f aca="false">IF(N(C17)=0,0,(N(E17)-C17)/C17)</f>
        <v>0</v>
      </c>
    </row>
    <row r="18" customFormat="false" ht="14.25" hidden="false" customHeight="false" outlineLevel="0" collapsed="false">
      <c r="A18" s="17" t="s">
        <v>59</v>
      </c>
      <c r="B18" s="12"/>
      <c r="C18" s="8" t="n">
        <f aca="false">B18-D18</f>
        <v>0</v>
      </c>
      <c r="D18" s="9" t="n">
        <f aca="false">Hoja1!O17</f>
        <v>0</v>
      </c>
      <c r="E18" s="12"/>
      <c r="F18" s="19" t="n">
        <f aca="false">IF(N(B18)=0,0,1-C18/B18)</f>
        <v>0</v>
      </c>
      <c r="G18" s="20" t="n">
        <f aca="false">IF(N(C18)=0,0,(N(E18)-C18)/C18)</f>
        <v>0</v>
      </c>
    </row>
    <row r="19" customFormat="false" ht="14.25" hidden="false" customHeight="false" outlineLevel="0" collapsed="false">
      <c r="A19" s="17" t="s">
        <v>60</v>
      </c>
      <c r="B19" s="12"/>
      <c r="C19" s="8" t="n">
        <f aca="false">B19-D19</f>
        <v>0</v>
      </c>
      <c r="D19" s="9" t="n">
        <f aca="false">Hoja1!P17</f>
        <v>0</v>
      </c>
      <c r="E19" s="12"/>
      <c r="F19" s="19" t="n">
        <f aca="false">IF(N(B19)=0,0,1-C19/B19)</f>
        <v>0</v>
      </c>
      <c r="G19" s="20" t="n">
        <f aca="false">IF(N(C19)=0,0,(N(E19)-C19)/C19)</f>
        <v>0</v>
      </c>
    </row>
    <row r="20" customFormat="false" ht="14.25" hidden="false" customHeight="false" outlineLevel="0" collapsed="false">
      <c r="A20" s="17" t="s">
        <v>61</v>
      </c>
      <c r="B20" s="12"/>
      <c r="C20" s="8" t="n">
        <f aca="false">B20-D20</f>
        <v>0</v>
      </c>
      <c r="D20" s="9" t="n">
        <f aca="false">Hoja1!Q17</f>
        <v>0</v>
      </c>
      <c r="E20" s="12"/>
      <c r="F20" s="19" t="n">
        <f aca="false">IF(N(B20)=0,0,1-C20/B20)</f>
        <v>0</v>
      </c>
      <c r="G20" s="20" t="n">
        <f aca="false">IF(N(C20)=0,0,(N(E20)-C20)/C20)</f>
        <v>0</v>
      </c>
    </row>
    <row r="21" customFormat="false" ht="14.25" hidden="false" customHeight="false" outlineLevel="0" collapsed="false">
      <c r="A21" s="21" t="s">
        <v>62</v>
      </c>
      <c r="B21" s="15" t="n">
        <f aca="false">SUM(B14:B20)</f>
        <v>0</v>
      </c>
      <c r="C21" s="15" t="n">
        <f aca="false">SUM(C14:C20)</f>
        <v>0</v>
      </c>
      <c r="D21" s="15" t="n">
        <f aca="false">SUM(D14:D20)</f>
        <v>0</v>
      </c>
      <c r="E21" s="15" t="n">
        <f aca="false">SUM(E14:E20)</f>
        <v>0</v>
      </c>
      <c r="F21" s="22" t="n">
        <f aca="false">IF(B21=0,0,1-C21/B21)</f>
        <v>0</v>
      </c>
      <c r="G21" s="23" t="n">
        <f aca="false">IF(C21=0,0,(E21-C21)/C21)</f>
        <v>0</v>
      </c>
    </row>
    <row r="22" customFormat="false" ht="14.25" hidden="false" customHeight="false" outlineLevel="0" collapsed="false">
      <c r="A22" s="1" t="s">
        <v>69</v>
      </c>
    </row>
    <row r="24" customFormat="false" ht="15" hidden="false" customHeight="false" outlineLevel="0" collapsed="false">
      <c r="A24" s="16" t="s">
        <v>70</v>
      </c>
      <c r="B24" s="16"/>
      <c r="C24" s="16"/>
      <c r="D24" s="16"/>
      <c r="E24" s="16"/>
      <c r="F24" s="16"/>
      <c r="G24" s="16"/>
      <c r="H24" s="16"/>
      <c r="I24" s="16"/>
    </row>
    <row r="25" customFormat="false" ht="45" hidden="false" customHeight="true" outlineLevel="0" collapsed="false">
      <c r="A25" s="2" t="s">
        <v>48</v>
      </c>
      <c r="B25" s="2" t="s">
        <v>49</v>
      </c>
      <c r="C25" s="2" t="s">
        <v>71</v>
      </c>
      <c r="D25" s="2" t="s">
        <v>72</v>
      </c>
      <c r="E25" s="2" t="s">
        <v>73</v>
      </c>
      <c r="F25" s="2" t="s">
        <v>53</v>
      </c>
      <c r="G25" s="2" t="s">
        <v>54</v>
      </c>
      <c r="H25" s="2" t="s">
        <v>74</v>
      </c>
      <c r="I25" s="2" t="s">
        <v>75</v>
      </c>
    </row>
    <row r="26" customFormat="false" ht="14.25" hidden="false" customHeight="false" outlineLevel="0" collapsed="false">
      <c r="A26" s="17" t="s">
        <v>28</v>
      </c>
      <c r="B26" s="9" t="n">
        <f aca="false">B4+N(B14)</f>
        <v>335082.825</v>
      </c>
      <c r="C26" s="8" t="n">
        <f aca="false">C4+C14</f>
        <v>223300.711564735</v>
      </c>
      <c r="D26" s="8" t="n">
        <f aca="false">D4+C14</f>
        <v>115233.661564735</v>
      </c>
      <c r="E26" s="9" t="n">
        <f aca="false">E4+N(E14)</f>
        <v>106000</v>
      </c>
      <c r="F26" s="19" t="n">
        <f aca="false">IF(B26=0,0,1-C26/B26)</f>
        <v>0.333595472806655</v>
      </c>
      <c r="G26" s="19" t="n">
        <f aca="false">IF(B26=0,0,1-D26/B26)</f>
        <v>0.656103945152261</v>
      </c>
      <c r="H26" s="20" t="n">
        <f aca="false">IF(C26=0,0,(E26-C26)/C26)</f>
        <v>-0.525303796583423</v>
      </c>
      <c r="I26" s="20" t="n">
        <f aca="false">IF(D26=0,0,(E26-D26)/D26)</f>
        <v>-0.0801298981508811</v>
      </c>
    </row>
    <row r="27" customFormat="false" ht="14.25" hidden="false" customHeight="false" outlineLevel="0" collapsed="false">
      <c r="A27" s="17" t="s">
        <v>21</v>
      </c>
      <c r="B27" s="9" t="n">
        <f aca="false">B5+N(B15)</f>
        <v>732839.1</v>
      </c>
      <c r="C27" s="8" t="n">
        <f aca="false">C5+C15</f>
        <v>293176.828659453</v>
      </c>
      <c r="D27" s="8" t="n">
        <f aca="false">D5+C15</f>
        <v>134310.253659453</v>
      </c>
      <c r="E27" s="9" t="n">
        <f aca="false">E5+N(E15)</f>
        <v>453000</v>
      </c>
      <c r="F27" s="19" t="n">
        <f aca="false">IF(B27=0,0,1-C27/B27)</f>
        <v>0.599943795767103</v>
      </c>
      <c r="G27" s="19" t="n">
        <f aca="false">IF(B27=0,0,1-D27/B27)</f>
        <v>0.816726135846938</v>
      </c>
      <c r="H27" s="20" t="n">
        <f aca="false">IF(C27=0,0,(E27-C27)/C27)</f>
        <v>0.545142575118699</v>
      </c>
      <c r="I27" s="20" t="n">
        <f aca="false">IF(D27=0,0,(E27-D27)/D27)</f>
        <v>2.3727879119981</v>
      </c>
    </row>
    <row r="28" customFormat="false" ht="14.25" hidden="false" customHeight="false" outlineLevel="0" collapsed="false">
      <c r="A28" s="17" t="s">
        <v>57</v>
      </c>
      <c r="B28" s="9" t="n">
        <f aca="false">B6+N(B16)</f>
        <v>1469323.8</v>
      </c>
      <c r="C28" s="8" t="n">
        <f aca="false">C6+C16</f>
        <v>1129170.53706954</v>
      </c>
      <c r="D28" s="8" t="n">
        <f aca="false">D6+C16</f>
        <v>939364.137069535</v>
      </c>
      <c r="E28" s="9" t="n">
        <f aca="false">E6+N(E16)</f>
        <v>1250000</v>
      </c>
      <c r="F28" s="19" t="n">
        <f aca="false">IF(B28=0,0,1-C28/B28)</f>
        <v>0.231503269007461</v>
      </c>
      <c r="G28" s="19" t="n">
        <f aca="false">IF(B28=0,0,1-D28/B28)</f>
        <v>0.360682691541827</v>
      </c>
      <c r="H28" s="20" t="n">
        <f aca="false">IF(C28=0,0,(E28-C28)/C28)</f>
        <v>0.107007275662758</v>
      </c>
      <c r="I28" s="20" t="n">
        <f aca="false">IF(D28=0,0,(E28-D28)/D28)</f>
        <v>0.330687377420573</v>
      </c>
    </row>
    <row r="29" customFormat="false" ht="14.25" hidden="false" customHeight="false" outlineLevel="0" collapsed="false">
      <c r="A29" s="17" t="s">
        <v>58</v>
      </c>
      <c r="B29" s="9" t="n">
        <f aca="false">B7+N(B17)</f>
        <v>3183882.555</v>
      </c>
      <c r="C29" s="8" t="n">
        <f aca="false">C7+C17</f>
        <v>2427738.99390184</v>
      </c>
      <c r="D29" s="8" t="n">
        <f aca="false">D7+C17</f>
        <v>1994634.36390184</v>
      </c>
      <c r="E29" s="9" t="n">
        <f aca="false">E7+N(E17)</f>
        <v>1455000</v>
      </c>
      <c r="F29" s="19" t="n">
        <f aca="false">IF(B29=0,0,1-C29/B29)</f>
        <v>0.237491034306747</v>
      </c>
      <c r="G29" s="19" t="n">
        <f aca="false">IF(B29=0,0,1-D29/B29)</f>
        <v>0.373521375413346</v>
      </c>
      <c r="H29" s="20" t="n">
        <f aca="false">IF(C29=0,0,(E29-C29)/C29)</f>
        <v>-0.400676924638618</v>
      </c>
      <c r="I29" s="20" t="n">
        <f aca="false">IF(D29=0,0,(E29-D29)/D29)</f>
        <v>-0.270542999593282</v>
      </c>
    </row>
    <row r="30" customFormat="false" ht="14.25" hidden="false" customHeight="false" outlineLevel="0" collapsed="false">
      <c r="A30" s="17" t="s">
        <v>59</v>
      </c>
      <c r="B30" s="9" t="n">
        <f aca="false">B8+N(B18)</f>
        <v>540610.875</v>
      </c>
      <c r="C30" s="8" t="n">
        <f aca="false">C8+C18</f>
        <v>283339.694992709</v>
      </c>
      <c r="D30" s="8" t="n">
        <f aca="false">D8+C18</f>
        <v>154806.569992709</v>
      </c>
      <c r="E30" s="9" t="n">
        <f aca="false">E8+N(E18)</f>
        <v>370000</v>
      </c>
      <c r="F30" s="19" t="n">
        <f aca="false">IF(B30=0,0,1-C30/B30)</f>
        <v>0.475889760832671</v>
      </c>
      <c r="G30" s="19" t="n">
        <f aca="false">IF(B30=0,0,1-D30/B30)</f>
        <v>0.713645105654397</v>
      </c>
      <c r="H30" s="20" t="n">
        <f aca="false">IF(C30=0,0,(E30-C30)/C30)</f>
        <v>0.305853032733451</v>
      </c>
      <c r="I30" s="20" t="n">
        <f aca="false">IF(D30=0,0,(E30-D30)/D30)</f>
        <v>1.39007943924748</v>
      </c>
    </row>
    <row r="31" customFormat="false" ht="14.25" hidden="false" customHeight="false" outlineLevel="0" collapsed="false">
      <c r="A31" s="17" t="s">
        <v>60</v>
      </c>
      <c r="B31" s="9" t="n">
        <f aca="false">B9+N(B19)</f>
        <v>775079.55</v>
      </c>
      <c r="C31" s="8" t="n">
        <f aca="false">C9+C19</f>
        <v>736867.901306582</v>
      </c>
      <c r="D31" s="8" t="n">
        <f aca="false">D9+C19</f>
        <v>589978.151306582</v>
      </c>
      <c r="E31" s="9" t="n">
        <f aca="false">E9+N(E19)</f>
        <v>102000</v>
      </c>
      <c r="F31" s="19" t="n">
        <f aca="false">IF(B31=0,0,1-C31/B31)</f>
        <v>0.0493002927163003</v>
      </c>
      <c r="G31" s="19" t="n">
        <f aca="false">IF(B31=0,0,1-D31/B31)</f>
        <v>0.238816001136165</v>
      </c>
      <c r="H31" s="20" t="n">
        <f aca="false">IF(C31=0,0,(E31-C31)/C31)</f>
        <v>-0.861576274636013</v>
      </c>
      <c r="I31" s="20" t="n">
        <f aca="false">IF(D31=0,0,(E31-D31)/D31)</f>
        <v>-0.827112241743007</v>
      </c>
    </row>
    <row r="32" customFormat="false" ht="14.25" hidden="false" customHeight="false" outlineLevel="0" collapsed="false">
      <c r="A32" s="17" t="s">
        <v>61</v>
      </c>
      <c r="B32" s="9" t="n">
        <f aca="false">B10+N(B20)</f>
        <v>493905.3</v>
      </c>
      <c r="C32" s="8" t="n">
        <f aca="false">C10+C20</f>
        <v>466934.036297616</v>
      </c>
      <c r="D32" s="8" t="n">
        <f aca="false">D10+C20</f>
        <v>410486.036297616</v>
      </c>
      <c r="E32" s="9" t="n">
        <f aca="false">E10+N(E20)</f>
        <v>73000</v>
      </c>
      <c r="F32" s="19" t="n">
        <f aca="false">IF(B32=0,0,1-C32/B32)</f>
        <v>0.054608168210351</v>
      </c>
      <c r="G32" s="19" t="n">
        <f aca="false">IF(B32=0,0,1-D32/B32)</f>
        <v>0.168897283957843</v>
      </c>
      <c r="H32" s="20" t="n">
        <f aca="false">IF(C32=0,0,(E32-C32)/C32)</f>
        <v>-0.843661000644059</v>
      </c>
      <c r="I32" s="20" t="n">
        <f aca="false">IF(D32=0,0,(E32-D32)/D32)</f>
        <v>-0.822162038303606</v>
      </c>
    </row>
    <row r="33" customFormat="false" ht="14.25" hidden="false" customHeight="false" outlineLevel="0" collapsed="false">
      <c r="A33" s="21" t="s">
        <v>62</v>
      </c>
      <c r="B33" s="15" t="n">
        <f aca="false">SUM(B26:B32)</f>
        <v>7530724.005</v>
      </c>
      <c r="C33" s="15" t="n">
        <f aca="false">SUM(C26:C32)</f>
        <v>5560528.70379247</v>
      </c>
      <c r="D33" s="15" t="n">
        <f aca="false">SUM(D26:D32)</f>
        <v>4338813.17379247</v>
      </c>
      <c r="E33" s="15" t="n">
        <f aca="false">SUM(E26:E32)</f>
        <v>3809000</v>
      </c>
      <c r="F33" s="22" t="n">
        <f aca="false">IF(B33=0,0,1-C33/B33)</f>
        <v>0.261620967638626</v>
      </c>
      <c r="G33" s="22" t="n">
        <f aca="false">IF(B33=0,0,1-D33/B33)</f>
        <v>0.423851787568933</v>
      </c>
      <c r="H33" s="23" t="n">
        <f aca="false">IF(C33=0,0,(E33-C33)/C33)</f>
        <v>-0.31499319526898</v>
      </c>
      <c r="I33" s="23" t="n">
        <f aca="false">IF(D33=0,0,(E33-D33)/D33)</f>
        <v>-0.12211016067543</v>
      </c>
    </row>
    <row r="36" customFormat="false" ht="15" hidden="false" customHeight="false" outlineLevel="0" collapsed="false">
      <c r="A36" s="16" t="s">
        <v>76</v>
      </c>
      <c r="B36" s="16"/>
      <c r="C36" s="16"/>
      <c r="D36" s="16"/>
      <c r="E36" s="16"/>
      <c r="F36" s="16"/>
      <c r="G36" s="16"/>
      <c r="H36" s="16"/>
      <c r="I36" s="16"/>
    </row>
    <row r="37" customFormat="false" ht="31.5" hidden="false" customHeight="true" outlineLevel="0" collapsed="false">
      <c r="A37" s="2" t="s">
        <v>77</v>
      </c>
      <c r="B37" s="2" t="s">
        <v>49</v>
      </c>
      <c r="C37" s="2" t="s">
        <v>50</v>
      </c>
      <c r="D37" s="2" t="s">
        <v>51</v>
      </c>
      <c r="E37" s="2" t="s">
        <v>78</v>
      </c>
      <c r="F37" s="2" t="s">
        <v>79</v>
      </c>
    </row>
    <row r="38" customFormat="false" ht="14.25" hidden="false" customHeight="false" outlineLevel="0" collapsed="false">
      <c r="A38" s="24" t="s">
        <v>80</v>
      </c>
      <c r="B38" s="9" t="n">
        <f aca="false">'Cálculo nuclear'!O33</f>
        <v>5858217.9075</v>
      </c>
      <c r="C38" s="9" t="n">
        <f aca="false">'Cálculo nuclear'!O47</f>
        <v>3983375.69629247</v>
      </c>
      <c r="D38" s="9" t="n">
        <f aca="false">'Cálculo nuclear'!O47</f>
        <v>3983375.69629247</v>
      </c>
      <c r="E38" s="9" t="n">
        <f aca="false">B38-C38</f>
        <v>1874842.21120753</v>
      </c>
      <c r="F38" s="9" t="n">
        <f aca="false">B38-D38</f>
        <v>1874842.21120753</v>
      </c>
    </row>
    <row r="39" customFormat="false" ht="14.25" hidden="false" customHeight="false" outlineLevel="0" collapsed="false">
      <c r="A39" s="24" t="s">
        <v>81</v>
      </c>
      <c r="B39" s="9" t="n">
        <f aca="false">'Cálculo nuclear'!O34</f>
        <v>1593669.9975</v>
      </c>
      <c r="C39" s="9" t="n">
        <f aca="false">'Cálculo nuclear'!O48</f>
        <v>1498316.9075</v>
      </c>
      <c r="D39" s="9" t="n">
        <f aca="false">'Cálculo nuclear'!O52</f>
        <v>276601.3775</v>
      </c>
      <c r="E39" s="9" t="n">
        <f aca="false">B39-C39</f>
        <v>95353.0900000001</v>
      </c>
      <c r="F39" s="9" t="n">
        <f aca="false">B39-D39</f>
        <v>1317068.62</v>
      </c>
    </row>
    <row r="40" customFormat="false" ht="14.25" hidden="false" customHeight="false" outlineLevel="0" collapsed="false">
      <c r="A40" s="24" t="s">
        <v>82</v>
      </c>
      <c r="B40" s="9" t="n">
        <f aca="false">'Cálculo nuclear'!O35</f>
        <v>78836.1</v>
      </c>
      <c r="C40" s="9" t="n">
        <f aca="false">'Cálculo nuclear'!O49</f>
        <v>78836.1</v>
      </c>
      <c r="D40" s="9" t="n">
        <f aca="false">'Cálculo nuclear'!O49</f>
        <v>78836.1</v>
      </c>
      <c r="E40" s="9" t="n">
        <f aca="false">B40-C40</f>
        <v>0</v>
      </c>
      <c r="F40" s="9" t="n">
        <f aca="false">B40-D40</f>
        <v>0</v>
      </c>
    </row>
    <row r="41" customFormat="false" ht="14.25" hidden="false" customHeight="false" outlineLevel="0" collapsed="false">
      <c r="A41" s="13" t="s">
        <v>62</v>
      </c>
      <c r="B41" s="15" t="n">
        <f aca="false">SUM(B38:B40)</f>
        <v>7530724.005</v>
      </c>
      <c r="C41" s="15" t="n">
        <f aca="false">SUM(C38:C40)</f>
        <v>5560528.70379247</v>
      </c>
      <c r="D41" s="15" t="n">
        <f aca="false">SUM(D38:D40)</f>
        <v>4338813.17379247</v>
      </c>
      <c r="E41" s="15" t="n">
        <f aca="false">SUM(E38:E40)</f>
        <v>1970195.30120753</v>
      </c>
      <c r="F41" s="15" t="n">
        <f aca="false">SUM(F38:F40)</f>
        <v>3191910.83120753</v>
      </c>
    </row>
    <row r="43" customFormat="false" ht="14.25" hidden="false" customHeight="false" outlineLevel="0" collapsed="false">
      <c r="A43" s="1" t="s">
        <v>83</v>
      </c>
    </row>
  </sheetData>
  <mergeCells count="4">
    <mergeCell ref="A2:I2"/>
    <mergeCell ref="A12:I12"/>
    <mergeCell ref="A24:I24"/>
    <mergeCell ref="A36:I3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B1:D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0"/>
    <col collapsed="false" customWidth="true" hidden="false" outlineLevel="0" max="3" min="3" style="0" width="14"/>
    <col collapsed="false" customWidth="true" hidden="false" outlineLevel="0" max="4" min="4" style="0" width="110"/>
  </cols>
  <sheetData>
    <row r="1" customFormat="false" ht="17.35" hidden="false" customHeight="false" outlineLevel="0" collapsed="false">
      <c r="B1" s="25" t="s">
        <v>84</v>
      </c>
    </row>
    <row r="2" customFormat="false" ht="15" hidden="false" customHeight="false" outlineLevel="0" collapsed="false">
      <c r="B2" s="1" t="s">
        <v>85</v>
      </c>
    </row>
    <row r="4" customFormat="false" ht="15" hidden="false" customHeight="false" outlineLevel="0" collapsed="false">
      <c r="B4" s="26" t="s">
        <v>86</v>
      </c>
      <c r="C4" s="26"/>
      <c r="D4" s="26"/>
    </row>
    <row r="5" customFormat="false" ht="15" hidden="false" customHeight="false" outlineLevel="0" collapsed="false">
      <c r="B5" s="27" t="s">
        <v>87</v>
      </c>
      <c r="C5" s="28" t="n">
        <v>0.62</v>
      </c>
      <c r="D5" s="1" t="s">
        <v>88</v>
      </c>
    </row>
    <row r="6" customFormat="false" ht="15" hidden="false" customHeight="false" outlineLevel="0" collapsed="false">
      <c r="B6" s="26" t="s">
        <v>89</v>
      </c>
      <c r="C6" s="26"/>
      <c r="D6" s="26"/>
    </row>
    <row r="7" customFormat="false" ht="15" hidden="false" customHeight="false" outlineLevel="0" collapsed="false">
      <c r="B7" s="27" t="s">
        <v>90</v>
      </c>
      <c r="C7" s="29" t="s">
        <v>91</v>
      </c>
      <c r="D7" s="1" t="s">
        <v>92</v>
      </c>
    </row>
    <row r="8" customFormat="false" ht="15" hidden="false" customHeight="false" outlineLevel="0" collapsed="false">
      <c r="B8" s="27" t="s">
        <v>93</v>
      </c>
      <c r="C8" s="30" t="n">
        <v>165</v>
      </c>
      <c r="D8" s="1" t="s">
        <v>94</v>
      </c>
    </row>
    <row r="9" customFormat="false" ht="15" hidden="false" customHeight="false" outlineLevel="0" collapsed="false">
      <c r="B9" s="27" t="s">
        <v>95</v>
      </c>
      <c r="C9" s="31" t="n">
        <v>38675</v>
      </c>
      <c r="D9" s="1" t="s">
        <v>96</v>
      </c>
    </row>
    <row r="10" customFormat="false" ht="15" hidden="false" customHeight="false" outlineLevel="0" collapsed="false">
      <c r="B10" s="27" t="s">
        <v>97</v>
      </c>
      <c r="C10" s="32" t="n">
        <v>0.35</v>
      </c>
      <c r="D10" s="1" t="s">
        <v>98</v>
      </c>
    </row>
    <row r="11" customFormat="false" ht="15" hidden="false" customHeight="false" outlineLevel="0" collapsed="false">
      <c r="B11" s="27" t="s">
        <v>99</v>
      </c>
      <c r="C11" s="30" t="n">
        <v>70000</v>
      </c>
      <c r="D11" s="1" t="s">
        <v>100</v>
      </c>
    </row>
    <row r="12" customFormat="false" ht="15" hidden="false" customHeight="false" outlineLevel="0" collapsed="false">
      <c r="B12" s="27" t="s">
        <v>101</v>
      </c>
      <c r="C12" s="29" t="s">
        <v>102</v>
      </c>
      <c r="D12" s="1" t="s">
        <v>103</v>
      </c>
    </row>
    <row r="13" customFormat="false" ht="15" hidden="false" customHeight="false" outlineLevel="0" collapsed="false">
      <c r="B13" s="27" t="s">
        <v>104</v>
      </c>
      <c r="C13" s="33" t="n">
        <v>0.04</v>
      </c>
      <c r="D13" s="1" t="s">
        <v>105</v>
      </c>
    </row>
    <row r="14" customFormat="false" ht="15" hidden="false" customHeight="false" outlineLevel="0" collapsed="false">
      <c r="B14" s="27" t="s">
        <v>106</v>
      </c>
      <c r="C14" s="32" t="n">
        <v>0.1</v>
      </c>
      <c r="D14" s="1" t="s">
        <v>107</v>
      </c>
    </row>
    <row r="15" customFormat="false" ht="15" hidden="false" customHeight="false" outlineLevel="0" collapsed="false">
      <c r="B15" s="26" t="s">
        <v>108</v>
      </c>
      <c r="C15" s="26"/>
      <c r="D15" s="26"/>
    </row>
    <row r="16" customFormat="false" ht="15" hidden="false" customHeight="false" outlineLevel="0" collapsed="false">
      <c r="B16" s="27" t="s">
        <v>109</v>
      </c>
      <c r="C16" s="29" t="s">
        <v>110</v>
      </c>
      <c r="D16" s="1" t="s">
        <v>111</v>
      </c>
    </row>
    <row r="18" customFormat="false" ht="15" hidden="false" customHeight="false" outlineLevel="0" collapsed="false">
      <c r="B18" s="1" t="s">
        <v>112</v>
      </c>
    </row>
  </sheetData>
  <dataValidations count="3">
    <dataValidation allowBlank="false" errorStyle="stop" operator="between" showDropDown="false" showErrorMessage="false" showInputMessage="false" sqref="C7" type="list">
      <formula1>"S1-S5,S1-S7"</formula1>
      <formula2>0</formula2>
    </dataValidation>
    <dataValidation allowBlank="false" errorStyle="stop" operator="between" showDropDown="false" showErrorMessage="false" showInputMessage="false" sqref="C12" type="list">
      <formula1>"EUR,AUD"</formula1>
      <formula2>0</formula2>
    </dataValidation>
    <dataValidation allowBlank="false" errorStyle="stop" operator="between" showDropDown="false" showErrorMessage="false" showInputMessage="false" sqref="C16" type="list">
      <formula1>"Sí,No"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O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6"/>
    <col collapsed="false" customWidth="true" hidden="false" outlineLevel="0" max="7" min="3" style="0" width="10"/>
    <col collapsed="false" customWidth="true" hidden="false" outlineLevel="0" max="15" min="8" style="0" width="13"/>
  </cols>
  <sheetData>
    <row r="1" customFormat="false" ht="15" hidden="false" customHeight="false" outlineLevel="0" collapsed="false">
      <c r="A1" s="34" t="s">
        <v>113</v>
      </c>
    </row>
    <row r="3" customFormat="false" ht="15" hidden="false" customHeight="false" outlineLevel="0" collapsed="false">
      <c r="A3" s="35" t="s">
        <v>114</v>
      </c>
      <c r="H3" s="36" t="n">
        <v>1</v>
      </c>
      <c r="I3" s="36" t="n">
        <v>2</v>
      </c>
      <c r="J3" s="36" t="n">
        <v>3</v>
      </c>
      <c r="K3" s="36" t="n">
        <v>4</v>
      </c>
      <c r="L3" s="36" t="n">
        <v>5</v>
      </c>
      <c r="M3" s="36" t="n">
        <v>6</v>
      </c>
      <c r="N3" s="36" t="n">
        <v>7</v>
      </c>
    </row>
    <row r="4" customFormat="false" ht="15" hidden="false" customHeight="false" outlineLevel="0" collapsed="false">
      <c r="A4" s="37" t="s">
        <v>115</v>
      </c>
      <c r="B4" s="37" t="s">
        <v>116</v>
      </c>
      <c r="C4" s="37" t="s">
        <v>117</v>
      </c>
      <c r="D4" s="37" t="s">
        <v>118</v>
      </c>
      <c r="E4" s="37" t="s">
        <v>119</v>
      </c>
      <c r="F4" s="37" t="s">
        <v>120</v>
      </c>
      <c r="G4" s="37" t="s">
        <v>121</v>
      </c>
      <c r="H4" s="37" t="s">
        <v>28</v>
      </c>
      <c r="I4" s="37" t="s">
        <v>21</v>
      </c>
      <c r="J4" s="37" t="s">
        <v>57</v>
      </c>
      <c r="K4" s="37" t="s">
        <v>58</v>
      </c>
      <c r="L4" s="37" t="s">
        <v>59</v>
      </c>
      <c r="M4" s="37" t="s">
        <v>60</v>
      </c>
      <c r="N4" s="37" t="s">
        <v>61</v>
      </c>
      <c r="O4" s="37" t="s">
        <v>122</v>
      </c>
    </row>
    <row r="5" customFormat="false" ht="15" hidden="false" customHeight="false" outlineLevel="0" collapsed="false">
      <c r="A5" s="38" t="s">
        <v>123</v>
      </c>
      <c r="B5" s="27" t="s">
        <v>124</v>
      </c>
      <c r="C5" s="27" t="s">
        <v>80</v>
      </c>
      <c r="D5" s="27" t="s">
        <v>125</v>
      </c>
      <c r="E5" s="39" t="n">
        <f aca="false">IF(C5="IDOM",1,IF(C5="Compartido",1-Parámetros!$C$14,0))</f>
        <v>1</v>
      </c>
      <c r="F5" s="39" t="n">
        <f aca="false">IF(C5="Plan Safe",1,IF(C5="Compartido",Parámetros!$C$14,0))</f>
        <v>0</v>
      </c>
      <c r="G5" s="39" t="n">
        <f aca="false">IF(C5="INVAP",1,0)</f>
        <v>0</v>
      </c>
      <c r="H5" s="40" t="n">
        <f aca="false">SUMIFS(Datos!$J$5:$J$291,Datos!$E$5:$E$291,$A5,Datos!$F$5:$F$291,"S1")</f>
        <v>0</v>
      </c>
      <c r="I5" s="40" t="n">
        <f aca="false">SUMIFS(Datos!$J$5:$J$291,Datos!$E$5:$E$291,$A5,Datos!$F$5:$F$291,"S2")</f>
        <v>35206.5</v>
      </c>
      <c r="J5" s="40" t="n">
        <f aca="false">SUMIFS(Datos!$J$5:$J$291,Datos!$E$5:$E$291,$A5,Datos!$F$5:$F$291,"S3")</f>
        <v>58869.825</v>
      </c>
      <c r="K5" s="40" t="n">
        <f aca="false">SUMIFS(Datos!$J$5:$J$291,Datos!$E$5:$E$291,$A5,Datos!$F$5:$F$291,"S4")</f>
        <v>85451.1</v>
      </c>
      <c r="L5" s="40" t="n">
        <f aca="false">SUMIFS(Datos!$J$5:$J$291,Datos!$E$5:$E$291,$A5,Datos!$F$5:$F$291,"S5")</f>
        <v>0</v>
      </c>
      <c r="M5" s="40" t="n">
        <f aca="false">SUMIFS(Datos!$J$5:$J$291,Datos!$E$5:$E$291,$A5,Datos!$F$5:$F$291,"S6")</f>
        <v>0</v>
      </c>
      <c r="N5" s="40" t="n">
        <f aca="false">SUMIFS(Datos!$J$5:$J$291,Datos!$E$5:$E$291,$A5,Datos!$F$5:$F$291,"S7")</f>
        <v>0</v>
      </c>
      <c r="O5" s="41" t="n">
        <f aca="false">SUM(H5:N5)</f>
        <v>179527.425</v>
      </c>
    </row>
    <row r="6" customFormat="false" ht="15" hidden="false" customHeight="false" outlineLevel="0" collapsed="false">
      <c r="A6" s="38" t="s">
        <v>28</v>
      </c>
      <c r="B6" s="27" t="s">
        <v>126</v>
      </c>
      <c r="C6" s="27" t="s">
        <v>127</v>
      </c>
      <c r="D6" s="27" t="s">
        <v>125</v>
      </c>
      <c r="E6" s="39" t="n">
        <f aca="false">IF(C6="IDOM",1,IF(C6="Compartido",1-Parámetros!$C$14,0))</f>
        <v>0.9</v>
      </c>
      <c r="F6" s="39" t="n">
        <f aca="false">IF(C6="Plan Safe",1,IF(C6="Compartido",Parámetros!$C$14,0))</f>
        <v>0.1</v>
      </c>
      <c r="G6" s="39" t="n">
        <f aca="false">IF(C6="INVAP",1,0)</f>
        <v>0</v>
      </c>
      <c r="H6" s="40" t="n">
        <f aca="false">SUMIFS(Datos!$J$5:$J$291,Datos!$E$5:$E$291,$A6,Datos!$F$5:$F$291,"S1")</f>
        <v>148179.675</v>
      </c>
      <c r="I6" s="40" t="n">
        <f aca="false">SUMIFS(Datos!$J$5:$J$291,Datos!$E$5:$E$291,$A6,Datos!$F$5:$F$291,"S2")</f>
        <v>284239.2</v>
      </c>
      <c r="J6" s="40" t="n">
        <f aca="false">SUMIFS(Datos!$J$5:$J$291,Datos!$E$5:$E$291,$A6,Datos!$F$5:$F$291,"S3")</f>
        <v>0</v>
      </c>
      <c r="K6" s="40" t="n">
        <f aca="false">SUMIFS(Datos!$J$5:$J$291,Datos!$E$5:$E$291,$A6,Datos!$F$5:$F$291,"S4")</f>
        <v>0</v>
      </c>
      <c r="L6" s="40" t="n">
        <f aca="false">SUMIFS(Datos!$J$5:$J$291,Datos!$E$5:$E$291,$A6,Datos!$F$5:$F$291,"S5")</f>
        <v>0</v>
      </c>
      <c r="M6" s="40" t="n">
        <f aca="false">SUMIFS(Datos!$J$5:$J$291,Datos!$E$5:$E$291,$A6,Datos!$F$5:$F$291,"S6")</f>
        <v>0</v>
      </c>
      <c r="N6" s="40" t="n">
        <f aca="false">SUMIFS(Datos!$J$5:$J$291,Datos!$E$5:$E$291,$A6,Datos!$F$5:$F$291,"S7")</f>
        <v>0</v>
      </c>
      <c r="O6" s="41" t="n">
        <f aca="false">SUM(H6:N6)</f>
        <v>432418.875</v>
      </c>
    </row>
    <row r="7" customFormat="false" ht="15" hidden="false" customHeight="false" outlineLevel="0" collapsed="false">
      <c r="A7" s="38" t="s">
        <v>128</v>
      </c>
      <c r="B7" s="27" t="s">
        <v>129</v>
      </c>
      <c r="C7" s="27" t="s">
        <v>127</v>
      </c>
      <c r="D7" s="27" t="s">
        <v>125</v>
      </c>
      <c r="E7" s="39" t="n">
        <f aca="false">IF(C7="IDOM",1,IF(C7="Compartido",1-Parámetros!$C$14,0))</f>
        <v>0.9</v>
      </c>
      <c r="F7" s="39" t="n">
        <f aca="false">IF(C7="Plan Safe",1,IF(C7="Compartido",Parámetros!$C$14,0))</f>
        <v>0.1</v>
      </c>
      <c r="G7" s="39" t="n">
        <f aca="false">IF(C7="INVAP",1,0)</f>
        <v>0</v>
      </c>
      <c r="H7" s="40" t="n">
        <f aca="false">SUMIFS(Datos!$J$5:$J$291,Datos!$E$5:$E$291,$A7,Datos!$F$5:$F$291,"S1")</f>
        <v>0</v>
      </c>
      <c r="I7" s="40" t="n">
        <f aca="false">SUMIFS(Datos!$J$5:$J$291,Datos!$E$5:$E$291,$A7,Datos!$F$5:$F$291,"S2")</f>
        <v>0</v>
      </c>
      <c r="J7" s="40" t="n">
        <f aca="false">SUMIFS(Datos!$J$5:$J$291,Datos!$E$5:$E$291,$A7,Datos!$F$5:$F$291,"S3")</f>
        <v>323392.65</v>
      </c>
      <c r="K7" s="40" t="n">
        <f aca="false">SUMIFS(Datos!$J$5:$J$291,Datos!$E$5:$E$291,$A7,Datos!$F$5:$F$291,"S4")</f>
        <v>237629.175</v>
      </c>
      <c r="L7" s="40" t="n">
        <f aca="false">SUMIFS(Datos!$J$5:$J$291,Datos!$E$5:$E$291,$A7,Datos!$F$5:$F$291,"S5")</f>
        <v>0</v>
      </c>
      <c r="M7" s="40" t="n">
        <f aca="false">SUMIFS(Datos!$J$5:$J$291,Datos!$E$5:$E$291,$A7,Datos!$F$5:$F$291,"S6")</f>
        <v>92514.45</v>
      </c>
      <c r="N7" s="40" t="n">
        <f aca="false">SUMIFS(Datos!$J$5:$J$291,Datos!$E$5:$E$291,$A7,Datos!$F$5:$F$291,"S7")</f>
        <v>57256.5</v>
      </c>
      <c r="O7" s="41" t="n">
        <f aca="false">SUM(H7:N7)</f>
        <v>710792.775</v>
      </c>
    </row>
    <row r="8" customFormat="false" ht="15" hidden="false" customHeight="false" outlineLevel="0" collapsed="false">
      <c r="A8" s="38" t="s">
        <v>130</v>
      </c>
      <c r="B8" s="27" t="s">
        <v>131</v>
      </c>
      <c r="C8" s="27" t="s">
        <v>127</v>
      </c>
      <c r="D8" s="27" t="s">
        <v>125</v>
      </c>
      <c r="E8" s="39" t="n">
        <f aca="false">IF(C8="IDOM",1,IF(C8="Compartido",1-Parámetros!$C$14,0))</f>
        <v>0.9</v>
      </c>
      <c r="F8" s="39" t="n">
        <f aca="false">IF(C8="Plan Safe",1,IF(C8="Compartido",Parámetros!$C$14,0))</f>
        <v>0.1</v>
      </c>
      <c r="G8" s="39" t="n">
        <f aca="false">IF(C8="INVAP",1,0)</f>
        <v>0</v>
      </c>
      <c r="H8" s="40" t="n">
        <f aca="false">SUMIFS(Datos!$J$5:$J$291,Datos!$E$5:$E$291,$A8,Datos!$F$5:$F$291,"S1")</f>
        <v>0</v>
      </c>
      <c r="I8" s="40" t="n">
        <f aca="false">SUMIFS(Datos!$J$5:$J$291,Datos!$E$5:$E$291,$A8,Datos!$F$5:$F$291,"S2")</f>
        <v>0</v>
      </c>
      <c r="J8" s="40" t="n">
        <f aca="false">SUMIFS(Datos!$J$5:$J$291,Datos!$E$5:$E$291,$A8,Datos!$F$5:$F$291,"S3")</f>
        <v>0</v>
      </c>
      <c r="K8" s="40" t="n">
        <f aca="false">SUMIFS(Datos!$J$5:$J$291,Datos!$E$5:$E$291,$A8,Datos!$F$5:$F$291,"S4")</f>
        <v>222212.55</v>
      </c>
      <c r="L8" s="40" t="n">
        <f aca="false">SUMIFS(Datos!$J$5:$J$291,Datos!$E$5:$E$291,$A8,Datos!$F$5:$F$291,"S5")</f>
        <v>0</v>
      </c>
      <c r="M8" s="40" t="n">
        <f aca="false">SUMIFS(Datos!$J$5:$J$291,Datos!$E$5:$E$291,$A8,Datos!$F$5:$F$291,"S6")</f>
        <v>42192.675</v>
      </c>
      <c r="N8" s="40" t="n">
        <f aca="false">SUMIFS(Datos!$J$5:$J$291,Datos!$E$5:$E$291,$A8,Datos!$F$5:$F$291,"S7")</f>
        <v>26985.525</v>
      </c>
      <c r="O8" s="41" t="n">
        <f aca="false">SUM(H8:N8)</f>
        <v>291390.75</v>
      </c>
    </row>
    <row r="9" customFormat="false" ht="15" hidden="false" customHeight="false" outlineLevel="0" collapsed="false">
      <c r="A9" s="38" t="s">
        <v>132</v>
      </c>
      <c r="B9" s="27" t="s">
        <v>133</v>
      </c>
      <c r="C9" s="27" t="s">
        <v>127</v>
      </c>
      <c r="D9" s="27" t="s">
        <v>125</v>
      </c>
      <c r="E9" s="39" t="n">
        <f aca="false">IF(C9="IDOM",1,IF(C9="Compartido",1-Parámetros!$C$14,0))</f>
        <v>0.9</v>
      </c>
      <c r="F9" s="39" t="n">
        <f aca="false">IF(C9="Plan Safe",1,IF(C9="Compartido",Parámetros!$C$14,0))</f>
        <v>0.1</v>
      </c>
      <c r="G9" s="39" t="n">
        <f aca="false">IF(C9="INVAP",1,0)</f>
        <v>0</v>
      </c>
      <c r="H9" s="40" t="n">
        <f aca="false">SUMIFS(Datos!$J$5:$J$291,Datos!$E$5:$E$291,$A9,Datos!$F$5:$F$291,"S1")</f>
        <v>0</v>
      </c>
      <c r="I9" s="40" t="n">
        <f aca="false">SUMIFS(Datos!$J$5:$J$291,Datos!$E$5:$E$291,$A9,Datos!$F$5:$F$291,"S2")</f>
        <v>90335.175</v>
      </c>
      <c r="J9" s="40" t="n">
        <f aca="false">SUMIFS(Datos!$J$5:$J$291,Datos!$E$5:$E$291,$A9,Datos!$F$5:$F$291,"S3")</f>
        <v>151656.225</v>
      </c>
      <c r="K9" s="40" t="n">
        <f aca="false">SUMIFS(Datos!$J$5:$J$291,Datos!$E$5:$E$291,$A9,Datos!$F$5:$F$291,"S4")</f>
        <v>211896.825</v>
      </c>
      <c r="L9" s="40" t="n">
        <f aca="false">SUMIFS(Datos!$J$5:$J$291,Datos!$E$5:$E$291,$A9,Datos!$F$5:$F$291,"S5")</f>
        <v>0</v>
      </c>
      <c r="M9" s="40" t="n">
        <f aca="false">SUMIFS(Datos!$J$5:$J$291,Datos!$E$5:$E$291,$A9,Datos!$F$5:$F$291,"S6")</f>
        <v>0</v>
      </c>
      <c r="N9" s="40" t="n">
        <f aca="false">SUMIFS(Datos!$J$5:$J$291,Datos!$E$5:$E$291,$A9,Datos!$F$5:$F$291,"S7")</f>
        <v>0</v>
      </c>
      <c r="O9" s="41" t="n">
        <f aca="false">SUM(H9:N9)</f>
        <v>453888.225</v>
      </c>
    </row>
    <row r="10" customFormat="false" ht="15" hidden="false" customHeight="false" outlineLevel="0" collapsed="false">
      <c r="A10" s="38" t="s">
        <v>134</v>
      </c>
      <c r="B10" s="27" t="s">
        <v>135</v>
      </c>
      <c r="C10" s="27" t="s">
        <v>127</v>
      </c>
      <c r="D10" s="27" t="s">
        <v>125</v>
      </c>
      <c r="E10" s="39" t="n">
        <f aca="false">IF(C10="IDOM",1,IF(C10="Compartido",1-Parámetros!$C$14,0))</f>
        <v>0.9</v>
      </c>
      <c r="F10" s="39" t="n">
        <f aca="false">IF(C10="Plan Safe",1,IF(C10="Compartido",Parámetros!$C$14,0))</f>
        <v>0.1</v>
      </c>
      <c r="G10" s="39" t="n">
        <f aca="false">IF(C10="INVAP",1,0)</f>
        <v>0</v>
      </c>
      <c r="H10" s="40" t="n">
        <f aca="false">SUMIFS(Datos!$J$5:$J$291,Datos!$E$5:$E$291,$A10,Datos!$F$5:$F$291,"S1")</f>
        <v>0</v>
      </c>
      <c r="I10" s="40" t="n">
        <f aca="false">SUMIFS(Datos!$J$5:$J$291,Datos!$E$5:$E$291,$A10,Datos!$F$5:$F$291,"S2")</f>
        <v>0</v>
      </c>
      <c r="J10" s="40" t="n">
        <f aca="false">SUMIFS(Datos!$J$5:$J$291,Datos!$E$5:$E$291,$A10,Datos!$F$5:$F$291,"S3")</f>
        <v>0</v>
      </c>
      <c r="K10" s="40" t="n">
        <f aca="false">SUMIFS(Datos!$J$5:$J$291,Datos!$E$5:$E$291,$A10,Datos!$F$5:$F$291,"S4")</f>
        <v>142939.125</v>
      </c>
      <c r="L10" s="40" t="n">
        <f aca="false">SUMIFS(Datos!$J$5:$J$291,Datos!$E$5:$E$291,$A10,Datos!$F$5:$F$291,"S5")</f>
        <v>0</v>
      </c>
      <c r="M10" s="40" t="n">
        <f aca="false">SUMIFS(Datos!$J$5:$J$291,Datos!$E$5:$E$291,$A10,Datos!$F$5:$F$291,"S6")</f>
        <v>0</v>
      </c>
      <c r="N10" s="40" t="n">
        <f aca="false">SUMIFS(Datos!$J$5:$J$291,Datos!$E$5:$E$291,$A10,Datos!$F$5:$F$291,"S7")</f>
        <v>0</v>
      </c>
      <c r="O10" s="41" t="n">
        <f aca="false">SUM(H10:N10)</f>
        <v>142939.125</v>
      </c>
    </row>
    <row r="11" customFormat="false" ht="15" hidden="false" customHeight="false" outlineLevel="0" collapsed="false">
      <c r="A11" s="38" t="s">
        <v>136</v>
      </c>
      <c r="B11" s="27" t="s">
        <v>137</v>
      </c>
      <c r="C11" s="27" t="s">
        <v>80</v>
      </c>
      <c r="D11" s="27" t="s">
        <v>125</v>
      </c>
      <c r="E11" s="39" t="n">
        <f aca="false">IF(C11="IDOM",1,IF(C11="Compartido",1-Parámetros!$C$14,0))</f>
        <v>1</v>
      </c>
      <c r="F11" s="39" t="n">
        <f aca="false">IF(C11="Plan Safe",1,IF(C11="Compartido",Parámetros!$C$14,0))</f>
        <v>0</v>
      </c>
      <c r="G11" s="39" t="n">
        <f aca="false">IF(C11="INVAP",1,0)</f>
        <v>0</v>
      </c>
      <c r="H11" s="40" t="n">
        <f aca="false">SUMIFS(Datos!$J$5:$J$291,Datos!$E$5:$E$291,$A11,Datos!$F$5:$F$291,"S1")</f>
        <v>0</v>
      </c>
      <c r="I11" s="40" t="n">
        <f aca="false">SUMIFS(Datos!$J$5:$J$291,Datos!$E$5:$E$291,$A11,Datos!$F$5:$F$291,"S2")</f>
        <v>0</v>
      </c>
      <c r="J11" s="40" t="n">
        <f aca="false">SUMIFS(Datos!$J$5:$J$291,Datos!$E$5:$E$291,$A11,Datos!$F$5:$F$291,"S3")</f>
        <v>0</v>
      </c>
      <c r="K11" s="40" t="n">
        <f aca="false">SUMIFS(Datos!$J$5:$J$291,Datos!$E$5:$E$291,$A11,Datos!$F$5:$F$291,"S4")</f>
        <v>129334.275</v>
      </c>
      <c r="L11" s="40" t="n">
        <f aca="false">SUMIFS(Datos!$J$5:$J$291,Datos!$E$5:$E$291,$A11,Datos!$F$5:$F$291,"S5")</f>
        <v>0</v>
      </c>
      <c r="M11" s="40" t="n">
        <f aca="false">SUMIFS(Datos!$J$5:$J$291,Datos!$E$5:$E$291,$A11,Datos!$F$5:$F$291,"S6")</f>
        <v>0</v>
      </c>
      <c r="N11" s="40" t="n">
        <f aca="false">SUMIFS(Datos!$J$5:$J$291,Datos!$E$5:$E$291,$A11,Datos!$F$5:$F$291,"S7")</f>
        <v>0</v>
      </c>
      <c r="O11" s="41" t="n">
        <f aca="false">SUM(H11:N11)</f>
        <v>129334.275</v>
      </c>
    </row>
    <row r="12" customFormat="false" ht="15" hidden="false" customHeight="false" outlineLevel="0" collapsed="false">
      <c r="A12" s="38" t="s">
        <v>138</v>
      </c>
      <c r="B12" s="27" t="s">
        <v>139</v>
      </c>
      <c r="C12" s="27" t="s">
        <v>80</v>
      </c>
      <c r="D12" s="27" t="s">
        <v>125</v>
      </c>
      <c r="E12" s="39" t="n">
        <f aca="false">IF(C12="IDOM",1,IF(C12="Compartido",1-Parámetros!$C$14,0))</f>
        <v>1</v>
      </c>
      <c r="F12" s="39" t="n">
        <f aca="false">IF(C12="Plan Safe",1,IF(C12="Compartido",Parámetros!$C$14,0))</f>
        <v>0</v>
      </c>
      <c r="G12" s="39" t="n">
        <f aca="false">IF(C12="INVAP",1,0)</f>
        <v>0</v>
      </c>
      <c r="H12" s="40" t="n">
        <f aca="false">SUMIFS(Datos!$J$5:$J$291,Datos!$E$5:$E$291,$A12,Datos!$F$5:$F$291,"S1")</f>
        <v>0</v>
      </c>
      <c r="I12" s="40" t="n">
        <f aca="false">SUMIFS(Datos!$J$5:$J$291,Datos!$E$5:$E$291,$A12,Datos!$F$5:$F$291,"S2")</f>
        <v>0</v>
      </c>
      <c r="J12" s="40" t="n">
        <f aca="false">SUMIFS(Datos!$J$5:$J$291,Datos!$E$5:$E$291,$A12,Datos!$F$5:$F$291,"S3")</f>
        <v>89229</v>
      </c>
      <c r="K12" s="40" t="n">
        <f aca="false">SUMIFS(Datos!$J$5:$J$291,Datos!$E$5:$E$291,$A12,Datos!$F$5:$F$291,"S4")</f>
        <v>107835.525</v>
      </c>
      <c r="L12" s="40" t="n">
        <f aca="false">SUMIFS(Datos!$J$5:$J$291,Datos!$E$5:$E$291,$A12,Datos!$F$5:$F$291,"S5")</f>
        <v>0</v>
      </c>
      <c r="M12" s="40" t="n">
        <f aca="false">SUMIFS(Datos!$J$5:$J$291,Datos!$E$5:$E$291,$A12,Datos!$F$5:$F$291,"S6")</f>
        <v>0</v>
      </c>
      <c r="N12" s="40" t="n">
        <f aca="false">SUMIFS(Datos!$J$5:$J$291,Datos!$E$5:$E$291,$A12,Datos!$F$5:$F$291,"S7")</f>
        <v>0</v>
      </c>
      <c r="O12" s="41" t="n">
        <f aca="false">SUM(H12:N12)</f>
        <v>197064.525</v>
      </c>
    </row>
    <row r="13" customFormat="false" ht="15" hidden="false" customHeight="false" outlineLevel="0" collapsed="false">
      <c r="A13" s="38" t="s">
        <v>140</v>
      </c>
      <c r="B13" s="27" t="s">
        <v>141</v>
      </c>
      <c r="C13" s="27" t="s">
        <v>80</v>
      </c>
      <c r="D13" s="27" t="s">
        <v>125</v>
      </c>
      <c r="E13" s="39" t="n">
        <f aca="false">IF(C13="IDOM",1,IF(C13="Compartido",1-Parámetros!$C$14,0))</f>
        <v>1</v>
      </c>
      <c r="F13" s="39" t="n">
        <f aca="false">IF(C13="Plan Safe",1,IF(C13="Compartido",Parámetros!$C$14,0))</f>
        <v>0</v>
      </c>
      <c r="G13" s="39" t="n">
        <f aca="false">IF(C13="INVAP",1,0)</f>
        <v>0</v>
      </c>
      <c r="H13" s="40" t="n">
        <f aca="false">SUMIFS(Datos!$J$5:$J$291,Datos!$E$5:$E$291,$A13,Datos!$F$5:$F$291,"S1")</f>
        <v>0</v>
      </c>
      <c r="I13" s="40" t="n">
        <f aca="false">SUMIFS(Datos!$J$5:$J$291,Datos!$E$5:$E$291,$A13,Datos!$F$5:$F$291,"S2")</f>
        <v>0</v>
      </c>
      <c r="J13" s="40" t="n">
        <f aca="false">SUMIFS(Datos!$J$5:$J$291,Datos!$E$5:$E$291,$A13,Datos!$F$5:$F$291,"S3")</f>
        <v>155044.575</v>
      </c>
      <c r="K13" s="40" t="n">
        <f aca="false">SUMIFS(Datos!$J$5:$J$291,Datos!$E$5:$E$291,$A13,Datos!$F$5:$F$291,"S4")</f>
        <v>298608.45</v>
      </c>
      <c r="L13" s="40" t="n">
        <f aca="false">SUMIFS(Datos!$J$5:$J$291,Datos!$E$5:$E$291,$A13,Datos!$F$5:$F$291,"S5")</f>
        <v>0</v>
      </c>
      <c r="M13" s="40" t="n">
        <f aca="false">SUMIFS(Datos!$J$5:$J$291,Datos!$E$5:$E$291,$A13,Datos!$F$5:$F$291,"S6")</f>
        <v>0</v>
      </c>
      <c r="N13" s="40" t="n">
        <f aca="false">SUMIFS(Datos!$J$5:$J$291,Datos!$E$5:$E$291,$A13,Datos!$F$5:$F$291,"S7")</f>
        <v>0</v>
      </c>
      <c r="O13" s="41" t="n">
        <f aca="false">SUM(H13:N13)</f>
        <v>453653.025</v>
      </c>
    </row>
    <row r="14" customFormat="false" ht="15" hidden="false" customHeight="false" outlineLevel="0" collapsed="false">
      <c r="A14" s="38" t="s">
        <v>142</v>
      </c>
      <c r="B14" s="27" t="s">
        <v>143</v>
      </c>
      <c r="C14" s="27" t="s">
        <v>127</v>
      </c>
      <c r="D14" s="27" t="s">
        <v>125</v>
      </c>
      <c r="E14" s="39" t="n">
        <f aca="false">IF(C14="IDOM",1,IF(C14="Compartido",1-Parámetros!$C$14,0))</f>
        <v>0.9</v>
      </c>
      <c r="F14" s="39" t="n">
        <f aca="false">IF(C14="Plan Safe",1,IF(C14="Compartido",Parámetros!$C$14,0))</f>
        <v>0.1</v>
      </c>
      <c r="G14" s="39" t="n">
        <f aca="false">IF(C14="INVAP",1,0)</f>
        <v>0</v>
      </c>
      <c r="H14" s="40" t="n">
        <f aca="false">SUMIFS(Datos!$J$5:$J$291,Datos!$E$5:$E$291,$A14,Datos!$F$5:$F$291,"S1")</f>
        <v>0</v>
      </c>
      <c r="I14" s="40" t="n">
        <f aca="false">SUMIFS(Datos!$J$5:$J$291,Datos!$E$5:$E$291,$A14,Datos!$F$5:$F$291,"S2")</f>
        <v>0</v>
      </c>
      <c r="J14" s="40" t="n">
        <f aca="false">SUMIFS(Datos!$J$5:$J$291,Datos!$E$5:$E$291,$A14,Datos!$F$5:$F$291,"S3")</f>
        <v>110536.65</v>
      </c>
      <c r="K14" s="40" t="n">
        <f aca="false">SUMIFS(Datos!$J$5:$J$291,Datos!$E$5:$E$291,$A14,Datos!$F$5:$F$291,"S4")</f>
        <v>154383.075</v>
      </c>
      <c r="L14" s="40" t="n">
        <f aca="false">SUMIFS(Datos!$J$5:$J$291,Datos!$E$5:$E$291,$A14,Datos!$F$5:$F$291,"S5")</f>
        <v>0</v>
      </c>
      <c r="M14" s="40" t="n">
        <f aca="false">SUMIFS(Datos!$J$5:$J$291,Datos!$E$5:$E$291,$A14,Datos!$F$5:$F$291,"S6")</f>
        <v>0</v>
      </c>
      <c r="N14" s="40" t="n">
        <f aca="false">SUMIFS(Datos!$J$5:$J$291,Datos!$E$5:$E$291,$A14,Datos!$F$5:$F$291,"S7")</f>
        <v>0</v>
      </c>
      <c r="O14" s="41" t="n">
        <f aca="false">SUM(H14:N14)</f>
        <v>264919.725</v>
      </c>
    </row>
    <row r="15" customFormat="false" ht="15" hidden="false" customHeight="false" outlineLevel="0" collapsed="false">
      <c r="A15" s="38" t="s">
        <v>144</v>
      </c>
      <c r="B15" s="27" t="s">
        <v>145</v>
      </c>
      <c r="C15" s="27" t="s">
        <v>80</v>
      </c>
      <c r="D15" s="27" t="s">
        <v>125</v>
      </c>
      <c r="E15" s="39" t="n">
        <f aca="false">IF(C15="IDOM",1,IF(C15="Compartido",1-Parámetros!$C$14,0))</f>
        <v>1</v>
      </c>
      <c r="F15" s="39" t="n">
        <f aca="false">IF(C15="Plan Safe",1,IF(C15="Compartido",Parámetros!$C$14,0))</f>
        <v>0</v>
      </c>
      <c r="G15" s="39" t="n">
        <f aca="false">IF(C15="INVAP",1,0)</f>
        <v>0</v>
      </c>
      <c r="H15" s="40" t="n">
        <f aca="false">SUMIFS(Datos!$J$5:$J$291,Datos!$E$5:$E$291,$A15,Datos!$F$5:$F$291,"S1")</f>
        <v>0</v>
      </c>
      <c r="I15" s="40" t="n">
        <f aca="false">SUMIFS(Datos!$J$5:$J$291,Datos!$E$5:$E$291,$A15,Datos!$F$5:$F$291,"S2")</f>
        <v>64455.825</v>
      </c>
      <c r="J15" s="40" t="n">
        <f aca="false">SUMIFS(Datos!$J$5:$J$291,Datos!$E$5:$E$291,$A15,Datos!$F$5:$F$291,"S3")</f>
        <v>112300.65</v>
      </c>
      <c r="K15" s="40" t="n">
        <f aca="false">SUMIFS(Datos!$J$5:$J$291,Datos!$E$5:$E$291,$A15,Datos!$F$5:$F$291,"S4")</f>
        <v>159322.275</v>
      </c>
      <c r="L15" s="40" t="n">
        <f aca="false">SUMIFS(Datos!$J$5:$J$291,Datos!$E$5:$E$291,$A15,Datos!$F$5:$F$291,"S5")</f>
        <v>0</v>
      </c>
      <c r="M15" s="40" t="n">
        <f aca="false">SUMIFS(Datos!$J$5:$J$291,Datos!$E$5:$E$291,$A15,Datos!$F$5:$F$291,"S6")</f>
        <v>0</v>
      </c>
      <c r="N15" s="40" t="n">
        <f aca="false">SUMIFS(Datos!$J$5:$J$291,Datos!$E$5:$E$291,$A15,Datos!$F$5:$F$291,"S7")</f>
        <v>0</v>
      </c>
      <c r="O15" s="41" t="n">
        <f aca="false">SUM(H15:N15)</f>
        <v>336078.75</v>
      </c>
    </row>
    <row r="16" customFormat="false" ht="15" hidden="false" customHeight="false" outlineLevel="0" collapsed="false">
      <c r="A16" s="38" t="s">
        <v>146</v>
      </c>
      <c r="B16" s="27" t="s">
        <v>147</v>
      </c>
      <c r="C16" s="27" t="s">
        <v>80</v>
      </c>
      <c r="D16" s="27" t="s">
        <v>125</v>
      </c>
      <c r="E16" s="39" t="n">
        <f aca="false">IF(C16="IDOM",1,IF(C16="Compartido",1-Parámetros!$C$14,0))</f>
        <v>1</v>
      </c>
      <c r="F16" s="39" t="n">
        <f aca="false">IF(C16="Plan Safe",1,IF(C16="Compartido",Parámetros!$C$14,0))</f>
        <v>0</v>
      </c>
      <c r="G16" s="39" t="n">
        <f aca="false">IF(C16="INVAP",1,0)</f>
        <v>0</v>
      </c>
      <c r="H16" s="40" t="n">
        <f aca="false">SUMIFS(Datos!$J$5:$J$291,Datos!$E$5:$E$291,$A16,Datos!$F$5:$F$291,"S1")</f>
        <v>0</v>
      </c>
      <c r="I16" s="40" t="n">
        <f aca="false">SUMIFS(Datos!$J$5:$J$291,Datos!$E$5:$E$291,$A16,Datos!$F$5:$F$291,"S2")</f>
        <v>0</v>
      </c>
      <c r="J16" s="40" t="n">
        <f aca="false">SUMIFS(Datos!$J$5:$J$291,Datos!$E$5:$E$291,$A16,Datos!$F$5:$F$291,"S3")</f>
        <v>0</v>
      </c>
      <c r="K16" s="40" t="n">
        <f aca="false">SUMIFS(Datos!$J$5:$J$291,Datos!$E$5:$E$291,$A16,Datos!$F$5:$F$291,"S4")</f>
        <v>152615.4</v>
      </c>
      <c r="L16" s="40" t="n">
        <f aca="false">SUMIFS(Datos!$J$5:$J$291,Datos!$E$5:$E$291,$A16,Datos!$F$5:$F$291,"S5")</f>
        <v>0</v>
      </c>
      <c r="M16" s="40" t="n">
        <f aca="false">SUMIFS(Datos!$J$5:$J$291,Datos!$E$5:$E$291,$A16,Datos!$F$5:$F$291,"S6")</f>
        <v>0</v>
      </c>
      <c r="N16" s="40" t="n">
        <f aca="false">SUMIFS(Datos!$J$5:$J$291,Datos!$E$5:$E$291,$A16,Datos!$F$5:$F$291,"S7")</f>
        <v>0</v>
      </c>
      <c r="O16" s="41" t="n">
        <f aca="false">SUM(H16:N16)</f>
        <v>152615.4</v>
      </c>
    </row>
    <row r="17" customFormat="false" ht="15" hidden="false" customHeight="false" outlineLevel="0" collapsed="false">
      <c r="A17" s="38" t="s">
        <v>148</v>
      </c>
      <c r="B17" s="27" t="s">
        <v>149</v>
      </c>
      <c r="C17" s="27" t="s">
        <v>80</v>
      </c>
      <c r="D17" s="27" t="s">
        <v>150</v>
      </c>
      <c r="E17" s="39" t="n">
        <f aca="false">IF(C17="IDOM",1,IF(C17="Compartido",1-Parámetros!$C$14,0))</f>
        <v>1</v>
      </c>
      <c r="F17" s="39" t="n">
        <f aca="false">IF(C17="Plan Safe",1,IF(C17="Compartido",Parámetros!$C$14,0))</f>
        <v>0</v>
      </c>
      <c r="G17" s="39" t="n">
        <f aca="false">IF(C17="INVAP",1,0)</f>
        <v>0</v>
      </c>
      <c r="H17" s="40" t="n">
        <f aca="false">SUMIFS(Datos!$J$5:$J$291,Datos!$E$5:$E$291,$A17,Datos!$F$5:$F$291,"S1")</f>
        <v>0</v>
      </c>
      <c r="I17" s="40" t="n">
        <f aca="false">SUMIFS(Datos!$J$5:$J$291,Datos!$E$5:$E$291,$A17,Datos!$F$5:$F$291,"S2")</f>
        <v>62552.175</v>
      </c>
      <c r="J17" s="40" t="n">
        <f aca="false">SUMIFS(Datos!$J$5:$J$291,Datos!$E$5:$E$291,$A17,Datos!$F$5:$F$291,"S3")</f>
        <v>108941.7</v>
      </c>
      <c r="K17" s="40" t="n">
        <f aca="false">SUMIFS(Datos!$J$5:$J$291,Datos!$E$5:$E$291,$A17,Datos!$F$5:$F$291,"S4")</f>
        <v>170461.2</v>
      </c>
      <c r="L17" s="40" t="n">
        <f aca="false">SUMIFS(Datos!$J$5:$J$291,Datos!$E$5:$E$291,$A17,Datos!$F$5:$F$291,"S5")</f>
        <v>55701.975</v>
      </c>
      <c r="M17" s="40" t="n">
        <f aca="false">SUMIFS(Datos!$J$5:$J$291,Datos!$E$5:$E$291,$A17,Datos!$F$5:$F$291,"S6")</f>
        <v>49810.95</v>
      </c>
      <c r="N17" s="40" t="n">
        <f aca="false">SUMIFS(Datos!$J$5:$J$291,Datos!$E$5:$E$291,$A17,Datos!$F$5:$F$291,"S7")</f>
        <v>32325.3</v>
      </c>
      <c r="O17" s="41" t="n">
        <f aca="false">SUM(H17:N17)</f>
        <v>479793.3</v>
      </c>
    </row>
    <row r="18" customFormat="false" ht="15" hidden="false" customHeight="false" outlineLevel="0" collapsed="false">
      <c r="A18" s="38" t="s">
        <v>151</v>
      </c>
      <c r="B18" s="27" t="s">
        <v>152</v>
      </c>
      <c r="C18" s="27" t="s">
        <v>80</v>
      </c>
      <c r="D18" s="27" t="s">
        <v>150</v>
      </c>
      <c r="E18" s="39" t="n">
        <f aca="false">IF(C18="IDOM",1,IF(C18="Compartido",1-Parámetros!$C$14,0))</f>
        <v>1</v>
      </c>
      <c r="F18" s="39" t="n">
        <f aca="false">IF(C18="Plan Safe",1,IF(C18="Compartido",Parámetros!$C$14,0))</f>
        <v>0</v>
      </c>
      <c r="G18" s="39" t="n">
        <f aca="false">IF(C18="INVAP",1,0)</f>
        <v>0</v>
      </c>
      <c r="H18" s="40" t="n">
        <f aca="false">SUMIFS(Datos!$J$5:$J$291,Datos!$E$5:$E$291,$A18,Datos!$F$5:$F$291,"S1")</f>
        <v>0</v>
      </c>
      <c r="I18" s="40" t="n">
        <f aca="false">SUMIFS(Datos!$J$5:$J$291,Datos!$E$5:$E$291,$A18,Datos!$F$5:$F$291,"S2")</f>
        <v>37183.65</v>
      </c>
      <c r="J18" s="40" t="n">
        <f aca="false">SUMIFS(Datos!$J$5:$J$291,Datos!$E$5:$E$291,$A18,Datos!$F$5:$F$291,"S3")</f>
        <v>89100.375</v>
      </c>
      <c r="K18" s="40" t="n">
        <f aca="false">SUMIFS(Datos!$J$5:$J$291,Datos!$E$5:$E$291,$A18,Datos!$F$5:$F$291,"S4")</f>
        <v>129984.75</v>
      </c>
      <c r="L18" s="40" t="n">
        <f aca="false">SUMIFS(Datos!$J$5:$J$291,Datos!$E$5:$E$291,$A18,Datos!$F$5:$F$291,"S5")</f>
        <v>36944.775</v>
      </c>
      <c r="M18" s="40" t="n">
        <f aca="false">SUMIFS(Datos!$J$5:$J$291,Datos!$E$5:$E$291,$A18,Datos!$F$5:$F$291,"S6")</f>
        <v>55400.625</v>
      </c>
      <c r="N18" s="40" t="n">
        <f aca="false">SUMIFS(Datos!$J$5:$J$291,Datos!$E$5:$E$291,$A18,Datos!$F$5:$F$291,"S7")</f>
        <v>43868.475</v>
      </c>
      <c r="O18" s="41" t="n">
        <f aca="false">SUM(H18:N18)</f>
        <v>392482.65</v>
      </c>
    </row>
    <row r="19" customFormat="false" ht="15" hidden="false" customHeight="false" outlineLevel="0" collapsed="false">
      <c r="A19" s="38" t="s">
        <v>153</v>
      </c>
      <c r="B19" s="27" t="s">
        <v>154</v>
      </c>
      <c r="C19" s="27" t="s">
        <v>127</v>
      </c>
      <c r="D19" s="27" t="s">
        <v>150</v>
      </c>
      <c r="E19" s="39" t="n">
        <f aca="false">IF(C19="IDOM",1,IF(C19="Compartido",1-Parámetros!$C$14,0))</f>
        <v>0.9</v>
      </c>
      <c r="F19" s="39" t="n">
        <f aca="false">IF(C19="Plan Safe",1,IF(C19="Compartido",Parámetros!$C$14,0))</f>
        <v>0.1</v>
      </c>
      <c r="G19" s="39" t="n">
        <f aca="false">IF(C19="INVAP",1,0)</f>
        <v>0</v>
      </c>
      <c r="H19" s="40" t="n">
        <f aca="false">SUMIFS(Datos!$J$5:$J$291,Datos!$E$5:$E$291,$A19,Datos!$F$5:$F$291,"S1")</f>
        <v>0</v>
      </c>
      <c r="I19" s="40" t="n">
        <f aca="false">SUMIFS(Datos!$J$5:$J$291,Datos!$E$5:$E$291,$A19,Datos!$F$5:$F$291,"S2")</f>
        <v>0</v>
      </c>
      <c r="J19" s="40" t="n">
        <f aca="false">SUMIFS(Datos!$J$5:$J$291,Datos!$E$5:$E$291,$A19,Datos!$F$5:$F$291,"S3")</f>
        <v>0</v>
      </c>
      <c r="K19" s="40" t="n">
        <f aca="false">SUMIFS(Datos!$J$5:$J$291,Datos!$E$5:$E$291,$A19,Datos!$F$5:$F$291,"S4")</f>
        <v>137110.575</v>
      </c>
      <c r="L19" s="40" t="n">
        <f aca="false">SUMIFS(Datos!$J$5:$J$291,Datos!$E$5:$E$291,$A19,Datos!$F$5:$F$291,"S5")</f>
        <v>70122.675</v>
      </c>
      <c r="M19" s="40" t="n">
        <f aca="false">SUMIFS(Datos!$J$5:$J$291,Datos!$E$5:$E$291,$A19,Datos!$F$5:$F$291,"S6")</f>
        <v>78961.05</v>
      </c>
      <c r="N19" s="40" t="n">
        <f aca="false">SUMIFS(Datos!$J$5:$J$291,Datos!$E$5:$E$291,$A19,Datos!$F$5:$F$291,"S7")</f>
        <v>0</v>
      </c>
      <c r="O19" s="41" t="n">
        <f aca="false">SUM(H19:N19)</f>
        <v>286194.3</v>
      </c>
    </row>
    <row r="20" customFormat="false" ht="15" hidden="false" customHeight="false" outlineLevel="0" collapsed="false">
      <c r="A20" s="38" t="s">
        <v>155</v>
      </c>
      <c r="B20" s="27" t="s">
        <v>156</v>
      </c>
      <c r="C20" s="27" t="s">
        <v>127</v>
      </c>
      <c r="D20" s="27" t="s">
        <v>150</v>
      </c>
      <c r="E20" s="39" t="n">
        <f aca="false">IF(C20="IDOM",1,IF(C20="Compartido",1-Parámetros!$C$14,0))</f>
        <v>0.9</v>
      </c>
      <c r="F20" s="39" t="n">
        <f aca="false">IF(C20="Plan Safe",1,IF(C20="Compartido",Parámetros!$C$14,0))</f>
        <v>0.1</v>
      </c>
      <c r="G20" s="39" t="n">
        <f aca="false">IF(C20="INVAP",1,0)</f>
        <v>0</v>
      </c>
      <c r="H20" s="40" t="n">
        <f aca="false">SUMIFS(Datos!$J$5:$J$291,Datos!$E$5:$E$291,$A20,Datos!$F$5:$F$291,"S1")</f>
        <v>0</v>
      </c>
      <c r="I20" s="40" t="n">
        <f aca="false">SUMIFS(Datos!$J$5:$J$291,Datos!$E$5:$E$291,$A20,Datos!$F$5:$F$291,"S2")</f>
        <v>0</v>
      </c>
      <c r="J20" s="40" t="n">
        <f aca="false">SUMIFS(Datos!$J$5:$J$291,Datos!$E$5:$E$291,$A20,Datos!$F$5:$F$291,"S3")</f>
        <v>80445.75</v>
      </c>
      <c r="K20" s="40" t="n">
        <f aca="false">SUMIFS(Datos!$J$5:$J$291,Datos!$E$5:$E$291,$A20,Datos!$F$5:$F$291,"S4")</f>
        <v>187292.7</v>
      </c>
      <c r="L20" s="40" t="n">
        <f aca="false">SUMIFS(Datos!$J$5:$J$291,Datos!$E$5:$E$291,$A20,Datos!$F$5:$F$291,"S5")</f>
        <v>84815.325</v>
      </c>
      <c r="M20" s="40" t="n">
        <f aca="false">SUMIFS(Datos!$J$5:$J$291,Datos!$E$5:$E$291,$A20,Datos!$F$5:$F$291,"S6")</f>
        <v>81202.8</v>
      </c>
      <c r="N20" s="40" t="n">
        <f aca="false">SUMIFS(Datos!$J$5:$J$291,Datos!$E$5:$E$291,$A20,Datos!$F$5:$F$291,"S7")</f>
        <v>60097.275</v>
      </c>
      <c r="O20" s="41" t="n">
        <f aca="false">SUM(H20:N20)</f>
        <v>493853.85</v>
      </c>
    </row>
    <row r="21" customFormat="false" ht="15" hidden="false" customHeight="false" outlineLevel="0" collapsed="false">
      <c r="A21" s="38" t="s">
        <v>157</v>
      </c>
      <c r="B21" s="27" t="s">
        <v>158</v>
      </c>
      <c r="C21" s="27" t="s">
        <v>127</v>
      </c>
      <c r="D21" s="27" t="s">
        <v>125</v>
      </c>
      <c r="E21" s="39" t="n">
        <f aca="false">IF(C21="IDOM",1,IF(C21="Compartido",1-Parámetros!$C$14,0))</f>
        <v>0.9</v>
      </c>
      <c r="F21" s="39" t="n">
        <f aca="false">IF(C21="Plan Safe",1,IF(C21="Compartido",Parámetros!$C$14,0))</f>
        <v>0.1</v>
      </c>
      <c r="G21" s="39" t="n">
        <f aca="false">IF(C21="INVAP",1,0)</f>
        <v>0</v>
      </c>
      <c r="H21" s="40" t="n">
        <f aca="false">SUMIFS(Datos!$J$5:$J$291,Datos!$E$5:$E$291,$A21,Datos!$F$5:$F$291,"S1")</f>
        <v>0</v>
      </c>
      <c r="I21" s="40" t="n">
        <f aca="false">SUMIFS(Datos!$J$5:$J$291,Datos!$E$5:$E$291,$A21,Datos!$F$5:$F$291,"S2")</f>
        <v>0</v>
      </c>
      <c r="J21" s="40" t="n">
        <f aca="false">SUMIFS(Datos!$J$5:$J$291,Datos!$E$5:$E$291,$A21,Datos!$F$5:$F$291,"S3")</f>
        <v>0</v>
      </c>
      <c r="K21" s="40" t="n">
        <f aca="false">SUMIFS(Datos!$J$5:$J$291,Datos!$E$5:$E$291,$A21,Datos!$F$5:$F$291,"S4")</f>
        <v>92727.6</v>
      </c>
      <c r="L21" s="40" t="n">
        <f aca="false">SUMIFS(Datos!$J$5:$J$291,Datos!$E$5:$E$291,$A21,Datos!$F$5:$F$291,"S5")</f>
        <v>60968.25</v>
      </c>
      <c r="M21" s="40" t="n">
        <f aca="false">SUMIFS(Datos!$J$5:$J$291,Datos!$E$5:$E$291,$A21,Datos!$F$5:$F$291,"S6")</f>
        <v>69225.975</v>
      </c>
      <c r="N21" s="40" t="n">
        <f aca="false">SUMIFS(Datos!$J$5:$J$291,Datos!$E$5:$E$291,$A21,Datos!$F$5:$F$291,"S7")</f>
        <v>56734.65</v>
      </c>
      <c r="O21" s="41" t="n">
        <f aca="false">SUM(H21:N21)</f>
        <v>279656.475</v>
      </c>
    </row>
    <row r="22" customFormat="false" ht="15" hidden="false" customHeight="false" outlineLevel="0" collapsed="false">
      <c r="A22" s="38" t="s">
        <v>159</v>
      </c>
      <c r="B22" s="27" t="s">
        <v>160</v>
      </c>
      <c r="C22" s="27" t="s">
        <v>80</v>
      </c>
      <c r="D22" s="27" t="s">
        <v>125</v>
      </c>
      <c r="E22" s="39" t="n">
        <f aca="false">IF(C22="IDOM",1,IF(C22="Compartido",1-Parámetros!$C$14,0))</f>
        <v>1</v>
      </c>
      <c r="F22" s="39" t="n">
        <f aca="false">IF(C22="Plan Safe",1,IF(C22="Compartido",Parámetros!$C$14,0))</f>
        <v>0</v>
      </c>
      <c r="G22" s="39" t="n">
        <f aca="false">IF(C22="INVAP",1,0)</f>
        <v>0</v>
      </c>
      <c r="H22" s="40" t="n">
        <f aca="false">SUMIFS(Datos!$J$5:$J$291,Datos!$E$5:$E$291,$A22,Datos!$F$5:$F$291,"S1")</f>
        <v>0</v>
      </c>
      <c r="I22" s="40" t="n">
        <f aca="false">SUMIFS(Datos!$J$5:$J$291,Datos!$E$5:$E$291,$A22,Datos!$F$5:$F$291,"S2")</f>
        <v>0</v>
      </c>
      <c r="J22" s="40" t="n">
        <f aca="false">SUMIFS(Datos!$J$5:$J$291,Datos!$E$5:$E$291,$A22,Datos!$F$5:$F$291,"S3")</f>
        <v>0</v>
      </c>
      <c r="K22" s="40" t="n">
        <f aca="false">SUMIFS(Datos!$J$5:$J$291,Datos!$E$5:$E$291,$A22,Datos!$F$5:$F$291,"S4")</f>
        <v>0</v>
      </c>
      <c r="L22" s="40" t="n">
        <f aca="false">SUMIFS(Datos!$J$5:$J$291,Datos!$E$5:$E$291,$A22,Datos!$F$5:$F$291,"S5")</f>
        <v>0</v>
      </c>
      <c r="M22" s="40" t="n">
        <f aca="false">SUMIFS(Datos!$J$5:$J$291,Datos!$E$5:$E$291,$A22,Datos!$F$5:$F$291,"S6")</f>
        <v>81202.8</v>
      </c>
      <c r="N22" s="40" t="n">
        <f aca="false">SUMIFS(Datos!$J$5:$J$291,Datos!$E$5:$E$291,$A22,Datos!$F$5:$F$291,"S7")</f>
        <v>108875.55</v>
      </c>
      <c r="O22" s="41" t="n">
        <f aca="false">SUM(H22:N22)</f>
        <v>190078.35</v>
      </c>
    </row>
    <row r="23" customFormat="false" ht="15" hidden="false" customHeight="false" outlineLevel="0" collapsed="false">
      <c r="A23" s="38" t="s">
        <v>161</v>
      </c>
      <c r="B23" s="27" t="s">
        <v>162</v>
      </c>
      <c r="C23" s="27" t="s">
        <v>127</v>
      </c>
      <c r="D23" s="27" t="s">
        <v>125</v>
      </c>
      <c r="E23" s="39" t="n">
        <f aca="false">IF(C23="IDOM",1,IF(C23="Compartido",1-Parámetros!$C$14,0))</f>
        <v>0.9</v>
      </c>
      <c r="F23" s="39" t="n">
        <f aca="false">IF(C23="Plan Safe",1,IF(C23="Compartido",Parámetros!$C$14,0))</f>
        <v>0.1</v>
      </c>
      <c r="G23" s="39" t="n">
        <f aca="false">IF(C23="INVAP",1,0)</f>
        <v>0</v>
      </c>
      <c r="H23" s="40" t="n">
        <f aca="false">SUMIFS(Datos!$J$5:$J$291,Datos!$E$5:$E$291,$A23,Datos!$F$5:$F$291,"S1")</f>
        <v>0</v>
      </c>
      <c r="I23" s="40" t="n">
        <f aca="false">SUMIFS(Datos!$J$5:$J$291,Datos!$E$5:$E$291,$A23,Datos!$F$5:$F$291,"S2")</f>
        <v>0</v>
      </c>
      <c r="J23" s="40" t="n">
        <f aca="false">SUMIFS(Datos!$J$5:$J$291,Datos!$E$5:$E$291,$A23,Datos!$F$5:$F$291,"S3")</f>
        <v>0</v>
      </c>
      <c r="K23" s="40" t="n">
        <f aca="false">SUMIFS(Datos!$J$5:$J$291,Datos!$E$5:$E$291,$A23,Datos!$F$5:$F$291,"S4")</f>
        <v>130973.325</v>
      </c>
      <c r="L23" s="40" t="n">
        <f aca="false">SUMIFS(Datos!$J$5:$J$291,Datos!$E$5:$E$291,$A23,Datos!$F$5:$F$291,"S5")</f>
        <v>0</v>
      </c>
      <c r="M23" s="40" t="n">
        <f aca="false">SUMIFS(Datos!$J$5:$J$291,Datos!$E$5:$E$291,$A23,Datos!$F$5:$F$291,"S6")</f>
        <v>0</v>
      </c>
      <c r="N23" s="40" t="n">
        <f aca="false">SUMIFS(Datos!$J$5:$J$291,Datos!$E$5:$E$291,$A23,Datos!$F$5:$F$291,"S7")</f>
        <v>0</v>
      </c>
      <c r="O23" s="41" t="n">
        <f aca="false">SUM(H23:N23)</f>
        <v>130973.325</v>
      </c>
    </row>
    <row r="24" customFormat="false" ht="15" hidden="false" customHeight="false" outlineLevel="0" collapsed="false">
      <c r="A24" s="38" t="s">
        <v>163</v>
      </c>
      <c r="B24" s="27" t="s">
        <v>164</v>
      </c>
      <c r="C24" s="27" t="s">
        <v>127</v>
      </c>
      <c r="D24" s="27" t="s">
        <v>125</v>
      </c>
      <c r="E24" s="39" t="n">
        <f aca="false">IF(C24="IDOM",1,IF(C24="Compartido",1-Parámetros!$C$14,0))</f>
        <v>0.9</v>
      </c>
      <c r="F24" s="39" t="n">
        <f aca="false">IF(C24="Plan Safe",1,IF(C24="Compartido",Parámetros!$C$14,0))</f>
        <v>0.1</v>
      </c>
      <c r="G24" s="39" t="n">
        <f aca="false">IF(C24="INVAP",1,0)</f>
        <v>0</v>
      </c>
      <c r="H24" s="40" t="n">
        <f aca="false">SUMIFS(Datos!$J$5:$J$291,Datos!$E$5:$E$291,$A24,Datos!$F$5:$F$291,"S1")</f>
        <v>0</v>
      </c>
      <c r="I24" s="40" t="n">
        <f aca="false">SUMIFS(Datos!$J$5:$J$291,Datos!$E$5:$E$291,$A24,Datos!$F$5:$F$291,"S2")</f>
        <v>0</v>
      </c>
      <c r="J24" s="40" t="n">
        <f aca="false">SUMIFS(Datos!$J$5:$J$291,Datos!$E$5:$E$291,$A24,Datos!$F$5:$F$291,"S3")</f>
        <v>0</v>
      </c>
      <c r="K24" s="40" t="n">
        <f aca="false">SUMIFS(Datos!$J$5:$J$291,Datos!$E$5:$E$291,$A24,Datos!$F$5:$F$291,"S4")</f>
        <v>0</v>
      </c>
      <c r="L24" s="40" t="n">
        <f aca="false">SUMIFS(Datos!$J$5:$J$291,Datos!$E$5:$E$291,$A24,Datos!$F$5:$F$291,"S5")</f>
        <v>103524.75</v>
      </c>
      <c r="M24" s="40" t="n">
        <f aca="false">SUMIFS(Datos!$J$5:$J$291,Datos!$E$5:$E$291,$A24,Datos!$F$5:$F$291,"S6")</f>
        <v>77678.475</v>
      </c>
      <c r="N24" s="40" t="n">
        <f aca="false">SUMIFS(Datos!$J$5:$J$291,Datos!$E$5:$E$291,$A24,Datos!$F$5:$F$291,"S7")</f>
        <v>51314.025</v>
      </c>
      <c r="O24" s="41" t="n">
        <f aca="false">SUM(H24:N24)</f>
        <v>232517.25</v>
      </c>
    </row>
    <row r="25" customFormat="false" ht="15" hidden="false" customHeight="false" outlineLevel="0" collapsed="false">
      <c r="A25" s="38" t="s">
        <v>165</v>
      </c>
      <c r="B25" s="27" t="s">
        <v>166</v>
      </c>
      <c r="C25" s="27" t="s">
        <v>82</v>
      </c>
      <c r="D25" s="27" t="s">
        <v>82</v>
      </c>
      <c r="E25" s="39" t="n">
        <f aca="false">IF(C25="IDOM",1,IF(C25="Compartido",1-Parámetros!$C$14,0))</f>
        <v>0</v>
      </c>
      <c r="F25" s="39" t="n">
        <f aca="false">IF(C25="Plan Safe",1,IF(C25="Compartido",Parámetros!$C$14,0))</f>
        <v>0</v>
      </c>
      <c r="G25" s="39" t="n">
        <f aca="false">IF(C25="INVAP",1,0)</f>
        <v>1</v>
      </c>
      <c r="H25" s="40" t="n">
        <f aca="false">SUMIFS(Datos!$J$5:$J$291,Datos!$E$5:$E$291,$A25,Datos!$F$5:$F$291,"S1")</f>
        <v>78836.1</v>
      </c>
      <c r="I25" s="40" t="n">
        <f aca="false">SUMIFS(Datos!$J$5:$J$291,Datos!$E$5:$E$291,$A25,Datos!$F$5:$F$291,"S2")</f>
        <v>0</v>
      </c>
      <c r="J25" s="40" t="n">
        <f aca="false">SUMIFS(Datos!$J$5:$J$291,Datos!$E$5:$E$291,$A25,Datos!$F$5:$F$291,"S3")</f>
        <v>0</v>
      </c>
      <c r="K25" s="40" t="n">
        <f aca="false">SUMIFS(Datos!$J$5:$J$291,Datos!$E$5:$E$291,$A25,Datos!$F$5:$F$291,"S4")</f>
        <v>0</v>
      </c>
      <c r="L25" s="40" t="n">
        <f aca="false">SUMIFS(Datos!$J$5:$J$291,Datos!$E$5:$E$291,$A25,Datos!$F$5:$F$291,"S5")</f>
        <v>0</v>
      </c>
      <c r="M25" s="40" t="n">
        <f aca="false">SUMIFS(Datos!$J$5:$J$291,Datos!$E$5:$E$291,$A25,Datos!$F$5:$F$291,"S6")</f>
        <v>0</v>
      </c>
      <c r="N25" s="40" t="n">
        <f aca="false">SUMIFS(Datos!$J$5:$J$291,Datos!$E$5:$E$291,$A25,Datos!$F$5:$F$291,"S7")</f>
        <v>0</v>
      </c>
      <c r="O25" s="41" t="n">
        <f aca="false">SUM(H25:N25)</f>
        <v>78836.1</v>
      </c>
    </row>
    <row r="26" customFormat="false" ht="15" hidden="false" customHeight="false" outlineLevel="0" collapsed="false">
      <c r="A26" s="38" t="s">
        <v>21</v>
      </c>
      <c r="B26" s="27" t="s">
        <v>167</v>
      </c>
      <c r="C26" s="27" t="s">
        <v>81</v>
      </c>
      <c r="D26" s="27" t="s">
        <v>81</v>
      </c>
      <c r="E26" s="39" t="n">
        <f aca="false">IF(C26="IDOM",1,IF(C26="Compartido",1-Parámetros!$C$14,0))</f>
        <v>0</v>
      </c>
      <c r="F26" s="39" t="n">
        <f aca="false">IF(C26="Plan Safe",1,IF(C26="Compartido",Parámetros!$C$14,0))</f>
        <v>1</v>
      </c>
      <c r="G26" s="39" t="n">
        <f aca="false">IF(C26="INVAP",1,0)</f>
        <v>0</v>
      </c>
      <c r="H26" s="40" t="n">
        <f aca="false">SUMIFS(Datos!$J$5:$J$291,Datos!$E$5:$E$291,$A26,Datos!$F$5:$F$291,"S1")</f>
        <v>62875.575</v>
      </c>
      <c r="I26" s="40" t="n">
        <f aca="false">SUMIFS(Datos!$J$5:$J$291,Datos!$E$5:$E$291,$A26,Datos!$F$5:$F$291,"S2")</f>
        <v>88244.1</v>
      </c>
      <c r="J26" s="40" t="n">
        <f aca="false">SUMIFS(Datos!$J$5:$J$291,Datos!$E$5:$E$291,$A26,Datos!$F$5:$F$291,"S3")</f>
        <v>0</v>
      </c>
      <c r="K26" s="40" t="n">
        <f aca="false">SUMIFS(Datos!$J$5:$J$291,Datos!$E$5:$E$291,$A26,Datos!$F$5:$F$291,"S4")</f>
        <v>0</v>
      </c>
      <c r="L26" s="40" t="n">
        <f aca="false">SUMIFS(Datos!$J$5:$J$291,Datos!$E$5:$E$291,$A26,Datos!$F$5:$F$291,"S5")</f>
        <v>0</v>
      </c>
      <c r="M26" s="40" t="n">
        <f aca="false">SUMIFS(Datos!$J$5:$J$291,Datos!$E$5:$E$291,$A26,Datos!$F$5:$F$291,"S6")</f>
        <v>0</v>
      </c>
      <c r="N26" s="40" t="n">
        <f aca="false">SUMIFS(Datos!$J$5:$J$291,Datos!$E$5:$E$291,$A26,Datos!$F$5:$F$291,"S7")</f>
        <v>0</v>
      </c>
      <c r="O26" s="41" t="n">
        <f aca="false">SUM(H26:N26)</f>
        <v>151119.675</v>
      </c>
    </row>
    <row r="27" customFormat="false" ht="15" hidden="false" customHeight="false" outlineLevel="0" collapsed="false">
      <c r="A27" s="38" t="s">
        <v>57</v>
      </c>
      <c r="B27" s="27" t="s">
        <v>168</v>
      </c>
      <c r="C27" s="27" t="s">
        <v>81</v>
      </c>
      <c r="D27" s="27" t="s">
        <v>81</v>
      </c>
      <c r="E27" s="39" t="n">
        <f aca="false">IF(C27="IDOM",1,IF(C27="Compartido",1-Parámetros!$C$14,0))</f>
        <v>0</v>
      </c>
      <c r="F27" s="39" t="n">
        <f aca="false">IF(C27="Plan Safe",1,IF(C27="Compartido",Parámetros!$C$14,0))</f>
        <v>1</v>
      </c>
      <c r="G27" s="39" t="n">
        <f aca="false">IF(C27="INVAP",1,0)</f>
        <v>0</v>
      </c>
      <c r="H27" s="40" t="n">
        <f aca="false">SUMIFS(Datos!$J$5:$J$291,Datos!$E$5:$E$291,$A27,Datos!$F$5:$F$291,"S1")</f>
        <v>45191.475</v>
      </c>
      <c r="I27" s="40" t="n">
        <f aca="false">SUMIFS(Datos!$J$5:$J$291,Datos!$E$5:$E$291,$A27,Datos!$F$5:$F$291,"S2")</f>
        <v>70622.475</v>
      </c>
      <c r="J27" s="40" t="n">
        <f aca="false">SUMIFS(Datos!$J$5:$J$291,Datos!$E$5:$E$291,$A27,Datos!$F$5:$F$291,"S3")</f>
        <v>124531.05</v>
      </c>
      <c r="K27" s="40" t="n">
        <f aca="false">SUMIFS(Datos!$J$5:$J$291,Datos!$E$5:$E$291,$A27,Datos!$F$5:$F$291,"S4")</f>
        <v>145416.075</v>
      </c>
      <c r="L27" s="40" t="n">
        <f aca="false">SUMIFS(Datos!$J$5:$J$291,Datos!$E$5:$E$291,$A27,Datos!$F$5:$F$291,"S5")</f>
        <v>63195.3</v>
      </c>
      <c r="M27" s="40" t="n">
        <f aca="false">SUMIFS(Datos!$J$5:$J$291,Datos!$E$5:$E$291,$A27,Datos!$F$5:$F$291,"S6")</f>
        <v>65411.325</v>
      </c>
      <c r="N27" s="40" t="n">
        <f aca="false">SUMIFS(Datos!$J$5:$J$291,Datos!$E$5:$E$291,$A27,Datos!$F$5:$F$291,"S7")</f>
        <v>0</v>
      </c>
      <c r="O27" s="41" t="n">
        <f aca="false">SUM(H27:N27)</f>
        <v>514367.7</v>
      </c>
    </row>
    <row r="28" customFormat="false" ht="15" hidden="false" customHeight="false" outlineLevel="0" collapsed="false">
      <c r="A28" s="38" t="s">
        <v>169</v>
      </c>
      <c r="B28" s="27" t="s">
        <v>170</v>
      </c>
      <c r="C28" s="27" t="s">
        <v>81</v>
      </c>
      <c r="D28" s="27" t="s">
        <v>81</v>
      </c>
      <c r="E28" s="39" t="n">
        <f aca="false">IF(C28="IDOM",1,IF(C28="Compartido",1-Parámetros!$C$14,0))</f>
        <v>0</v>
      </c>
      <c r="F28" s="39" t="n">
        <f aca="false">IF(C28="Plan Safe",1,IF(C28="Compartido",Parámetros!$C$14,0))</f>
        <v>1</v>
      </c>
      <c r="G28" s="39" t="n">
        <f aca="false">IF(C28="INVAP",1,0)</f>
        <v>0</v>
      </c>
      <c r="H28" s="40" t="n">
        <f aca="false">SUMIFS(Datos!$J$5:$J$291,Datos!$E$5:$E$291,$A28,Datos!$F$5:$F$291,"S1")</f>
        <v>0</v>
      </c>
      <c r="I28" s="40" t="n">
        <f aca="false">SUMIFS(Datos!$J$5:$J$291,Datos!$E$5:$E$291,$A28,Datos!$F$5:$F$291,"S2")</f>
        <v>0</v>
      </c>
      <c r="J28" s="40" t="n">
        <f aca="false">SUMIFS(Datos!$J$5:$J$291,Datos!$E$5:$E$291,$A28,Datos!$F$5:$F$291,"S3")</f>
        <v>0</v>
      </c>
      <c r="K28" s="40" t="n">
        <f aca="false">SUMIFS(Datos!$J$5:$J$291,Datos!$E$5:$E$291,$A28,Datos!$F$5:$F$291,"S4")</f>
        <v>135672.18</v>
      </c>
      <c r="L28" s="40" t="n">
        <f aca="false">SUMIFS(Datos!$J$5:$J$291,Datos!$E$5:$E$291,$A28,Datos!$F$5:$F$291,"S5")</f>
        <v>0</v>
      </c>
      <c r="M28" s="40" t="n">
        <f aca="false">SUMIFS(Datos!$J$5:$J$291,Datos!$E$5:$E$291,$A28,Datos!$F$5:$F$291,"S6")</f>
        <v>0</v>
      </c>
      <c r="N28" s="40" t="n">
        <f aca="false">SUMIFS(Datos!$J$5:$J$291,Datos!$E$5:$E$291,$A28,Datos!$F$5:$F$291,"S7")</f>
        <v>0</v>
      </c>
      <c r="O28" s="41" t="n">
        <f aca="false">SUM(H28:N28)</f>
        <v>135672.18</v>
      </c>
    </row>
    <row r="29" customFormat="false" ht="15" hidden="false" customHeight="false" outlineLevel="0" collapsed="false">
      <c r="A29" s="38" t="s">
        <v>171</v>
      </c>
      <c r="B29" s="27" t="s">
        <v>172</v>
      </c>
      <c r="C29" s="27" t="s">
        <v>81</v>
      </c>
      <c r="D29" s="27" t="s">
        <v>81</v>
      </c>
      <c r="E29" s="39" t="n">
        <f aca="false">IF(C29="IDOM",1,IF(C29="Compartido",1-Parámetros!$C$14,0))</f>
        <v>0</v>
      </c>
      <c r="F29" s="39" t="n">
        <f aca="false">IF(C29="Plan Safe",1,IF(C29="Compartido",Parámetros!$C$14,0))</f>
        <v>1</v>
      </c>
      <c r="G29" s="39" t="n">
        <f aca="false">IF(C29="INVAP",1,0)</f>
        <v>0</v>
      </c>
      <c r="H29" s="40" t="n">
        <f aca="false">SUMIFS(Datos!$J$5:$J$291,Datos!$E$5:$E$291,$A29,Datos!$F$5:$F$291,"S1")</f>
        <v>0</v>
      </c>
      <c r="I29" s="40" t="n">
        <f aca="false">SUMIFS(Datos!$J$5:$J$291,Datos!$E$5:$E$291,$A29,Datos!$F$5:$F$291,"S2")</f>
        <v>0</v>
      </c>
      <c r="J29" s="40" t="n">
        <f aca="false">SUMIFS(Datos!$J$5:$J$291,Datos!$E$5:$E$291,$A29,Datos!$F$5:$F$291,"S3")</f>
        <v>65275.35</v>
      </c>
      <c r="K29" s="40" t="n">
        <f aca="false">SUMIFS(Datos!$J$5:$J$291,Datos!$E$5:$E$291,$A29,Datos!$F$5:$F$291,"S4")</f>
        <v>152016.375</v>
      </c>
      <c r="L29" s="40" t="n">
        <f aca="false">SUMIFS(Datos!$J$5:$J$291,Datos!$E$5:$E$291,$A29,Datos!$F$5:$F$291,"S5")</f>
        <v>65337.825</v>
      </c>
      <c r="M29" s="40" t="n">
        <f aca="false">SUMIFS(Datos!$J$5:$J$291,Datos!$E$5:$E$291,$A29,Datos!$F$5:$F$291,"S6")</f>
        <v>81478.425</v>
      </c>
      <c r="N29" s="40" t="n">
        <f aca="false">SUMIFS(Datos!$J$5:$J$291,Datos!$E$5:$E$291,$A29,Datos!$F$5:$F$291,"S7")</f>
        <v>56448</v>
      </c>
      <c r="O29" s="41" t="n">
        <f aca="false">SUM(H29:N29)</f>
        <v>420555.975</v>
      </c>
    </row>
    <row r="32" customFormat="false" ht="15" hidden="false" customHeight="false" outlineLevel="0" collapsed="false">
      <c r="B32" s="42" t="s">
        <v>173</v>
      </c>
      <c r="H32" s="43" t="n">
        <f aca="false">SUM(H$5:H$29)</f>
        <v>335082.825</v>
      </c>
      <c r="I32" s="43" t="n">
        <f aca="false">SUM(I$5:I$29)</f>
        <v>732839.1</v>
      </c>
      <c r="J32" s="43" t="n">
        <f aca="false">SUM(J$5:J$29)</f>
        <v>1469323.8</v>
      </c>
      <c r="K32" s="43" t="n">
        <f aca="false">SUM(K$5:K$29)</f>
        <v>3183882.555</v>
      </c>
      <c r="L32" s="43" t="n">
        <f aca="false">SUM(L$5:L$29)</f>
        <v>540610.875</v>
      </c>
      <c r="M32" s="43" t="n">
        <f aca="false">SUM(M$5:M$29)</f>
        <v>775079.55</v>
      </c>
      <c r="N32" s="43" t="n">
        <f aca="false">SUM(N$5:N$29)</f>
        <v>493905.3</v>
      </c>
      <c r="O32" s="41" t="n">
        <f aca="false">SUM(H32:N32)</f>
        <v>7530724.005</v>
      </c>
    </row>
    <row r="33" customFormat="false" ht="15" hidden="false" customHeight="false" outlineLevel="0" collapsed="false">
      <c r="B33" s="27" t="s">
        <v>174</v>
      </c>
      <c r="H33" s="40" t="n">
        <f aca="false">SUMPRODUCT(H$5:H$29,$E$5:$E$29)</f>
        <v>133361.7075</v>
      </c>
      <c r="I33" s="40" t="n">
        <f aca="false">SUMPRODUCT(I$5:I$29,$E$5:$E$29)</f>
        <v>536515.0875</v>
      </c>
      <c r="J33" s="40" t="n">
        <f aca="false">SUMPRODUCT(J$5:J$29,$E$5:$E$29)</f>
        <v>1212914.2725</v>
      </c>
      <c r="K33" s="40" t="n">
        <f aca="false">SUMPRODUCT(K$5:K$29,$E$5:$E$29)</f>
        <v>2599061.43</v>
      </c>
      <c r="L33" s="40" t="n">
        <f aca="false">SUMPRODUCT(L$5:L$29,$E$5:$E$29)</f>
        <v>380134.65</v>
      </c>
      <c r="M33" s="40" t="n">
        <f aca="false">SUMPRODUCT(M$5:M$29,$E$5:$E$29)</f>
        <v>584012.2575</v>
      </c>
      <c r="N33" s="40" t="n">
        <f aca="false">SUMPRODUCT(N$5:N$29,$E$5:$E$29)</f>
        <v>412218.5025</v>
      </c>
      <c r="O33" s="41" t="n">
        <f aca="false">SUM(H33:N33)</f>
        <v>5858217.9075</v>
      </c>
    </row>
    <row r="34" customFormat="false" ht="15" hidden="false" customHeight="false" outlineLevel="0" collapsed="false">
      <c r="B34" s="27" t="s">
        <v>175</v>
      </c>
      <c r="H34" s="40" t="n">
        <f aca="false">SUMPRODUCT(H$5:H$29,$F$5:$F$29)</f>
        <v>122885.0175</v>
      </c>
      <c r="I34" s="40" t="n">
        <f aca="false">SUMPRODUCT(I$5:I$29,$F$5:$F$29)</f>
        <v>196324.0125</v>
      </c>
      <c r="J34" s="40" t="n">
        <f aca="false">SUMPRODUCT(J$5:J$29,$F$5:$F$29)</f>
        <v>256409.5275</v>
      </c>
      <c r="K34" s="40" t="n">
        <f aca="false">SUMPRODUCT(K$5:K$29,$F$5:$F$29)</f>
        <v>584821.125</v>
      </c>
      <c r="L34" s="40" t="n">
        <f aca="false">SUMPRODUCT(L$5:L$29,$F$5:$F$29)</f>
        <v>160476.225</v>
      </c>
      <c r="M34" s="40" t="n">
        <f aca="false">SUMPRODUCT(M$5:M$29,$F$5:$F$29)</f>
        <v>191067.2925</v>
      </c>
      <c r="N34" s="40" t="n">
        <f aca="false">SUMPRODUCT(N$5:N$29,$F$5:$F$29)</f>
        <v>81686.7975</v>
      </c>
      <c r="O34" s="41" t="n">
        <f aca="false">SUM(H34:N34)</f>
        <v>1593669.9975</v>
      </c>
    </row>
    <row r="35" customFormat="false" ht="15" hidden="false" customHeight="false" outlineLevel="0" collapsed="false">
      <c r="B35" s="27" t="s">
        <v>176</v>
      </c>
      <c r="H35" s="40" t="n">
        <f aca="false">SUMPRODUCT(H$5:H$29,$G$5:$G$29)</f>
        <v>78836.1</v>
      </c>
      <c r="I35" s="40" t="n">
        <f aca="false">SUMPRODUCT(I$5:I$29,$G$5:$G$29)</f>
        <v>0</v>
      </c>
      <c r="J35" s="40" t="n">
        <f aca="false">SUMPRODUCT(J$5:J$29,$G$5:$G$29)</f>
        <v>0</v>
      </c>
      <c r="K35" s="40" t="n">
        <f aca="false">SUMPRODUCT(K$5:K$29,$G$5:$G$29)</f>
        <v>0</v>
      </c>
      <c r="L35" s="40" t="n">
        <f aca="false">SUMPRODUCT(L$5:L$29,$G$5:$G$29)</f>
        <v>0</v>
      </c>
      <c r="M35" s="40" t="n">
        <f aca="false">SUMPRODUCT(M$5:M$29,$G$5:$G$29)</f>
        <v>0</v>
      </c>
      <c r="N35" s="40" t="n">
        <f aca="false">SUMPRODUCT(N$5:N$29,$G$5:$G$29)</f>
        <v>0</v>
      </c>
      <c r="O35" s="41" t="n">
        <f aca="false">SUM(H35:N35)</f>
        <v>78836.1</v>
      </c>
    </row>
    <row r="36" customFormat="false" ht="15" hidden="false" customHeight="false" outlineLevel="0" collapsed="false">
      <c r="B36" s="27" t="s">
        <v>177</v>
      </c>
      <c r="H36" s="40" t="n">
        <f aca="false">IF(OR(Parámetros!$C$7="S1-S7",H$3&lt;=5),SUMPRODUCT(($D$5:$D$29="SSC")*H$5:H$29),0)</f>
        <v>0</v>
      </c>
      <c r="I36" s="40" t="n">
        <f aca="false">IF(OR(Parámetros!$C$7="S1-S7",I$3&lt;=5),SUMPRODUCT(($D$5:$D$29="SSC")*I$5:I$29),0)</f>
        <v>99735.825</v>
      </c>
      <c r="J36" s="40" t="n">
        <f aca="false">IF(OR(Parámetros!$C$7="S1-S7",J$3&lt;=5),SUMPRODUCT(($D$5:$D$29="SSC")*J$5:J$29),0)</f>
        <v>278487.825</v>
      </c>
      <c r="K36" s="40" t="n">
        <f aca="false">IF(OR(Parámetros!$C$7="S1-S7",K$3&lt;=5),SUMPRODUCT(($D$5:$D$29="SSC")*K$5:K$29),0)</f>
        <v>624849.225</v>
      </c>
      <c r="L36" s="40" t="n">
        <f aca="false">IF(OR(Parámetros!$C$7="S1-S7",L$3&lt;=5),SUMPRODUCT(($D$5:$D$29="SSC")*L$5:L$29),0)</f>
        <v>247584.75</v>
      </c>
      <c r="M36" s="40" t="n">
        <f aca="false">IF(OR(Parámetros!$C$7="S1-S7",M$3&lt;=5),SUMPRODUCT(($D$5:$D$29="SSC")*M$5:M$29),0)</f>
        <v>0</v>
      </c>
      <c r="N36" s="40" t="n">
        <f aca="false">IF(OR(Parámetros!$C$7="S1-S7",N$3&lt;=5),SUMPRODUCT(($D$5:$D$29="SSC")*N$5:N$29),0)</f>
        <v>0</v>
      </c>
      <c r="O36" s="41" t="n">
        <f aca="false">SUM(H36:N36)</f>
        <v>1250657.625</v>
      </c>
    </row>
    <row r="37" customFormat="false" ht="15" hidden="false" customHeight="false" outlineLevel="0" collapsed="false">
      <c r="B37" s="27" t="s">
        <v>178</v>
      </c>
      <c r="H37" s="40" t="n">
        <f aca="false">IF(OR(Parámetros!$C$7="S1-S7",H$3&lt;=5),SUMPRODUCT(($D$5:$D$29="SSC")*H$5:H$29*$E$5:$E$29),0)</f>
        <v>0</v>
      </c>
      <c r="I37" s="40" t="n">
        <f aca="false">IF(OR(Parámetros!$C$7="S1-S7",I$3&lt;=5),SUMPRODUCT(($D$5:$D$29="SSC")*I$5:I$29*$E$5:$E$29),0)</f>
        <v>99735.825</v>
      </c>
      <c r="J37" s="40" t="n">
        <f aca="false">IF(OR(Parámetros!$C$7="S1-S7",J$3&lt;=5),SUMPRODUCT(($D$5:$D$29="SSC")*J$5:J$29*$E$5:$E$29),0)</f>
        <v>270443.25</v>
      </c>
      <c r="K37" s="40" t="n">
        <f aca="false">IF(OR(Parámetros!$C$7="S1-S7",K$3&lt;=5),SUMPRODUCT(($D$5:$D$29="SSC")*K$5:K$29*$E$5:$E$29),0)</f>
        <v>592408.8975</v>
      </c>
      <c r="L37" s="40" t="n">
        <f aca="false">IF(OR(Parámetros!$C$7="S1-S7",L$3&lt;=5),SUMPRODUCT(($D$5:$D$29="SSC")*L$5:L$29*$E$5:$E$29),0)</f>
        <v>232090.95</v>
      </c>
      <c r="M37" s="40" t="n">
        <f aca="false">IF(OR(Parámetros!$C$7="S1-S7",M$3&lt;=5),SUMPRODUCT(($D$5:$D$29="SSC")*M$5:M$29*$E$5:$E$29),0)</f>
        <v>0</v>
      </c>
      <c r="N37" s="40" t="n">
        <f aca="false">IF(OR(Parámetros!$C$7="S1-S7",N$3&lt;=5),SUMPRODUCT(($D$5:$D$29="SSC")*N$5:N$29*$E$5:$E$29),0)</f>
        <v>0</v>
      </c>
      <c r="O37" s="41" t="n">
        <f aca="false">SUM(H37:N37)</f>
        <v>1194678.9225</v>
      </c>
    </row>
    <row r="38" customFormat="false" ht="15" hidden="false" customHeight="false" outlineLevel="0" collapsed="false">
      <c r="B38" s="27" t="s">
        <v>179</v>
      </c>
      <c r="H38" s="40" t="n">
        <f aca="false">IF(H$3=1,H$6-Parámetros!$C$9,IF(H$3=2,H$6,0))</f>
        <v>109504.675</v>
      </c>
      <c r="I38" s="40" t="n">
        <f aca="false">IF(I$3=1,I$6-Parámetros!$C$9,IF(I$3=2,I$6,0))</f>
        <v>284239.2</v>
      </c>
      <c r="J38" s="40" t="n">
        <f aca="false">IF(J$3=1,J$6-Parámetros!$C$9,IF(J$3=2,J$6,0))</f>
        <v>0</v>
      </c>
      <c r="K38" s="40" t="n">
        <f aca="false">IF(K$3=1,K$6-Parámetros!$C$9,IF(K$3=2,K$6,0))</f>
        <v>0</v>
      </c>
      <c r="L38" s="40" t="n">
        <f aca="false">IF(L$3=1,L$6-Parámetros!$C$9,IF(L$3=2,L$6,0))</f>
        <v>0</v>
      </c>
      <c r="M38" s="40" t="n">
        <f aca="false">IF(M$3=1,M$6-Parámetros!$C$9,IF(M$3=2,M$6,0))</f>
        <v>0</v>
      </c>
      <c r="N38" s="40" t="n">
        <f aca="false">IF(N$3=1,N$6-Parámetros!$C$9,IF(N$3=2,N$6,0))</f>
        <v>0</v>
      </c>
      <c r="O38" s="41" t="n">
        <f aca="false">SUM(H38:N38)</f>
        <v>393743.875</v>
      </c>
    </row>
    <row r="39" customFormat="false" ht="15" hidden="false" customHeight="false" outlineLevel="0" collapsed="false">
      <c r="B39" s="27" t="s">
        <v>180</v>
      </c>
      <c r="H39" s="40" t="n">
        <f aca="false">H38*$E$6</f>
        <v>98554.2075</v>
      </c>
      <c r="I39" s="40" t="n">
        <f aca="false">I38*$E$6</f>
        <v>255815.28</v>
      </c>
      <c r="J39" s="40" t="n">
        <f aca="false">J38*$E$6</f>
        <v>0</v>
      </c>
      <c r="K39" s="40" t="n">
        <f aca="false">K38*$E$6</f>
        <v>0</v>
      </c>
      <c r="L39" s="40" t="n">
        <f aca="false">L38*$E$6</f>
        <v>0</v>
      </c>
      <c r="M39" s="40" t="n">
        <f aca="false">M38*$E$6</f>
        <v>0</v>
      </c>
      <c r="N39" s="40" t="n">
        <f aca="false">N38*$E$6</f>
        <v>0</v>
      </c>
      <c r="O39" s="41" t="n">
        <f aca="false">SUM(H39:N39)</f>
        <v>354369.4875</v>
      </c>
    </row>
    <row r="40" customFormat="false" ht="15" hidden="false" customHeight="false" outlineLevel="0" collapsed="false">
      <c r="B40" s="27" t="s">
        <v>181</v>
      </c>
      <c r="H40" s="40" t="n">
        <f aca="false">H33-H37-H39</f>
        <v>34807.5</v>
      </c>
      <c r="I40" s="40" t="n">
        <f aca="false">I33-I37-I39</f>
        <v>180963.9825</v>
      </c>
      <c r="J40" s="40" t="n">
        <f aca="false">J33-J37-J39</f>
        <v>942471.0225</v>
      </c>
      <c r="K40" s="40" t="n">
        <f aca="false">K33-K37-K39</f>
        <v>2006652.5325</v>
      </c>
      <c r="L40" s="40" t="n">
        <f aca="false">L33-L37-L39</f>
        <v>148043.7</v>
      </c>
      <c r="M40" s="40" t="n">
        <f aca="false">M33-M37-M39</f>
        <v>584012.2575</v>
      </c>
      <c r="N40" s="40" t="n">
        <f aca="false">N33-N37-N39</f>
        <v>412218.5025</v>
      </c>
      <c r="O40" s="41" t="n">
        <f aca="false">SUM(H40:N40)</f>
        <v>4309169.4975</v>
      </c>
    </row>
    <row r="41" customFormat="false" ht="15" hidden="false" customHeight="false" outlineLevel="0" collapsed="false">
      <c r="B41" s="27" t="s">
        <v>182</v>
      </c>
      <c r="H41" s="40" t="n">
        <f aca="false">IF(H$3=2,H40*Parámetros!$C$10/(1+Parámetros!$C$10),0)</f>
        <v>0</v>
      </c>
      <c r="I41" s="40" t="n">
        <f aca="false">IF(I$3=2,I40*Parámetros!$C$10/(1+Parámetros!$C$10),0)</f>
        <v>46916.5880555555</v>
      </c>
      <c r="J41" s="40" t="n">
        <f aca="false">IF(J$3=2,J40*Parámetros!$C$10/(1+Parámetros!$C$10),0)</f>
        <v>0</v>
      </c>
      <c r="K41" s="40" t="n">
        <f aca="false">IF(K$3=2,K40*Parámetros!$C$10/(1+Parámetros!$C$10),0)</f>
        <v>0</v>
      </c>
      <c r="L41" s="40" t="n">
        <f aca="false">IF(L$3=2,L40*Parámetros!$C$10/(1+Parámetros!$C$10),0)</f>
        <v>0</v>
      </c>
      <c r="M41" s="40" t="n">
        <f aca="false">IF(M$3=2,M40*Parámetros!$C$10/(1+Parámetros!$C$10),0)</f>
        <v>0</v>
      </c>
      <c r="N41" s="40" t="n">
        <f aca="false">IF(N$3=2,N40*Parámetros!$C$10/(1+Parámetros!$C$10),0)</f>
        <v>0</v>
      </c>
      <c r="O41" s="41" t="n">
        <f aca="false">SUM(H41:N41)</f>
        <v>46916.5880555555</v>
      </c>
    </row>
    <row r="42" customFormat="false" ht="15" hidden="false" customHeight="false" outlineLevel="0" collapsed="false">
      <c r="B42" s="27" t="s">
        <v>183</v>
      </c>
      <c r="H42" s="40" t="n">
        <f aca="false">H40-H41</f>
        <v>34807.5</v>
      </c>
      <c r="I42" s="40" t="n">
        <f aca="false">I40-I41</f>
        <v>134047.394444444</v>
      </c>
      <c r="J42" s="40" t="n">
        <f aca="false">J40-J41</f>
        <v>942471.0225</v>
      </c>
      <c r="K42" s="40" t="n">
        <f aca="false">K40-K41</f>
        <v>2006652.5325</v>
      </c>
      <c r="L42" s="40" t="n">
        <f aca="false">L40-L41</f>
        <v>148043.7</v>
      </c>
      <c r="M42" s="40" t="n">
        <f aca="false">M40-M41</f>
        <v>584012.2575</v>
      </c>
      <c r="N42" s="40" t="n">
        <f aca="false">N40-N41</f>
        <v>412218.5025</v>
      </c>
      <c r="O42" s="41" t="n">
        <f aca="false">SUM(H42:N42)</f>
        <v>4262252.90944445</v>
      </c>
    </row>
    <row r="43" customFormat="false" ht="15" hidden="false" customHeight="false" outlineLevel="0" collapsed="false">
      <c r="B43" s="27" t="s">
        <v>184</v>
      </c>
      <c r="H43" s="40" t="n">
        <f aca="false">IF(SUM($H42:$N42)=0,0,IF(Parámetros!$C$12="EUR",Parámetros!$C$11/Parámetros!$C$5,Parámetros!$C$11)*H42/SUM($H42:$N42))</f>
        <v>922.019203400649</v>
      </c>
      <c r="I43" s="40" t="n">
        <f aca="false">IF(SUM($H42:$N42)=0,0,IF(Parámetros!$C$12="EUR",Parámetros!$C$11/Parámetros!$C$5,Parámetros!$C$11)*I42/SUM($H42:$N42))</f>
        <v>3550.79427834803</v>
      </c>
      <c r="J43" s="40" t="n">
        <f aca="false">IF(SUM($H42:$N42)=0,0,IF(Parámetros!$C$12="EUR",Parámetros!$C$11/Parámetros!$C$5,Parámetros!$C$11)*J42/SUM($H42:$N42))</f>
        <v>24965.2052400674</v>
      </c>
      <c r="K43" s="40" t="n">
        <f aca="false">IF(SUM($H42:$N42)=0,0,IF(Parámetros!$C$12="EUR",Parámetros!$C$11/Parámetros!$C$5,Parámetros!$C$11)*K42/SUM($H42:$N42))</f>
        <v>53154.41124808</v>
      </c>
      <c r="L43" s="40" t="n">
        <f aca="false">IF(SUM($H42:$N42)=0,0,IF(Parámetros!$C$12="EUR",Parámetros!$C$11/Parámetros!$C$5,Parámetros!$C$11)*L42/SUM($H42:$N42))</f>
        <v>3921.5437575949</v>
      </c>
      <c r="M43" s="40" t="n">
        <f aca="false">IF(SUM($H42:$N42)=0,0,IF(Parámetros!$C$12="EUR",Parámetros!$C$11/Parámetros!$C$5,Parámetros!$C$11)*M42/SUM($H42:$N42))</f>
        <v>15469.9566598108</v>
      </c>
      <c r="N43" s="40" t="n">
        <f aca="false">IF(SUM($H42:$N42)=0,0,IF(Parámetros!$C$12="EUR",Parámetros!$C$11/Parámetros!$C$5,Parámetros!$C$11)*N42/SUM($H42:$N42))</f>
        <v>10919.2954191498</v>
      </c>
      <c r="O43" s="41" t="n">
        <f aca="false">SUM(H43:N43)</f>
        <v>112903.225806452</v>
      </c>
    </row>
    <row r="44" customFormat="false" ht="15" hidden="false" customHeight="false" outlineLevel="0" collapsed="false">
      <c r="B44" s="27" t="s">
        <v>185</v>
      </c>
      <c r="H44" s="40" t="n">
        <f aca="false">H42-H43</f>
        <v>33885.4807965994</v>
      </c>
      <c r="I44" s="40" t="n">
        <f aca="false">I42-I43</f>
        <v>130496.600166096</v>
      </c>
      <c r="J44" s="40" t="n">
        <f aca="false">J42-J43</f>
        <v>917505.817259933</v>
      </c>
      <c r="K44" s="40" t="n">
        <f aca="false">K42-K43</f>
        <v>1953498.12125192</v>
      </c>
      <c r="L44" s="40" t="n">
        <f aca="false">L42-L43</f>
        <v>144122.156242405</v>
      </c>
      <c r="M44" s="40" t="n">
        <f aca="false">M42-M43</f>
        <v>568542.300840189</v>
      </c>
      <c r="N44" s="40" t="n">
        <f aca="false">N42-N43</f>
        <v>401299.20708085</v>
      </c>
      <c r="O44" s="41" t="n">
        <f aca="false">SUM(H44:N44)</f>
        <v>4149349.68363799</v>
      </c>
    </row>
    <row r="45" customFormat="false" ht="15" hidden="false" customHeight="false" outlineLevel="0" collapsed="false">
      <c r="B45" s="27" t="s">
        <v>186</v>
      </c>
      <c r="H45" s="40" t="n">
        <f aca="false">Parámetros!$C$13*H44</f>
        <v>1355.41923186397</v>
      </c>
      <c r="I45" s="40" t="n">
        <f aca="false">Parámetros!$C$13*I44</f>
        <v>5219.86400664385</v>
      </c>
      <c r="J45" s="40" t="n">
        <f aca="false">Parámetros!$C$13*J44</f>
        <v>36700.2326903973</v>
      </c>
      <c r="K45" s="40" t="n">
        <f aca="false">Parámetros!$C$13*K44</f>
        <v>78139.9248500768</v>
      </c>
      <c r="L45" s="40" t="n">
        <f aca="false">Parámetros!$C$13*L44</f>
        <v>5764.8862496962</v>
      </c>
      <c r="M45" s="40" t="n">
        <f aca="false">Parámetros!$C$13*M44</f>
        <v>22741.6920336076</v>
      </c>
      <c r="N45" s="40" t="n">
        <f aca="false">Parámetros!$C$13*N44</f>
        <v>16051.968283234</v>
      </c>
      <c r="O45" s="41" t="n">
        <f aca="false">SUM(H45:N45)</f>
        <v>165973.98734552</v>
      </c>
    </row>
    <row r="46" customFormat="false" ht="15" hidden="false" customHeight="false" outlineLevel="0" collapsed="false">
      <c r="B46" s="42" t="s">
        <v>187</v>
      </c>
      <c r="H46" s="43" t="n">
        <f aca="false">H32-H36-H38-H41-H43-H45</f>
        <v>223300.711564735</v>
      </c>
      <c r="I46" s="43" t="n">
        <f aca="false">I32-I36-I38-I41-I43-I45</f>
        <v>293176.828659453</v>
      </c>
      <c r="J46" s="43" t="n">
        <f aca="false">J32-J36-J38-J41-J43-J45</f>
        <v>1129170.53706954</v>
      </c>
      <c r="K46" s="43" t="n">
        <f aca="false">K32-K36-K38-K41-K43-K45</f>
        <v>2427738.99390184</v>
      </c>
      <c r="L46" s="43" t="n">
        <f aca="false">L32-L36-L38-L41-L43-L45</f>
        <v>283339.694992709</v>
      </c>
      <c r="M46" s="43" t="n">
        <f aca="false">M32-M36-M38-M41-M43-M45</f>
        <v>736867.901306582</v>
      </c>
      <c r="N46" s="43" t="n">
        <f aca="false">N32-N36-N38-N41-N43-N45</f>
        <v>466934.036297616</v>
      </c>
      <c r="O46" s="41" t="n">
        <f aca="false">SUM(H46:N46)</f>
        <v>5560528.70379247</v>
      </c>
    </row>
    <row r="47" customFormat="false" ht="15" hidden="false" customHeight="false" outlineLevel="0" collapsed="false">
      <c r="B47" s="27" t="s">
        <v>188</v>
      </c>
      <c r="H47" s="40" t="n">
        <f aca="false">H44-H45</f>
        <v>32530.0615647354</v>
      </c>
      <c r="I47" s="40" t="n">
        <f aca="false">I44-I45</f>
        <v>125276.736159453</v>
      </c>
      <c r="J47" s="40" t="n">
        <f aca="false">J44-J45</f>
        <v>880805.584569535</v>
      </c>
      <c r="K47" s="40" t="n">
        <f aca="false">K44-K45</f>
        <v>1875358.19640184</v>
      </c>
      <c r="L47" s="40" t="n">
        <f aca="false">L44-L45</f>
        <v>138357.269992709</v>
      </c>
      <c r="M47" s="40" t="n">
        <f aca="false">M44-M45</f>
        <v>545800.608806582</v>
      </c>
      <c r="N47" s="40" t="n">
        <f aca="false">N44-N45</f>
        <v>385247.238797616</v>
      </c>
      <c r="O47" s="41" t="n">
        <f aca="false">SUM(H47:N47)</f>
        <v>3983375.69629247</v>
      </c>
    </row>
    <row r="48" customFormat="false" ht="15" hidden="false" customHeight="false" outlineLevel="0" collapsed="false">
      <c r="B48" s="27" t="s">
        <v>189</v>
      </c>
      <c r="H48" s="40" t="n">
        <f aca="false">H34-(H36-H37)-(H38-H39)</f>
        <v>111934.55</v>
      </c>
      <c r="I48" s="40" t="n">
        <f aca="false">I34-(I36-I37)-(I38-I39)</f>
        <v>167900.0925</v>
      </c>
      <c r="J48" s="40" t="n">
        <f aca="false">J34-(J36-J37)-(J38-J39)</f>
        <v>248364.9525</v>
      </c>
      <c r="K48" s="40" t="n">
        <f aca="false">K34-(K36-K37)-(K38-K39)</f>
        <v>552380.7975</v>
      </c>
      <c r="L48" s="40" t="n">
        <f aca="false">L34-(L36-L37)-(L38-L39)</f>
        <v>144982.425</v>
      </c>
      <c r="M48" s="40" t="n">
        <f aca="false">M34-(M36-M37)-(M38-M39)</f>
        <v>191067.2925</v>
      </c>
      <c r="N48" s="40" t="n">
        <f aca="false">N34-(N36-N37)-(N38-N39)</f>
        <v>81686.7975</v>
      </c>
      <c r="O48" s="41" t="n">
        <f aca="false">SUM(H48:N48)</f>
        <v>1498316.9075</v>
      </c>
    </row>
    <row r="49" customFormat="false" ht="15" hidden="false" customHeight="false" outlineLevel="0" collapsed="false">
      <c r="B49" s="27" t="s">
        <v>190</v>
      </c>
      <c r="H49" s="40" t="n">
        <f aca="false">H35</f>
        <v>78836.1</v>
      </c>
      <c r="I49" s="40" t="n">
        <f aca="false">I35</f>
        <v>0</v>
      </c>
      <c r="J49" s="40" t="n">
        <f aca="false">J35</f>
        <v>0</v>
      </c>
      <c r="K49" s="40" t="n">
        <f aca="false">K35</f>
        <v>0</v>
      </c>
      <c r="L49" s="40" t="n">
        <f aca="false">L35</f>
        <v>0</v>
      </c>
      <c r="M49" s="40" t="n">
        <f aca="false">M35</f>
        <v>0</v>
      </c>
      <c r="N49" s="40" t="n">
        <f aca="false">N35</f>
        <v>0</v>
      </c>
      <c r="O49" s="41" t="n">
        <f aca="false">SUM(H49:N49)</f>
        <v>78836.1</v>
      </c>
    </row>
    <row r="50" customFormat="false" ht="15" hidden="false" customHeight="false" outlineLevel="0" collapsed="false">
      <c r="B50" s="27" t="s">
        <v>191</v>
      </c>
      <c r="H50" s="40" t="n">
        <f aca="false">IF(Parámetros!$C$16="Sí",SUMPRODUCT(($D$5:$D$29="Plan Safe")*H$5:H$29),0)</f>
        <v>108067.05</v>
      </c>
      <c r="I50" s="40" t="n">
        <f aca="false">IF(Parámetros!$C$16="Sí",SUMPRODUCT(($D$5:$D$29="Plan Safe")*I$5:I$29),0)</f>
        <v>158866.575</v>
      </c>
      <c r="J50" s="40" t="n">
        <f aca="false">IF(Parámetros!$C$16="Sí",SUMPRODUCT(($D$5:$D$29="Plan Safe")*J$5:J$29),0)</f>
        <v>189806.4</v>
      </c>
      <c r="K50" s="40" t="n">
        <f aca="false">IF(Parámetros!$C$16="Sí",SUMPRODUCT(($D$5:$D$29="Plan Safe")*K$5:K$29),0)</f>
        <v>433104.63</v>
      </c>
      <c r="L50" s="40" t="n">
        <f aca="false">IF(Parámetros!$C$16="Sí",SUMPRODUCT(($D$5:$D$29="Plan Safe")*L$5:L$29),0)</f>
        <v>128533.125</v>
      </c>
      <c r="M50" s="40" t="n">
        <f aca="false">IF(Parámetros!$C$16="Sí",SUMPRODUCT(($D$5:$D$29="Plan Safe")*M$5:M$29),0)</f>
        <v>146889.75</v>
      </c>
      <c r="N50" s="40" t="n">
        <f aca="false">IF(Parámetros!$C$16="Sí",SUMPRODUCT(($D$5:$D$29="Plan Safe")*N$5:N$29),0)</f>
        <v>56448</v>
      </c>
      <c r="O50" s="41" t="n">
        <f aca="false">SUM(H50:N50)</f>
        <v>1221715.53</v>
      </c>
    </row>
    <row r="51" customFormat="false" ht="15" hidden="false" customHeight="false" outlineLevel="0" collapsed="false">
      <c r="B51" s="42" t="s">
        <v>192</v>
      </c>
      <c r="H51" s="43" t="n">
        <f aca="false">H46-H50</f>
        <v>115233.661564735</v>
      </c>
      <c r="I51" s="43" t="n">
        <f aca="false">I46-I50</f>
        <v>134310.253659453</v>
      </c>
      <c r="J51" s="43" t="n">
        <f aca="false">J46-J50</f>
        <v>939364.137069535</v>
      </c>
      <c r="K51" s="43" t="n">
        <f aca="false">K46-K50</f>
        <v>1994634.36390184</v>
      </c>
      <c r="L51" s="43" t="n">
        <f aca="false">L46-L50</f>
        <v>154806.569992709</v>
      </c>
      <c r="M51" s="43" t="n">
        <f aca="false">M46-M50</f>
        <v>589978.151306582</v>
      </c>
      <c r="N51" s="43" t="n">
        <f aca="false">N46-N50</f>
        <v>410486.036297616</v>
      </c>
      <c r="O51" s="41" t="n">
        <f aca="false">SUM(H51:N51)</f>
        <v>4338813.17379247</v>
      </c>
    </row>
    <row r="52" customFormat="false" ht="15" hidden="false" customHeight="false" outlineLevel="0" collapsed="false">
      <c r="B52" s="27" t="s">
        <v>193</v>
      </c>
      <c r="H52" s="40" t="n">
        <f aca="false">H48-H50</f>
        <v>3867.5</v>
      </c>
      <c r="I52" s="40" t="n">
        <f aca="false">I48-I50</f>
        <v>9033.51750000002</v>
      </c>
      <c r="J52" s="40" t="n">
        <f aca="false">J48-J50</f>
        <v>58558.5525</v>
      </c>
      <c r="K52" s="40" t="n">
        <f aca="false">K48-K50</f>
        <v>119276.1675</v>
      </c>
      <c r="L52" s="40" t="n">
        <f aca="false">L48-L50</f>
        <v>16449.3</v>
      </c>
      <c r="M52" s="40" t="n">
        <f aca="false">M48-M50</f>
        <v>44177.5425</v>
      </c>
      <c r="N52" s="40" t="n">
        <f aca="false">N48-N50</f>
        <v>25238.7975</v>
      </c>
      <c r="O52" s="41" t="n">
        <f aca="false">SUM(H52:N52)</f>
        <v>276601.3775</v>
      </c>
    </row>
    <row r="53" customFormat="false" ht="15" hidden="false" customHeight="false" outlineLevel="0" collapsed="false">
      <c r="B53" s="27" t="s">
        <v>194</v>
      </c>
      <c r="H53" s="40" t="n">
        <f aca="false">IF(H$3=2,H33*Parámetros!$C$10/(1+Parámetros!$C$10),0)</f>
        <v>0</v>
      </c>
      <c r="I53" s="40" t="n">
        <f aca="false">IF(I$3=2,I33*Parámetros!$C$10/(1+Parámetros!$C$10),0)</f>
        <v>139096.504166667</v>
      </c>
      <c r="J53" s="40" t="n">
        <f aca="false">IF(J$3=2,J33*Parámetros!$C$10/(1+Parámetros!$C$10),0)</f>
        <v>0</v>
      </c>
      <c r="K53" s="40" t="n">
        <f aca="false">IF(K$3=2,K33*Parámetros!$C$10/(1+Parámetros!$C$10),0)</f>
        <v>0</v>
      </c>
      <c r="L53" s="40" t="n">
        <f aca="false">IF(L$3=2,L33*Parámetros!$C$10/(1+Parámetros!$C$10),0)</f>
        <v>0</v>
      </c>
      <c r="M53" s="40" t="n">
        <f aca="false">IF(M$3=2,M33*Parámetros!$C$10/(1+Parámetros!$C$10),0)</f>
        <v>0</v>
      </c>
      <c r="N53" s="40" t="n">
        <f aca="false">IF(N$3=2,N33*Parámetros!$C$10/(1+Parámetros!$C$10),0)</f>
        <v>0</v>
      </c>
      <c r="O53" s="41" t="n">
        <f aca="false">SUM(H53:N53)</f>
        <v>139096.504166667</v>
      </c>
    </row>
    <row r="54" customFormat="false" ht="15" hidden="false" customHeight="false" outlineLevel="0" collapsed="false">
      <c r="B54" s="27" t="s">
        <v>195</v>
      </c>
      <c r="H54" s="40" t="n">
        <f aca="false">Parámetros!$C$13*H33</f>
        <v>5334.4683</v>
      </c>
      <c r="I54" s="40" t="n">
        <f aca="false">Parámetros!$C$13*I33</f>
        <v>21460.6035</v>
      </c>
      <c r="J54" s="40" t="n">
        <f aca="false">Parámetros!$C$13*J33</f>
        <v>48516.5709</v>
      </c>
      <c r="K54" s="40" t="n">
        <f aca="false">Parámetros!$C$13*K33</f>
        <v>103962.4572</v>
      </c>
      <c r="L54" s="40" t="n">
        <f aca="false">Parámetros!$C$13*L33</f>
        <v>15205.386</v>
      </c>
      <c r="M54" s="40" t="n">
        <f aca="false">Parámetros!$C$13*M33</f>
        <v>23360.4903</v>
      </c>
      <c r="N54" s="40" t="n">
        <f aca="false">Parámetros!$C$13*N33</f>
        <v>16488.7401</v>
      </c>
      <c r="O54" s="41" t="n">
        <f aca="false">SUM(H54:N54)</f>
        <v>234328.7163</v>
      </c>
    </row>
    <row r="56" customFormat="false" ht="15" hidden="false" customHeight="false" outlineLevel="0" collapsed="false">
      <c r="B56" s="44" t="s">
        <v>196</v>
      </c>
      <c r="O56" s="45" t="n">
        <f aca="false">ROUND(O46-O47-O48-O49,0)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J2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3" min="3" style="0" width="11"/>
    <col collapsed="false" customWidth="true" hidden="false" outlineLevel="0" max="4" min="4" style="0" width="3"/>
    <col collapsed="false" customWidth="true" hidden="false" outlineLevel="0" max="5" min="5" style="0" width="11"/>
    <col collapsed="false" customWidth="true" hidden="false" outlineLevel="0" max="6" min="6" style="0" width="7"/>
    <col collapsed="false" customWidth="true" hidden="false" outlineLevel="0" max="8" min="7" style="0" width="8"/>
    <col collapsed="false" customWidth="true" hidden="false" outlineLevel="0" max="9" min="9" style="0" width="10"/>
    <col collapsed="false" customWidth="true" hidden="false" outlineLevel="0" max="10" min="10" style="0" width="13"/>
  </cols>
  <sheetData>
    <row r="1" customFormat="false" ht="15" hidden="false" customHeight="false" outlineLevel="0" collapsed="false">
      <c r="A1" s="34" t="s">
        <v>197</v>
      </c>
    </row>
    <row r="2" customFormat="false" ht="15" hidden="false" customHeight="false" outlineLevel="0" collapsed="false">
      <c r="A2" s="1" t="s">
        <v>198</v>
      </c>
    </row>
    <row r="4" customFormat="false" ht="15" hidden="false" customHeight="false" outlineLevel="0" collapsed="false">
      <c r="A4" s="26" t="s">
        <v>199</v>
      </c>
      <c r="B4" s="26" t="s">
        <v>200</v>
      </c>
      <c r="C4" s="26" t="s">
        <v>201</v>
      </c>
      <c r="E4" s="26" t="s">
        <v>116</v>
      </c>
      <c r="F4" s="26" t="s">
        <v>48</v>
      </c>
      <c r="G4" s="26" t="s">
        <v>199</v>
      </c>
      <c r="H4" s="26" t="s">
        <v>202</v>
      </c>
      <c r="I4" s="26" t="s">
        <v>203</v>
      </c>
      <c r="J4" s="26" t="s">
        <v>204</v>
      </c>
    </row>
    <row r="5" customFormat="false" ht="15" hidden="false" customHeight="false" outlineLevel="0" collapsed="false">
      <c r="A5" s="27" t="s">
        <v>205</v>
      </c>
      <c r="B5" s="27" t="s">
        <v>206</v>
      </c>
      <c r="C5" s="46" t="n">
        <v>256.515</v>
      </c>
      <c r="E5" s="27" t="s">
        <v>123</v>
      </c>
      <c r="F5" s="27" t="s">
        <v>21</v>
      </c>
      <c r="G5" s="27" t="s">
        <v>205</v>
      </c>
      <c r="H5" s="47" t="n">
        <v>20</v>
      </c>
      <c r="I5" s="48" t="n">
        <f aca="false">INDEX($C$5:$C$26,MATCH(G5,$A$5:$A$26,0))</f>
        <v>256.515</v>
      </c>
      <c r="J5" s="40" t="n">
        <f aca="false">H5*I5</f>
        <v>5130.3</v>
      </c>
    </row>
    <row r="6" customFormat="false" ht="15" hidden="false" customHeight="false" outlineLevel="0" collapsed="false">
      <c r="A6" s="27" t="s">
        <v>207</v>
      </c>
      <c r="B6" s="27" t="s">
        <v>208</v>
      </c>
      <c r="C6" s="46" t="n">
        <v>236.67</v>
      </c>
      <c r="E6" s="27" t="s">
        <v>123</v>
      </c>
      <c r="F6" s="27" t="s">
        <v>21</v>
      </c>
      <c r="G6" s="27" t="s">
        <v>207</v>
      </c>
      <c r="H6" s="47" t="n">
        <v>40</v>
      </c>
      <c r="I6" s="48" t="n">
        <f aca="false">INDEX($C$5:$C$26,MATCH(G6,$A$5:$A$26,0))</f>
        <v>236.67</v>
      </c>
      <c r="J6" s="40" t="n">
        <f aca="false">H6*I6</f>
        <v>9466.8</v>
      </c>
    </row>
    <row r="7" customFormat="false" ht="15" hidden="false" customHeight="false" outlineLevel="0" collapsed="false">
      <c r="A7" s="27" t="s">
        <v>209</v>
      </c>
      <c r="B7" s="27" t="s">
        <v>210</v>
      </c>
      <c r="C7" s="46" t="n">
        <v>224.175</v>
      </c>
      <c r="E7" s="27" t="s">
        <v>123</v>
      </c>
      <c r="F7" s="27" t="s">
        <v>21</v>
      </c>
      <c r="G7" s="27" t="s">
        <v>209</v>
      </c>
      <c r="H7" s="47" t="n">
        <v>40</v>
      </c>
      <c r="I7" s="48" t="n">
        <f aca="false">INDEX($C$5:$C$26,MATCH(G7,$A$5:$A$26,0))</f>
        <v>224.175</v>
      </c>
      <c r="J7" s="40" t="n">
        <f aca="false">H7*I7</f>
        <v>8967</v>
      </c>
    </row>
    <row r="8" customFormat="false" ht="15" hidden="false" customHeight="false" outlineLevel="0" collapsed="false">
      <c r="A8" s="27" t="s">
        <v>211</v>
      </c>
      <c r="B8" s="27" t="s">
        <v>212</v>
      </c>
      <c r="C8" s="46" t="n">
        <v>206.535</v>
      </c>
      <c r="E8" s="27" t="s">
        <v>123</v>
      </c>
      <c r="F8" s="27" t="s">
        <v>21</v>
      </c>
      <c r="G8" s="27" t="s">
        <v>213</v>
      </c>
      <c r="H8" s="47" t="n">
        <v>55</v>
      </c>
      <c r="I8" s="48" t="n">
        <f aca="false">INDEX($C$5:$C$26,MATCH(G8,$A$5:$A$26,0))</f>
        <v>145.53</v>
      </c>
      <c r="J8" s="40" t="n">
        <f aca="false">H8*I8</f>
        <v>8004.15</v>
      </c>
    </row>
    <row r="9" customFormat="false" ht="15" hidden="false" customHeight="false" outlineLevel="0" collapsed="false">
      <c r="A9" s="27" t="s">
        <v>214</v>
      </c>
      <c r="B9" s="27" t="s">
        <v>215</v>
      </c>
      <c r="C9" s="46" t="n">
        <v>182.28</v>
      </c>
      <c r="E9" s="27" t="s">
        <v>123</v>
      </c>
      <c r="F9" s="27" t="s">
        <v>21</v>
      </c>
      <c r="G9" s="27" t="s">
        <v>216</v>
      </c>
      <c r="H9" s="47" t="n">
        <v>30</v>
      </c>
      <c r="I9" s="48" t="n">
        <f aca="false">INDEX($C$5:$C$26,MATCH(G9,$A$5:$A$26,0))</f>
        <v>121.275</v>
      </c>
      <c r="J9" s="40" t="n">
        <f aca="false">H9*I9</f>
        <v>3638.25</v>
      </c>
    </row>
    <row r="10" customFormat="false" ht="15" hidden="false" customHeight="false" outlineLevel="0" collapsed="false">
      <c r="A10" s="27" t="s">
        <v>213</v>
      </c>
      <c r="B10" s="27" t="s">
        <v>217</v>
      </c>
      <c r="C10" s="46" t="n">
        <v>145.53</v>
      </c>
      <c r="E10" s="27" t="s">
        <v>123</v>
      </c>
      <c r="F10" s="27" t="s">
        <v>57</v>
      </c>
      <c r="G10" s="27" t="s">
        <v>205</v>
      </c>
      <c r="H10" s="47" t="n">
        <v>30</v>
      </c>
      <c r="I10" s="48" t="n">
        <f aca="false">INDEX($C$5:$C$26,MATCH(G10,$A$5:$A$26,0))</f>
        <v>256.515</v>
      </c>
      <c r="J10" s="40" t="n">
        <f aca="false">H10*I10</f>
        <v>7695.45</v>
      </c>
    </row>
    <row r="11" customFormat="false" ht="15" hidden="false" customHeight="false" outlineLevel="0" collapsed="false">
      <c r="A11" s="27" t="s">
        <v>216</v>
      </c>
      <c r="B11" s="27" t="s">
        <v>218</v>
      </c>
      <c r="C11" s="46" t="n">
        <v>121.275</v>
      </c>
      <c r="E11" s="27" t="s">
        <v>123</v>
      </c>
      <c r="F11" s="27" t="s">
        <v>57</v>
      </c>
      <c r="G11" s="27" t="s">
        <v>207</v>
      </c>
      <c r="H11" s="47" t="n">
        <v>55</v>
      </c>
      <c r="I11" s="48" t="n">
        <f aca="false">INDEX($C$5:$C$26,MATCH(G11,$A$5:$A$26,0))</f>
        <v>236.67</v>
      </c>
      <c r="J11" s="40" t="n">
        <f aca="false">H11*I11</f>
        <v>13016.85</v>
      </c>
    </row>
    <row r="12" customFormat="false" ht="15" hidden="false" customHeight="false" outlineLevel="0" collapsed="false">
      <c r="A12" s="27" t="s">
        <v>219</v>
      </c>
      <c r="B12" s="27" t="s">
        <v>220</v>
      </c>
      <c r="C12" s="46" t="n">
        <v>360.15</v>
      </c>
      <c r="E12" s="27" t="s">
        <v>123</v>
      </c>
      <c r="F12" s="27" t="s">
        <v>57</v>
      </c>
      <c r="G12" s="27" t="s">
        <v>209</v>
      </c>
      <c r="H12" s="47" t="n">
        <v>75</v>
      </c>
      <c r="I12" s="48" t="n">
        <f aca="false">INDEX($C$5:$C$26,MATCH(G12,$A$5:$A$26,0))</f>
        <v>224.175</v>
      </c>
      <c r="J12" s="40" t="n">
        <f aca="false">H12*I12</f>
        <v>16813.125</v>
      </c>
    </row>
    <row r="13" customFormat="false" ht="15" hidden="false" customHeight="false" outlineLevel="0" collapsed="false">
      <c r="A13" s="27" t="s">
        <v>221</v>
      </c>
      <c r="B13" s="27" t="s">
        <v>222</v>
      </c>
      <c r="C13" s="46" t="n">
        <v>349.125</v>
      </c>
      <c r="E13" s="27" t="s">
        <v>123</v>
      </c>
      <c r="F13" s="27" t="s">
        <v>57</v>
      </c>
      <c r="G13" s="27" t="s">
        <v>213</v>
      </c>
      <c r="H13" s="47" t="n">
        <v>105</v>
      </c>
      <c r="I13" s="48" t="n">
        <f aca="false">INDEX($C$5:$C$26,MATCH(G13,$A$5:$A$26,0))</f>
        <v>145.53</v>
      </c>
      <c r="J13" s="40" t="n">
        <f aca="false">H13*I13</f>
        <v>15280.65</v>
      </c>
    </row>
    <row r="14" customFormat="false" ht="15" hidden="false" customHeight="false" outlineLevel="0" collapsed="false">
      <c r="A14" s="27" t="s">
        <v>223</v>
      </c>
      <c r="B14" s="27" t="s">
        <v>224</v>
      </c>
      <c r="C14" s="46" t="n">
        <v>323.4</v>
      </c>
      <c r="E14" s="27" t="s">
        <v>123</v>
      </c>
      <c r="F14" s="27" t="s">
        <v>57</v>
      </c>
      <c r="G14" s="27" t="s">
        <v>216</v>
      </c>
      <c r="H14" s="47" t="n">
        <v>50</v>
      </c>
      <c r="I14" s="48" t="n">
        <f aca="false">INDEX($C$5:$C$26,MATCH(G14,$A$5:$A$26,0))</f>
        <v>121.275</v>
      </c>
      <c r="J14" s="40" t="n">
        <f aca="false">H14*I14</f>
        <v>6063.75</v>
      </c>
    </row>
    <row r="15" customFormat="false" ht="15" hidden="false" customHeight="false" outlineLevel="0" collapsed="false">
      <c r="A15" s="27" t="s">
        <v>225</v>
      </c>
      <c r="B15" s="27" t="s">
        <v>226</v>
      </c>
      <c r="C15" s="46" t="n">
        <v>360.15</v>
      </c>
      <c r="E15" s="27" t="s">
        <v>123</v>
      </c>
      <c r="F15" s="27" t="s">
        <v>58</v>
      </c>
      <c r="G15" s="27" t="s">
        <v>205</v>
      </c>
      <c r="H15" s="47" t="n">
        <v>35</v>
      </c>
      <c r="I15" s="48" t="n">
        <f aca="false">INDEX($C$5:$C$26,MATCH(G15,$A$5:$A$26,0))</f>
        <v>256.515</v>
      </c>
      <c r="J15" s="40" t="n">
        <f aca="false">H15*I15</f>
        <v>8978.025</v>
      </c>
    </row>
    <row r="16" customFormat="false" ht="15" hidden="false" customHeight="false" outlineLevel="0" collapsed="false">
      <c r="A16" s="27" t="s">
        <v>227</v>
      </c>
      <c r="B16" s="27" t="s">
        <v>228</v>
      </c>
      <c r="C16" s="46" t="n">
        <v>293.265</v>
      </c>
      <c r="E16" s="27" t="s">
        <v>123</v>
      </c>
      <c r="F16" s="27" t="s">
        <v>58</v>
      </c>
      <c r="G16" s="27" t="s">
        <v>207</v>
      </c>
      <c r="H16" s="47" t="n">
        <v>80</v>
      </c>
      <c r="I16" s="48" t="n">
        <f aca="false">INDEX($C$5:$C$26,MATCH(G16,$A$5:$A$26,0))</f>
        <v>236.67</v>
      </c>
      <c r="J16" s="40" t="n">
        <f aca="false">H16*I16</f>
        <v>18933.6</v>
      </c>
    </row>
    <row r="17" customFormat="false" ht="15" hidden="false" customHeight="false" outlineLevel="0" collapsed="false">
      <c r="A17" s="27" t="s">
        <v>229</v>
      </c>
      <c r="B17" s="27" t="s">
        <v>230</v>
      </c>
      <c r="C17" s="46" t="n">
        <v>260.19</v>
      </c>
      <c r="E17" s="27" t="s">
        <v>123</v>
      </c>
      <c r="F17" s="27" t="s">
        <v>58</v>
      </c>
      <c r="G17" s="27" t="s">
        <v>209</v>
      </c>
      <c r="H17" s="47" t="n">
        <v>95</v>
      </c>
      <c r="I17" s="48" t="n">
        <f aca="false">INDEX($C$5:$C$26,MATCH(G17,$A$5:$A$26,0))</f>
        <v>224.175</v>
      </c>
      <c r="J17" s="40" t="n">
        <f aca="false">H17*I17</f>
        <v>21296.625</v>
      </c>
    </row>
    <row r="18" customFormat="false" ht="15" hidden="false" customHeight="false" outlineLevel="0" collapsed="false">
      <c r="A18" s="27" t="s">
        <v>231</v>
      </c>
      <c r="B18" s="27" t="s">
        <v>232</v>
      </c>
      <c r="C18" s="46" t="n">
        <v>169.785</v>
      </c>
      <c r="E18" s="27" t="s">
        <v>123</v>
      </c>
      <c r="F18" s="27" t="s">
        <v>58</v>
      </c>
      <c r="G18" s="27" t="s">
        <v>214</v>
      </c>
      <c r="H18" s="47" t="n">
        <v>115</v>
      </c>
      <c r="I18" s="48" t="n">
        <f aca="false">INDEX($C$5:$C$26,MATCH(G18,$A$5:$A$26,0))</f>
        <v>182.28</v>
      </c>
      <c r="J18" s="40" t="n">
        <f aca="false">H18*I18</f>
        <v>20962.2</v>
      </c>
    </row>
    <row r="19" customFormat="false" ht="15" hidden="false" customHeight="false" outlineLevel="0" collapsed="false">
      <c r="A19" s="27" t="s">
        <v>233</v>
      </c>
      <c r="B19" s="27" t="s">
        <v>234</v>
      </c>
      <c r="C19" s="46" t="n">
        <v>151.41</v>
      </c>
      <c r="E19" s="27" t="s">
        <v>123</v>
      </c>
      <c r="F19" s="27" t="s">
        <v>58</v>
      </c>
      <c r="G19" s="27" t="s">
        <v>213</v>
      </c>
      <c r="H19" s="47" t="n">
        <v>105</v>
      </c>
      <c r="I19" s="48" t="n">
        <f aca="false">INDEX($C$5:$C$26,MATCH(G19,$A$5:$A$26,0))</f>
        <v>145.53</v>
      </c>
      <c r="J19" s="40" t="n">
        <f aca="false">H19*I19</f>
        <v>15280.65</v>
      </c>
    </row>
    <row r="20" customFormat="false" ht="15" hidden="false" customHeight="false" outlineLevel="0" collapsed="false">
      <c r="A20" s="27" t="s">
        <v>235</v>
      </c>
      <c r="B20" s="27" t="s">
        <v>236</v>
      </c>
      <c r="C20" s="46" t="n">
        <v>121.275</v>
      </c>
      <c r="E20" s="27" t="s">
        <v>28</v>
      </c>
      <c r="F20" s="27" t="s">
        <v>28</v>
      </c>
      <c r="G20" s="27" t="s">
        <v>205</v>
      </c>
      <c r="H20" s="47" t="n">
        <v>210</v>
      </c>
      <c r="I20" s="48" t="n">
        <f aca="false">INDEX($C$5:$C$26,MATCH(G20,$A$5:$A$26,0))</f>
        <v>256.515</v>
      </c>
      <c r="J20" s="40" t="n">
        <f aca="false">H20*I20</f>
        <v>53868.15</v>
      </c>
    </row>
    <row r="21" customFormat="false" ht="15" hidden="false" customHeight="false" outlineLevel="0" collapsed="false">
      <c r="A21" s="27" t="s">
        <v>237</v>
      </c>
      <c r="B21" s="27" t="s">
        <v>238</v>
      </c>
      <c r="C21" s="46" t="n">
        <v>221.235</v>
      </c>
      <c r="E21" s="27" t="s">
        <v>28</v>
      </c>
      <c r="F21" s="27" t="s">
        <v>28</v>
      </c>
      <c r="G21" s="27" t="s">
        <v>207</v>
      </c>
      <c r="H21" s="47" t="n">
        <v>180</v>
      </c>
      <c r="I21" s="48" t="n">
        <f aca="false">INDEX($C$5:$C$26,MATCH(G21,$A$5:$A$26,0))</f>
        <v>236.67</v>
      </c>
      <c r="J21" s="40" t="n">
        <f aca="false">H21*I21</f>
        <v>42600.6</v>
      </c>
    </row>
    <row r="22" customFormat="false" ht="15" hidden="false" customHeight="false" outlineLevel="0" collapsed="false">
      <c r="A22" s="27" t="s">
        <v>239</v>
      </c>
      <c r="B22" s="27" t="s">
        <v>240</v>
      </c>
      <c r="C22" s="46" t="n">
        <v>199.92</v>
      </c>
      <c r="E22" s="27" t="s">
        <v>28</v>
      </c>
      <c r="F22" s="27" t="s">
        <v>28</v>
      </c>
      <c r="G22" s="27" t="s">
        <v>209</v>
      </c>
      <c r="H22" s="47" t="n">
        <v>180</v>
      </c>
      <c r="I22" s="48" t="n">
        <f aca="false">INDEX($C$5:$C$26,MATCH(G22,$A$5:$A$26,0))</f>
        <v>224.175</v>
      </c>
      <c r="J22" s="40" t="n">
        <f aca="false">H22*I22</f>
        <v>40351.5</v>
      </c>
    </row>
    <row r="23" customFormat="false" ht="15" hidden="false" customHeight="false" outlineLevel="0" collapsed="false">
      <c r="A23" s="27" t="s">
        <v>241</v>
      </c>
      <c r="B23" s="27" t="s">
        <v>242</v>
      </c>
      <c r="C23" s="46" t="n">
        <v>102.9</v>
      </c>
      <c r="E23" s="27" t="s">
        <v>28</v>
      </c>
      <c r="F23" s="27" t="s">
        <v>28</v>
      </c>
      <c r="G23" s="27" t="s">
        <v>211</v>
      </c>
      <c r="H23" s="47" t="n">
        <v>55</v>
      </c>
      <c r="I23" s="48" t="n">
        <f aca="false">INDEX($C$5:$C$26,MATCH(G23,$A$5:$A$26,0))</f>
        <v>206.535</v>
      </c>
      <c r="J23" s="40" t="n">
        <f aca="false">H23*I23</f>
        <v>11359.425</v>
      </c>
    </row>
    <row r="24" customFormat="false" ht="15" hidden="false" customHeight="false" outlineLevel="0" collapsed="false">
      <c r="A24" s="27" t="s">
        <v>243</v>
      </c>
      <c r="B24" s="27" t="s">
        <v>244</v>
      </c>
      <c r="C24" s="46" t="n">
        <v>105.84</v>
      </c>
      <c r="E24" s="27" t="s">
        <v>28</v>
      </c>
      <c r="F24" s="27" t="s">
        <v>21</v>
      </c>
      <c r="G24" s="27" t="s">
        <v>205</v>
      </c>
      <c r="H24" s="47" t="n">
        <v>395</v>
      </c>
      <c r="I24" s="48" t="n">
        <f aca="false">INDEX($C$5:$C$26,MATCH(G24,$A$5:$A$26,0))</f>
        <v>256.515</v>
      </c>
      <c r="J24" s="40" t="n">
        <f aca="false">H24*I24</f>
        <v>101323.425</v>
      </c>
    </row>
    <row r="25" customFormat="false" ht="15" hidden="false" customHeight="false" outlineLevel="0" collapsed="false">
      <c r="A25" s="27" t="s">
        <v>245</v>
      </c>
      <c r="B25" s="27" t="s">
        <v>246</v>
      </c>
      <c r="C25" s="46" t="n">
        <v>85.26</v>
      </c>
      <c r="E25" s="27" t="s">
        <v>28</v>
      </c>
      <c r="F25" s="27" t="s">
        <v>21</v>
      </c>
      <c r="G25" s="27" t="s">
        <v>207</v>
      </c>
      <c r="H25" s="47" t="n">
        <v>380</v>
      </c>
      <c r="I25" s="48" t="n">
        <f aca="false">INDEX($C$5:$C$26,MATCH(G25,$A$5:$A$26,0))</f>
        <v>236.67</v>
      </c>
      <c r="J25" s="40" t="n">
        <f aca="false">H25*I25</f>
        <v>89934.6</v>
      </c>
    </row>
    <row r="26" customFormat="false" ht="15" hidden="false" customHeight="false" outlineLevel="0" collapsed="false">
      <c r="A26" s="27" t="s">
        <v>247</v>
      </c>
      <c r="B26" s="27" t="s">
        <v>248</v>
      </c>
      <c r="C26" s="46" t="n">
        <v>66.885</v>
      </c>
      <c r="E26" s="27" t="s">
        <v>28</v>
      </c>
      <c r="F26" s="27" t="s">
        <v>21</v>
      </c>
      <c r="G26" s="27" t="s">
        <v>209</v>
      </c>
      <c r="H26" s="47" t="n">
        <v>295</v>
      </c>
      <c r="I26" s="48" t="n">
        <f aca="false">INDEX($C$5:$C$26,MATCH(G26,$A$5:$A$26,0))</f>
        <v>224.175</v>
      </c>
      <c r="J26" s="40" t="n">
        <f aca="false">H26*I26</f>
        <v>66131.625</v>
      </c>
    </row>
    <row r="27" customFormat="false" ht="15" hidden="false" customHeight="false" outlineLevel="0" collapsed="false">
      <c r="E27" s="27" t="s">
        <v>28</v>
      </c>
      <c r="F27" s="27" t="s">
        <v>21</v>
      </c>
      <c r="G27" s="27" t="s">
        <v>211</v>
      </c>
      <c r="H27" s="47" t="n">
        <v>130</v>
      </c>
      <c r="I27" s="48" t="n">
        <f aca="false">INDEX($C$5:$C$26,MATCH(G27,$A$5:$A$26,0))</f>
        <v>206.535</v>
      </c>
      <c r="J27" s="40" t="n">
        <f aca="false">H27*I27</f>
        <v>26849.55</v>
      </c>
    </row>
    <row r="28" customFormat="false" ht="15" hidden="false" customHeight="false" outlineLevel="0" collapsed="false">
      <c r="E28" s="27" t="s">
        <v>128</v>
      </c>
      <c r="F28" s="27" t="s">
        <v>57</v>
      </c>
      <c r="G28" s="27" t="s">
        <v>205</v>
      </c>
      <c r="H28" s="47" t="n">
        <v>275</v>
      </c>
      <c r="I28" s="48" t="n">
        <f aca="false">INDEX($C$5:$C$26,MATCH(G28,$A$5:$A$26,0))</f>
        <v>256.515</v>
      </c>
      <c r="J28" s="40" t="n">
        <f aca="false">H28*I28</f>
        <v>70541.625</v>
      </c>
    </row>
    <row r="29" customFormat="false" ht="15" hidden="false" customHeight="false" outlineLevel="0" collapsed="false">
      <c r="E29" s="27" t="s">
        <v>128</v>
      </c>
      <c r="F29" s="27" t="s">
        <v>57</v>
      </c>
      <c r="G29" s="27" t="s">
        <v>207</v>
      </c>
      <c r="H29" s="47" t="n">
        <v>505</v>
      </c>
      <c r="I29" s="48" t="n">
        <f aca="false">INDEX($C$5:$C$26,MATCH(G29,$A$5:$A$26,0))</f>
        <v>236.67</v>
      </c>
      <c r="J29" s="40" t="n">
        <f aca="false">H29*I29</f>
        <v>119518.35</v>
      </c>
    </row>
    <row r="30" customFormat="false" ht="15" hidden="false" customHeight="false" outlineLevel="0" collapsed="false">
      <c r="E30" s="27" t="s">
        <v>128</v>
      </c>
      <c r="F30" s="27" t="s">
        <v>57</v>
      </c>
      <c r="G30" s="27" t="s">
        <v>209</v>
      </c>
      <c r="H30" s="47" t="n">
        <v>475</v>
      </c>
      <c r="I30" s="48" t="n">
        <f aca="false">INDEX($C$5:$C$26,MATCH(G30,$A$5:$A$26,0))</f>
        <v>224.175</v>
      </c>
      <c r="J30" s="40" t="n">
        <f aca="false">H30*I30</f>
        <v>106483.125</v>
      </c>
    </row>
    <row r="31" customFormat="false" ht="15" hidden="false" customHeight="false" outlineLevel="0" collapsed="false">
      <c r="E31" s="27" t="s">
        <v>128</v>
      </c>
      <c r="F31" s="27" t="s">
        <v>57</v>
      </c>
      <c r="G31" s="27" t="s">
        <v>211</v>
      </c>
      <c r="H31" s="47" t="n">
        <v>130</v>
      </c>
      <c r="I31" s="48" t="n">
        <f aca="false">INDEX($C$5:$C$26,MATCH(G31,$A$5:$A$26,0))</f>
        <v>206.535</v>
      </c>
      <c r="J31" s="40" t="n">
        <f aca="false">H31*I31</f>
        <v>26849.55</v>
      </c>
    </row>
    <row r="32" customFormat="false" ht="15" hidden="false" customHeight="false" outlineLevel="0" collapsed="false">
      <c r="E32" s="27" t="s">
        <v>128</v>
      </c>
      <c r="F32" s="27" t="s">
        <v>58</v>
      </c>
      <c r="G32" s="27" t="s">
        <v>205</v>
      </c>
      <c r="H32" s="47" t="n">
        <v>210</v>
      </c>
      <c r="I32" s="48" t="n">
        <f aca="false">INDEX($C$5:$C$26,MATCH(G32,$A$5:$A$26,0))</f>
        <v>256.515</v>
      </c>
      <c r="J32" s="40" t="n">
        <f aca="false">H32*I32</f>
        <v>53868.15</v>
      </c>
    </row>
    <row r="33" customFormat="false" ht="15" hidden="false" customHeight="false" outlineLevel="0" collapsed="false">
      <c r="E33" s="27" t="s">
        <v>128</v>
      </c>
      <c r="F33" s="27" t="s">
        <v>58</v>
      </c>
      <c r="G33" s="27" t="s">
        <v>207</v>
      </c>
      <c r="H33" s="47" t="n">
        <v>370</v>
      </c>
      <c r="I33" s="48" t="n">
        <f aca="false">INDEX($C$5:$C$26,MATCH(G33,$A$5:$A$26,0))</f>
        <v>236.67</v>
      </c>
      <c r="J33" s="40" t="n">
        <f aca="false">H33*I33</f>
        <v>87567.9</v>
      </c>
    </row>
    <row r="34" customFormat="false" ht="15" hidden="false" customHeight="false" outlineLevel="0" collapsed="false">
      <c r="E34" s="27" t="s">
        <v>128</v>
      </c>
      <c r="F34" s="27" t="s">
        <v>58</v>
      </c>
      <c r="G34" s="27" t="s">
        <v>209</v>
      </c>
      <c r="H34" s="47" t="n">
        <v>360</v>
      </c>
      <c r="I34" s="48" t="n">
        <f aca="false">INDEX($C$5:$C$26,MATCH(G34,$A$5:$A$26,0))</f>
        <v>224.175</v>
      </c>
      <c r="J34" s="40" t="n">
        <f aca="false">H34*I34</f>
        <v>80703</v>
      </c>
    </row>
    <row r="35" customFormat="false" ht="15" hidden="false" customHeight="false" outlineLevel="0" collapsed="false">
      <c r="E35" s="27" t="s">
        <v>128</v>
      </c>
      <c r="F35" s="27" t="s">
        <v>58</v>
      </c>
      <c r="G35" s="27" t="s">
        <v>211</v>
      </c>
      <c r="H35" s="47" t="n">
        <v>75</v>
      </c>
      <c r="I35" s="48" t="n">
        <f aca="false">INDEX($C$5:$C$26,MATCH(G35,$A$5:$A$26,0))</f>
        <v>206.535</v>
      </c>
      <c r="J35" s="40" t="n">
        <f aca="false">H35*I35</f>
        <v>15490.125</v>
      </c>
    </row>
    <row r="36" customFormat="false" ht="15" hidden="false" customHeight="false" outlineLevel="0" collapsed="false">
      <c r="E36" s="27" t="s">
        <v>128</v>
      </c>
      <c r="F36" s="27" t="s">
        <v>60</v>
      </c>
      <c r="G36" s="27" t="s">
        <v>205</v>
      </c>
      <c r="H36" s="47" t="n">
        <v>130</v>
      </c>
      <c r="I36" s="48" t="n">
        <f aca="false">INDEX($C$5:$C$26,MATCH(G36,$A$5:$A$26,0))</f>
        <v>256.515</v>
      </c>
      <c r="J36" s="40" t="n">
        <f aca="false">H36*I36</f>
        <v>33346.95</v>
      </c>
    </row>
    <row r="37" customFormat="false" ht="15" hidden="false" customHeight="false" outlineLevel="0" collapsed="false">
      <c r="E37" s="27" t="s">
        <v>128</v>
      </c>
      <c r="F37" s="27" t="s">
        <v>60</v>
      </c>
      <c r="G37" s="27" t="s">
        <v>207</v>
      </c>
      <c r="H37" s="47" t="n">
        <v>120</v>
      </c>
      <c r="I37" s="48" t="n">
        <f aca="false">INDEX($C$5:$C$26,MATCH(G37,$A$5:$A$26,0))</f>
        <v>236.67</v>
      </c>
      <c r="J37" s="40" t="n">
        <f aca="false">H37*I37</f>
        <v>28400.4</v>
      </c>
    </row>
    <row r="38" customFormat="false" ht="15" hidden="false" customHeight="false" outlineLevel="0" collapsed="false">
      <c r="E38" s="27" t="s">
        <v>128</v>
      </c>
      <c r="F38" s="27" t="s">
        <v>60</v>
      </c>
      <c r="G38" s="27" t="s">
        <v>209</v>
      </c>
      <c r="H38" s="47" t="n">
        <v>105</v>
      </c>
      <c r="I38" s="48" t="n">
        <f aca="false">INDEX($C$5:$C$26,MATCH(G38,$A$5:$A$26,0))</f>
        <v>224.175</v>
      </c>
      <c r="J38" s="40" t="n">
        <f aca="false">H38*I38</f>
        <v>23538.375</v>
      </c>
    </row>
    <row r="39" customFormat="false" ht="15" hidden="false" customHeight="false" outlineLevel="0" collapsed="false">
      <c r="E39" s="27" t="s">
        <v>128</v>
      </c>
      <c r="F39" s="27" t="s">
        <v>60</v>
      </c>
      <c r="G39" s="27" t="s">
        <v>211</v>
      </c>
      <c r="H39" s="47" t="n">
        <v>35</v>
      </c>
      <c r="I39" s="48" t="n">
        <f aca="false">INDEX($C$5:$C$26,MATCH(G39,$A$5:$A$26,0))</f>
        <v>206.535</v>
      </c>
      <c r="J39" s="40" t="n">
        <f aca="false">H39*I39</f>
        <v>7228.725</v>
      </c>
    </row>
    <row r="40" customFormat="false" ht="15" hidden="false" customHeight="false" outlineLevel="0" collapsed="false">
      <c r="E40" s="27" t="s">
        <v>128</v>
      </c>
      <c r="F40" s="27" t="s">
        <v>61</v>
      </c>
      <c r="G40" s="27" t="s">
        <v>205</v>
      </c>
      <c r="H40" s="47" t="n">
        <v>65</v>
      </c>
      <c r="I40" s="48" t="n">
        <f aca="false">INDEX($C$5:$C$26,MATCH(G40,$A$5:$A$26,0))</f>
        <v>256.515</v>
      </c>
      <c r="J40" s="40" t="n">
        <f aca="false">H40*I40</f>
        <v>16673.475</v>
      </c>
    </row>
    <row r="41" customFormat="false" ht="15" hidden="false" customHeight="false" outlineLevel="0" collapsed="false">
      <c r="E41" s="27" t="s">
        <v>128</v>
      </c>
      <c r="F41" s="27" t="s">
        <v>61</v>
      </c>
      <c r="G41" s="27" t="s">
        <v>207</v>
      </c>
      <c r="H41" s="47" t="n">
        <v>75</v>
      </c>
      <c r="I41" s="48" t="n">
        <f aca="false">INDEX($C$5:$C$26,MATCH(G41,$A$5:$A$26,0))</f>
        <v>236.67</v>
      </c>
      <c r="J41" s="40" t="n">
        <f aca="false">H41*I41</f>
        <v>17750.25</v>
      </c>
    </row>
    <row r="42" customFormat="false" ht="15" hidden="false" customHeight="false" outlineLevel="0" collapsed="false">
      <c r="E42" s="27" t="s">
        <v>128</v>
      </c>
      <c r="F42" s="27" t="s">
        <v>61</v>
      </c>
      <c r="G42" s="27" t="s">
        <v>209</v>
      </c>
      <c r="H42" s="47" t="n">
        <v>65</v>
      </c>
      <c r="I42" s="48" t="n">
        <f aca="false">INDEX($C$5:$C$26,MATCH(G42,$A$5:$A$26,0))</f>
        <v>224.175</v>
      </c>
      <c r="J42" s="40" t="n">
        <f aca="false">H42*I42</f>
        <v>14571.375</v>
      </c>
    </row>
    <row r="43" customFormat="false" ht="15" hidden="false" customHeight="false" outlineLevel="0" collapsed="false">
      <c r="E43" s="27" t="s">
        <v>128</v>
      </c>
      <c r="F43" s="27" t="s">
        <v>61</v>
      </c>
      <c r="G43" s="27" t="s">
        <v>211</v>
      </c>
      <c r="H43" s="47" t="n">
        <v>40</v>
      </c>
      <c r="I43" s="48" t="n">
        <f aca="false">INDEX($C$5:$C$26,MATCH(G43,$A$5:$A$26,0))</f>
        <v>206.535</v>
      </c>
      <c r="J43" s="40" t="n">
        <f aca="false">H43*I43</f>
        <v>8261.4</v>
      </c>
    </row>
    <row r="44" customFormat="false" ht="15" hidden="false" customHeight="false" outlineLevel="0" collapsed="false">
      <c r="E44" s="27" t="s">
        <v>130</v>
      </c>
      <c r="F44" s="27" t="s">
        <v>58</v>
      </c>
      <c r="G44" s="27" t="s">
        <v>205</v>
      </c>
      <c r="H44" s="47" t="n">
        <v>180</v>
      </c>
      <c r="I44" s="48" t="n">
        <f aca="false">INDEX($C$5:$C$26,MATCH(G44,$A$5:$A$26,0))</f>
        <v>256.515</v>
      </c>
      <c r="J44" s="40" t="n">
        <f aca="false">H44*I44</f>
        <v>46172.7</v>
      </c>
    </row>
    <row r="45" customFormat="false" ht="15" hidden="false" customHeight="false" outlineLevel="0" collapsed="false">
      <c r="E45" s="27" t="s">
        <v>130</v>
      </c>
      <c r="F45" s="27" t="s">
        <v>58</v>
      </c>
      <c r="G45" s="27" t="s">
        <v>207</v>
      </c>
      <c r="H45" s="47" t="n">
        <v>380</v>
      </c>
      <c r="I45" s="48" t="n">
        <f aca="false">INDEX($C$5:$C$26,MATCH(G45,$A$5:$A$26,0))</f>
        <v>236.67</v>
      </c>
      <c r="J45" s="40" t="n">
        <f aca="false">H45*I45</f>
        <v>89934.6</v>
      </c>
    </row>
    <row r="46" customFormat="false" ht="15" hidden="false" customHeight="false" outlineLevel="0" collapsed="false">
      <c r="E46" s="27" t="s">
        <v>130</v>
      </c>
      <c r="F46" s="27" t="s">
        <v>58</v>
      </c>
      <c r="G46" s="27" t="s">
        <v>209</v>
      </c>
      <c r="H46" s="47" t="n">
        <v>315</v>
      </c>
      <c r="I46" s="48" t="n">
        <f aca="false">INDEX($C$5:$C$26,MATCH(G46,$A$5:$A$26,0))</f>
        <v>224.175</v>
      </c>
      <c r="J46" s="40" t="n">
        <f aca="false">H46*I46</f>
        <v>70615.125</v>
      </c>
    </row>
    <row r="47" customFormat="false" ht="15" hidden="false" customHeight="false" outlineLevel="0" collapsed="false">
      <c r="E47" s="27" t="s">
        <v>130</v>
      </c>
      <c r="F47" s="27" t="s">
        <v>58</v>
      </c>
      <c r="G47" s="27" t="s">
        <v>211</v>
      </c>
      <c r="H47" s="47" t="n">
        <v>75</v>
      </c>
      <c r="I47" s="48" t="n">
        <f aca="false">INDEX($C$5:$C$26,MATCH(G47,$A$5:$A$26,0))</f>
        <v>206.535</v>
      </c>
      <c r="J47" s="40" t="n">
        <f aca="false">H47*I47</f>
        <v>15490.125</v>
      </c>
    </row>
    <row r="48" customFormat="false" ht="15" hidden="false" customHeight="false" outlineLevel="0" collapsed="false">
      <c r="E48" s="27" t="s">
        <v>130</v>
      </c>
      <c r="F48" s="27" t="s">
        <v>60</v>
      </c>
      <c r="G48" s="27" t="s">
        <v>205</v>
      </c>
      <c r="H48" s="47" t="n">
        <v>40</v>
      </c>
      <c r="I48" s="48" t="n">
        <f aca="false">INDEX($C$5:$C$26,MATCH(G48,$A$5:$A$26,0))</f>
        <v>256.515</v>
      </c>
      <c r="J48" s="40" t="n">
        <f aca="false">H48*I48</f>
        <v>10260.6</v>
      </c>
    </row>
    <row r="49" customFormat="false" ht="15" hidden="false" customHeight="false" outlineLevel="0" collapsed="false">
      <c r="E49" s="27" t="s">
        <v>130</v>
      </c>
      <c r="F49" s="27" t="s">
        <v>60</v>
      </c>
      <c r="G49" s="27" t="s">
        <v>207</v>
      </c>
      <c r="H49" s="47" t="n">
        <v>65</v>
      </c>
      <c r="I49" s="48" t="n">
        <f aca="false">INDEX($C$5:$C$26,MATCH(G49,$A$5:$A$26,0))</f>
        <v>236.67</v>
      </c>
      <c r="J49" s="40" t="n">
        <f aca="false">H49*I49</f>
        <v>15383.55</v>
      </c>
    </row>
    <row r="50" customFormat="false" ht="15" hidden="false" customHeight="false" outlineLevel="0" collapsed="false">
      <c r="E50" s="27" t="s">
        <v>130</v>
      </c>
      <c r="F50" s="27" t="s">
        <v>60</v>
      </c>
      <c r="G50" s="27" t="s">
        <v>209</v>
      </c>
      <c r="H50" s="47" t="n">
        <v>60</v>
      </c>
      <c r="I50" s="48" t="n">
        <f aca="false">INDEX($C$5:$C$26,MATCH(G50,$A$5:$A$26,0))</f>
        <v>224.175</v>
      </c>
      <c r="J50" s="40" t="n">
        <f aca="false">H50*I50</f>
        <v>13450.5</v>
      </c>
    </row>
    <row r="51" customFormat="false" ht="15" hidden="false" customHeight="false" outlineLevel="0" collapsed="false">
      <c r="E51" s="27" t="s">
        <v>130</v>
      </c>
      <c r="F51" s="27" t="s">
        <v>60</v>
      </c>
      <c r="G51" s="27" t="s">
        <v>211</v>
      </c>
      <c r="H51" s="47" t="n">
        <v>15</v>
      </c>
      <c r="I51" s="48" t="n">
        <f aca="false">INDEX($C$5:$C$26,MATCH(G51,$A$5:$A$26,0))</f>
        <v>206.535</v>
      </c>
      <c r="J51" s="40" t="n">
        <f aca="false">H51*I51</f>
        <v>3098.025</v>
      </c>
    </row>
    <row r="52" customFormat="false" ht="15" hidden="false" customHeight="false" outlineLevel="0" collapsed="false">
      <c r="E52" s="27" t="s">
        <v>130</v>
      </c>
      <c r="F52" s="27" t="s">
        <v>61</v>
      </c>
      <c r="G52" s="27" t="s">
        <v>205</v>
      </c>
      <c r="H52" s="47" t="n">
        <v>30</v>
      </c>
      <c r="I52" s="48" t="n">
        <f aca="false">INDEX($C$5:$C$26,MATCH(G52,$A$5:$A$26,0))</f>
        <v>256.515</v>
      </c>
      <c r="J52" s="40" t="n">
        <f aca="false">H52*I52</f>
        <v>7695.45</v>
      </c>
    </row>
    <row r="53" customFormat="false" ht="15" hidden="false" customHeight="false" outlineLevel="0" collapsed="false">
      <c r="E53" s="27" t="s">
        <v>130</v>
      </c>
      <c r="F53" s="27" t="s">
        <v>61</v>
      </c>
      <c r="G53" s="27" t="s">
        <v>207</v>
      </c>
      <c r="H53" s="47" t="n">
        <v>40</v>
      </c>
      <c r="I53" s="48" t="n">
        <f aca="false">INDEX($C$5:$C$26,MATCH(G53,$A$5:$A$26,0))</f>
        <v>236.67</v>
      </c>
      <c r="J53" s="40" t="n">
        <f aca="false">H53*I53</f>
        <v>9466.8</v>
      </c>
    </row>
    <row r="54" customFormat="false" ht="15" hidden="false" customHeight="false" outlineLevel="0" collapsed="false">
      <c r="E54" s="27" t="s">
        <v>130</v>
      </c>
      <c r="F54" s="27" t="s">
        <v>61</v>
      </c>
      <c r="G54" s="27" t="s">
        <v>209</v>
      </c>
      <c r="H54" s="47" t="n">
        <v>30</v>
      </c>
      <c r="I54" s="48" t="n">
        <f aca="false">INDEX($C$5:$C$26,MATCH(G54,$A$5:$A$26,0))</f>
        <v>224.175</v>
      </c>
      <c r="J54" s="40" t="n">
        <f aca="false">H54*I54</f>
        <v>6725.25</v>
      </c>
    </row>
    <row r="55" customFormat="false" ht="15" hidden="false" customHeight="false" outlineLevel="0" collapsed="false">
      <c r="E55" s="27" t="s">
        <v>130</v>
      </c>
      <c r="F55" s="27" t="s">
        <v>61</v>
      </c>
      <c r="G55" s="27" t="s">
        <v>211</v>
      </c>
      <c r="H55" s="47" t="n">
        <v>15</v>
      </c>
      <c r="I55" s="48" t="n">
        <f aca="false">INDEX($C$5:$C$26,MATCH(G55,$A$5:$A$26,0))</f>
        <v>206.535</v>
      </c>
      <c r="J55" s="40" t="n">
        <f aca="false">H55*I55</f>
        <v>3098.025</v>
      </c>
    </row>
    <row r="56" customFormat="false" ht="15" hidden="false" customHeight="false" outlineLevel="0" collapsed="false">
      <c r="E56" s="27" t="s">
        <v>132</v>
      </c>
      <c r="F56" s="27" t="s">
        <v>21</v>
      </c>
      <c r="G56" s="27" t="s">
        <v>205</v>
      </c>
      <c r="H56" s="47" t="n">
        <v>95</v>
      </c>
      <c r="I56" s="48" t="n">
        <f aca="false">INDEX($C$5:$C$26,MATCH(G56,$A$5:$A$26,0))</f>
        <v>256.515</v>
      </c>
      <c r="J56" s="40" t="n">
        <f aca="false">H56*I56</f>
        <v>24368.925</v>
      </c>
    </row>
    <row r="57" customFormat="false" ht="15" hidden="false" customHeight="false" outlineLevel="0" collapsed="false">
      <c r="E57" s="27" t="s">
        <v>132</v>
      </c>
      <c r="F57" s="27" t="s">
        <v>21</v>
      </c>
      <c r="G57" s="27" t="s">
        <v>207</v>
      </c>
      <c r="H57" s="47" t="n">
        <v>140</v>
      </c>
      <c r="I57" s="48" t="n">
        <f aca="false">INDEX($C$5:$C$26,MATCH(G57,$A$5:$A$26,0))</f>
        <v>236.67</v>
      </c>
      <c r="J57" s="40" t="n">
        <f aca="false">H57*I57</f>
        <v>33133.8</v>
      </c>
    </row>
    <row r="58" customFormat="false" ht="15" hidden="false" customHeight="false" outlineLevel="0" collapsed="false">
      <c r="E58" s="27" t="s">
        <v>132</v>
      </c>
      <c r="F58" s="27" t="s">
        <v>21</v>
      </c>
      <c r="G58" s="27" t="s">
        <v>209</v>
      </c>
      <c r="H58" s="47" t="n">
        <v>105</v>
      </c>
      <c r="I58" s="48" t="n">
        <f aca="false">INDEX($C$5:$C$26,MATCH(G58,$A$5:$A$26,0))</f>
        <v>224.175</v>
      </c>
      <c r="J58" s="40" t="n">
        <f aca="false">H58*I58</f>
        <v>23538.375</v>
      </c>
    </row>
    <row r="59" customFormat="false" ht="15" hidden="false" customHeight="false" outlineLevel="0" collapsed="false">
      <c r="E59" s="27" t="s">
        <v>132</v>
      </c>
      <c r="F59" s="27" t="s">
        <v>21</v>
      </c>
      <c r="G59" s="27" t="s">
        <v>211</v>
      </c>
      <c r="H59" s="47" t="n">
        <v>45</v>
      </c>
      <c r="I59" s="48" t="n">
        <f aca="false">INDEX($C$5:$C$26,MATCH(G59,$A$5:$A$26,0))</f>
        <v>206.535</v>
      </c>
      <c r="J59" s="40" t="n">
        <f aca="false">H59*I59</f>
        <v>9294.075</v>
      </c>
    </row>
    <row r="60" customFormat="false" ht="15" hidden="false" customHeight="false" outlineLevel="0" collapsed="false">
      <c r="E60" s="27" t="s">
        <v>132</v>
      </c>
      <c r="F60" s="27" t="s">
        <v>57</v>
      </c>
      <c r="G60" s="27" t="s">
        <v>205</v>
      </c>
      <c r="H60" s="47" t="n">
        <v>130</v>
      </c>
      <c r="I60" s="48" t="n">
        <f aca="false">INDEX($C$5:$C$26,MATCH(G60,$A$5:$A$26,0))</f>
        <v>256.515</v>
      </c>
      <c r="J60" s="40" t="n">
        <f aca="false">H60*I60</f>
        <v>33346.95</v>
      </c>
    </row>
    <row r="61" customFormat="false" ht="15" hidden="false" customHeight="false" outlineLevel="0" collapsed="false">
      <c r="E61" s="27" t="s">
        <v>132</v>
      </c>
      <c r="F61" s="27" t="s">
        <v>57</v>
      </c>
      <c r="G61" s="27" t="s">
        <v>207</v>
      </c>
      <c r="H61" s="47" t="n">
        <v>245</v>
      </c>
      <c r="I61" s="48" t="n">
        <f aca="false">INDEX($C$5:$C$26,MATCH(G61,$A$5:$A$26,0))</f>
        <v>236.67</v>
      </c>
      <c r="J61" s="40" t="n">
        <f aca="false">H61*I61</f>
        <v>57984.15</v>
      </c>
    </row>
    <row r="62" customFormat="false" ht="15" hidden="false" customHeight="false" outlineLevel="0" collapsed="false">
      <c r="E62" s="27" t="s">
        <v>132</v>
      </c>
      <c r="F62" s="27" t="s">
        <v>57</v>
      </c>
      <c r="G62" s="27" t="s">
        <v>209</v>
      </c>
      <c r="H62" s="47" t="n">
        <v>200</v>
      </c>
      <c r="I62" s="48" t="n">
        <f aca="false">INDEX($C$5:$C$26,MATCH(G62,$A$5:$A$26,0))</f>
        <v>224.175</v>
      </c>
      <c r="J62" s="40" t="n">
        <f aca="false">H62*I62</f>
        <v>44835</v>
      </c>
    </row>
    <row r="63" customFormat="false" ht="15" hidden="false" customHeight="false" outlineLevel="0" collapsed="false">
      <c r="E63" s="27" t="s">
        <v>132</v>
      </c>
      <c r="F63" s="27" t="s">
        <v>57</v>
      </c>
      <c r="G63" s="27" t="s">
        <v>211</v>
      </c>
      <c r="H63" s="47" t="n">
        <v>75</v>
      </c>
      <c r="I63" s="48" t="n">
        <f aca="false">INDEX($C$5:$C$26,MATCH(G63,$A$5:$A$26,0))</f>
        <v>206.535</v>
      </c>
      <c r="J63" s="40" t="n">
        <f aca="false">H63*I63</f>
        <v>15490.125</v>
      </c>
    </row>
    <row r="64" customFormat="false" ht="15" hidden="false" customHeight="false" outlineLevel="0" collapsed="false">
      <c r="E64" s="27" t="s">
        <v>132</v>
      </c>
      <c r="F64" s="27" t="s">
        <v>58</v>
      </c>
      <c r="G64" s="27" t="s">
        <v>205</v>
      </c>
      <c r="H64" s="47" t="n">
        <v>190</v>
      </c>
      <c r="I64" s="48" t="n">
        <f aca="false">INDEX($C$5:$C$26,MATCH(G64,$A$5:$A$26,0))</f>
        <v>256.515</v>
      </c>
      <c r="J64" s="40" t="n">
        <f aca="false">H64*I64</f>
        <v>48737.85</v>
      </c>
    </row>
    <row r="65" customFormat="false" ht="15" hidden="false" customHeight="false" outlineLevel="0" collapsed="false">
      <c r="E65" s="27" t="s">
        <v>132</v>
      </c>
      <c r="F65" s="27" t="s">
        <v>58</v>
      </c>
      <c r="G65" s="27" t="s">
        <v>207</v>
      </c>
      <c r="H65" s="47" t="n">
        <v>350</v>
      </c>
      <c r="I65" s="48" t="n">
        <f aca="false">INDEX($C$5:$C$26,MATCH(G65,$A$5:$A$26,0))</f>
        <v>236.67</v>
      </c>
      <c r="J65" s="40" t="n">
        <f aca="false">H65*I65</f>
        <v>82834.5</v>
      </c>
    </row>
    <row r="66" customFormat="false" ht="15" hidden="false" customHeight="false" outlineLevel="0" collapsed="false">
      <c r="E66" s="27" t="s">
        <v>132</v>
      </c>
      <c r="F66" s="27" t="s">
        <v>58</v>
      </c>
      <c r="G66" s="27" t="s">
        <v>209</v>
      </c>
      <c r="H66" s="47" t="n">
        <v>280</v>
      </c>
      <c r="I66" s="48" t="n">
        <f aca="false">INDEX($C$5:$C$26,MATCH(G66,$A$5:$A$26,0))</f>
        <v>224.175</v>
      </c>
      <c r="J66" s="40" t="n">
        <f aca="false">H66*I66</f>
        <v>62769</v>
      </c>
    </row>
    <row r="67" customFormat="false" ht="15" hidden="false" customHeight="false" outlineLevel="0" collapsed="false">
      <c r="E67" s="27" t="s">
        <v>132</v>
      </c>
      <c r="F67" s="27" t="s">
        <v>58</v>
      </c>
      <c r="G67" s="27" t="s">
        <v>211</v>
      </c>
      <c r="H67" s="47" t="n">
        <v>85</v>
      </c>
      <c r="I67" s="48" t="n">
        <f aca="false">INDEX($C$5:$C$26,MATCH(G67,$A$5:$A$26,0))</f>
        <v>206.535</v>
      </c>
      <c r="J67" s="40" t="n">
        <f aca="false">H67*I67</f>
        <v>17555.475</v>
      </c>
    </row>
    <row r="68" customFormat="false" ht="15" hidden="false" customHeight="false" outlineLevel="0" collapsed="false">
      <c r="E68" s="27" t="s">
        <v>134</v>
      </c>
      <c r="F68" s="27" t="s">
        <v>58</v>
      </c>
      <c r="G68" s="27" t="s">
        <v>205</v>
      </c>
      <c r="H68" s="47" t="n">
        <v>140</v>
      </c>
      <c r="I68" s="48" t="n">
        <f aca="false">INDEX($C$5:$C$26,MATCH(G68,$A$5:$A$26,0))</f>
        <v>256.515</v>
      </c>
      <c r="J68" s="40" t="n">
        <f aca="false">H68*I68</f>
        <v>35912.1</v>
      </c>
    </row>
    <row r="69" customFormat="false" ht="15" hidden="false" customHeight="false" outlineLevel="0" collapsed="false">
      <c r="E69" s="27" t="s">
        <v>134</v>
      </c>
      <c r="F69" s="27" t="s">
        <v>58</v>
      </c>
      <c r="G69" s="27" t="s">
        <v>207</v>
      </c>
      <c r="H69" s="47" t="n">
        <v>225</v>
      </c>
      <c r="I69" s="48" t="n">
        <f aca="false">INDEX($C$5:$C$26,MATCH(G69,$A$5:$A$26,0))</f>
        <v>236.67</v>
      </c>
      <c r="J69" s="40" t="n">
        <f aca="false">H69*I69</f>
        <v>53250.75</v>
      </c>
    </row>
    <row r="70" customFormat="false" ht="15" hidden="false" customHeight="false" outlineLevel="0" collapsed="false">
      <c r="E70" s="27" t="s">
        <v>134</v>
      </c>
      <c r="F70" s="27" t="s">
        <v>58</v>
      </c>
      <c r="G70" s="27" t="s">
        <v>209</v>
      </c>
      <c r="H70" s="47" t="n">
        <v>180</v>
      </c>
      <c r="I70" s="48" t="n">
        <f aca="false">INDEX($C$5:$C$26,MATCH(G70,$A$5:$A$26,0))</f>
        <v>224.175</v>
      </c>
      <c r="J70" s="40" t="n">
        <f aca="false">H70*I70</f>
        <v>40351.5</v>
      </c>
    </row>
    <row r="71" customFormat="false" ht="15" hidden="false" customHeight="false" outlineLevel="0" collapsed="false">
      <c r="E71" s="27" t="s">
        <v>134</v>
      </c>
      <c r="F71" s="27" t="s">
        <v>58</v>
      </c>
      <c r="G71" s="27" t="s">
        <v>211</v>
      </c>
      <c r="H71" s="47" t="n">
        <v>65</v>
      </c>
      <c r="I71" s="48" t="n">
        <f aca="false">INDEX($C$5:$C$26,MATCH(G71,$A$5:$A$26,0))</f>
        <v>206.535</v>
      </c>
      <c r="J71" s="40" t="n">
        <f aca="false">H71*I71</f>
        <v>13424.775</v>
      </c>
    </row>
    <row r="72" customFormat="false" ht="15" hidden="false" customHeight="false" outlineLevel="0" collapsed="false">
      <c r="E72" s="27" t="s">
        <v>136</v>
      </c>
      <c r="F72" s="27" t="s">
        <v>58</v>
      </c>
      <c r="G72" s="27" t="s">
        <v>205</v>
      </c>
      <c r="H72" s="47" t="n">
        <v>65</v>
      </c>
      <c r="I72" s="48" t="n">
        <f aca="false">INDEX($C$5:$C$26,MATCH(G72,$A$5:$A$26,0))</f>
        <v>256.515</v>
      </c>
      <c r="J72" s="40" t="n">
        <f aca="false">H72*I72</f>
        <v>16673.475</v>
      </c>
    </row>
    <row r="73" customFormat="false" ht="15" hidden="false" customHeight="false" outlineLevel="0" collapsed="false">
      <c r="E73" s="27" t="s">
        <v>136</v>
      </c>
      <c r="F73" s="27" t="s">
        <v>58</v>
      </c>
      <c r="G73" s="27" t="s">
        <v>207</v>
      </c>
      <c r="H73" s="47" t="n">
        <v>180</v>
      </c>
      <c r="I73" s="48" t="n">
        <f aca="false">INDEX($C$5:$C$26,MATCH(G73,$A$5:$A$26,0))</f>
        <v>236.67</v>
      </c>
      <c r="J73" s="40" t="n">
        <f aca="false">H73*I73</f>
        <v>42600.6</v>
      </c>
    </row>
    <row r="74" customFormat="false" ht="15" hidden="false" customHeight="false" outlineLevel="0" collapsed="false">
      <c r="E74" s="27" t="s">
        <v>136</v>
      </c>
      <c r="F74" s="27" t="s">
        <v>58</v>
      </c>
      <c r="G74" s="27" t="s">
        <v>209</v>
      </c>
      <c r="H74" s="47" t="n">
        <v>225</v>
      </c>
      <c r="I74" s="48" t="n">
        <f aca="false">INDEX($C$5:$C$26,MATCH(G74,$A$5:$A$26,0))</f>
        <v>224.175</v>
      </c>
      <c r="J74" s="40" t="n">
        <f aca="false">H74*I74</f>
        <v>50439.375</v>
      </c>
    </row>
    <row r="75" customFormat="false" ht="15" hidden="false" customHeight="false" outlineLevel="0" collapsed="false">
      <c r="E75" s="27" t="s">
        <v>136</v>
      </c>
      <c r="F75" s="27" t="s">
        <v>58</v>
      </c>
      <c r="G75" s="27" t="s">
        <v>211</v>
      </c>
      <c r="H75" s="47" t="n">
        <v>95</v>
      </c>
      <c r="I75" s="48" t="n">
        <f aca="false">INDEX($C$5:$C$26,MATCH(G75,$A$5:$A$26,0))</f>
        <v>206.535</v>
      </c>
      <c r="J75" s="40" t="n">
        <f aca="false">H75*I75</f>
        <v>19620.825</v>
      </c>
    </row>
    <row r="76" customFormat="false" ht="15" hidden="false" customHeight="false" outlineLevel="0" collapsed="false">
      <c r="E76" s="27" t="s">
        <v>138</v>
      </c>
      <c r="F76" s="27" t="s">
        <v>57</v>
      </c>
      <c r="G76" s="27" t="s">
        <v>205</v>
      </c>
      <c r="H76" s="47" t="n">
        <v>55</v>
      </c>
      <c r="I76" s="48" t="n">
        <f aca="false">INDEX($C$5:$C$26,MATCH(G76,$A$5:$A$26,0))</f>
        <v>256.515</v>
      </c>
      <c r="J76" s="40" t="n">
        <f aca="false">H76*I76</f>
        <v>14108.325</v>
      </c>
    </row>
    <row r="77" customFormat="false" ht="15" hidden="false" customHeight="false" outlineLevel="0" collapsed="false">
      <c r="E77" s="27" t="s">
        <v>138</v>
      </c>
      <c r="F77" s="27" t="s">
        <v>57</v>
      </c>
      <c r="G77" s="27" t="s">
        <v>207</v>
      </c>
      <c r="H77" s="47" t="n">
        <v>155</v>
      </c>
      <c r="I77" s="48" t="n">
        <f aca="false">INDEX($C$5:$C$26,MATCH(G77,$A$5:$A$26,0))</f>
        <v>236.67</v>
      </c>
      <c r="J77" s="40" t="n">
        <f aca="false">H77*I77</f>
        <v>36683.85</v>
      </c>
    </row>
    <row r="78" customFormat="false" ht="15" hidden="false" customHeight="false" outlineLevel="0" collapsed="false">
      <c r="E78" s="27" t="s">
        <v>138</v>
      </c>
      <c r="F78" s="27" t="s">
        <v>57</v>
      </c>
      <c r="G78" s="27" t="s">
        <v>209</v>
      </c>
      <c r="H78" s="47" t="n">
        <v>130</v>
      </c>
      <c r="I78" s="48" t="n">
        <f aca="false">INDEX($C$5:$C$26,MATCH(G78,$A$5:$A$26,0))</f>
        <v>224.175</v>
      </c>
      <c r="J78" s="40" t="n">
        <f aca="false">H78*I78</f>
        <v>29142.75</v>
      </c>
    </row>
    <row r="79" customFormat="false" ht="15" hidden="false" customHeight="false" outlineLevel="0" collapsed="false">
      <c r="E79" s="27" t="s">
        <v>138</v>
      </c>
      <c r="F79" s="27" t="s">
        <v>57</v>
      </c>
      <c r="G79" s="27" t="s">
        <v>211</v>
      </c>
      <c r="H79" s="47" t="n">
        <v>45</v>
      </c>
      <c r="I79" s="48" t="n">
        <f aca="false">INDEX($C$5:$C$26,MATCH(G79,$A$5:$A$26,0))</f>
        <v>206.535</v>
      </c>
      <c r="J79" s="40" t="n">
        <f aca="false">H79*I79</f>
        <v>9294.075</v>
      </c>
    </row>
    <row r="80" customFormat="false" ht="15" hidden="false" customHeight="false" outlineLevel="0" collapsed="false">
      <c r="E80" s="27" t="s">
        <v>138</v>
      </c>
      <c r="F80" s="27" t="s">
        <v>58</v>
      </c>
      <c r="G80" s="27" t="s">
        <v>205</v>
      </c>
      <c r="H80" s="47" t="n">
        <v>65</v>
      </c>
      <c r="I80" s="48" t="n">
        <f aca="false">INDEX($C$5:$C$26,MATCH(G80,$A$5:$A$26,0))</f>
        <v>256.515</v>
      </c>
      <c r="J80" s="40" t="n">
        <f aca="false">H80*I80</f>
        <v>16673.475</v>
      </c>
    </row>
    <row r="81" customFormat="false" ht="15" hidden="false" customHeight="false" outlineLevel="0" collapsed="false">
      <c r="E81" s="27" t="s">
        <v>138</v>
      </c>
      <c r="F81" s="27" t="s">
        <v>58</v>
      </c>
      <c r="G81" s="27" t="s">
        <v>207</v>
      </c>
      <c r="H81" s="47" t="n">
        <v>190</v>
      </c>
      <c r="I81" s="48" t="n">
        <f aca="false">INDEX($C$5:$C$26,MATCH(G81,$A$5:$A$26,0))</f>
        <v>236.67</v>
      </c>
      <c r="J81" s="40" t="n">
        <f aca="false">H81*I81</f>
        <v>44967.3</v>
      </c>
    </row>
    <row r="82" customFormat="false" ht="15" hidden="false" customHeight="false" outlineLevel="0" collapsed="false">
      <c r="E82" s="27" t="s">
        <v>138</v>
      </c>
      <c r="F82" s="27" t="s">
        <v>58</v>
      </c>
      <c r="G82" s="27" t="s">
        <v>209</v>
      </c>
      <c r="H82" s="47" t="n">
        <v>160</v>
      </c>
      <c r="I82" s="48" t="n">
        <f aca="false">INDEX($C$5:$C$26,MATCH(G82,$A$5:$A$26,0))</f>
        <v>224.175</v>
      </c>
      <c r="J82" s="40" t="n">
        <f aca="false">H82*I82</f>
        <v>35868</v>
      </c>
    </row>
    <row r="83" customFormat="false" ht="15" hidden="false" customHeight="false" outlineLevel="0" collapsed="false">
      <c r="E83" s="27" t="s">
        <v>138</v>
      </c>
      <c r="F83" s="27" t="s">
        <v>58</v>
      </c>
      <c r="G83" s="27" t="s">
        <v>211</v>
      </c>
      <c r="H83" s="47" t="n">
        <v>50</v>
      </c>
      <c r="I83" s="48" t="n">
        <f aca="false">INDEX($C$5:$C$26,MATCH(G83,$A$5:$A$26,0))</f>
        <v>206.535</v>
      </c>
      <c r="J83" s="40" t="n">
        <f aca="false">H83*I83</f>
        <v>10326.75</v>
      </c>
    </row>
    <row r="84" customFormat="false" ht="15" hidden="false" customHeight="false" outlineLevel="0" collapsed="false">
      <c r="E84" s="27" t="s">
        <v>140</v>
      </c>
      <c r="F84" s="27" t="s">
        <v>57</v>
      </c>
      <c r="G84" s="27" t="s">
        <v>205</v>
      </c>
      <c r="H84" s="47" t="n">
        <v>75</v>
      </c>
      <c r="I84" s="48" t="n">
        <f aca="false">INDEX($C$5:$C$26,MATCH(G84,$A$5:$A$26,0))</f>
        <v>256.515</v>
      </c>
      <c r="J84" s="40" t="n">
        <f aca="false">H84*I84</f>
        <v>19238.625</v>
      </c>
    </row>
    <row r="85" customFormat="false" ht="15" hidden="false" customHeight="false" outlineLevel="0" collapsed="false">
      <c r="E85" s="27" t="s">
        <v>140</v>
      </c>
      <c r="F85" s="27" t="s">
        <v>57</v>
      </c>
      <c r="G85" s="27" t="s">
        <v>207</v>
      </c>
      <c r="H85" s="47" t="n">
        <v>210</v>
      </c>
      <c r="I85" s="48" t="n">
        <f aca="false">INDEX($C$5:$C$26,MATCH(G85,$A$5:$A$26,0))</f>
        <v>236.67</v>
      </c>
      <c r="J85" s="40" t="n">
        <f aca="false">H85*I85</f>
        <v>49700.7</v>
      </c>
    </row>
    <row r="86" customFormat="false" ht="15" hidden="false" customHeight="false" outlineLevel="0" collapsed="false">
      <c r="E86" s="27" t="s">
        <v>140</v>
      </c>
      <c r="F86" s="27" t="s">
        <v>57</v>
      </c>
      <c r="G86" s="27" t="s">
        <v>209</v>
      </c>
      <c r="H86" s="47" t="n">
        <v>315</v>
      </c>
      <c r="I86" s="48" t="n">
        <f aca="false">INDEX($C$5:$C$26,MATCH(G86,$A$5:$A$26,0))</f>
        <v>224.175</v>
      </c>
      <c r="J86" s="40" t="n">
        <f aca="false">H86*I86</f>
        <v>70615.125</v>
      </c>
    </row>
    <row r="87" customFormat="false" ht="15" hidden="false" customHeight="false" outlineLevel="0" collapsed="false">
      <c r="E87" s="27" t="s">
        <v>140</v>
      </c>
      <c r="F87" s="27" t="s">
        <v>57</v>
      </c>
      <c r="G87" s="27" t="s">
        <v>211</v>
      </c>
      <c r="H87" s="47" t="n">
        <v>75</v>
      </c>
      <c r="I87" s="48" t="n">
        <f aca="false">INDEX($C$5:$C$26,MATCH(G87,$A$5:$A$26,0))</f>
        <v>206.535</v>
      </c>
      <c r="J87" s="40" t="n">
        <f aca="false">H87*I87</f>
        <v>15490.125</v>
      </c>
    </row>
    <row r="88" customFormat="false" ht="15" hidden="false" customHeight="false" outlineLevel="0" collapsed="false">
      <c r="E88" s="27" t="s">
        <v>140</v>
      </c>
      <c r="F88" s="27" t="s">
        <v>58</v>
      </c>
      <c r="G88" s="27" t="s">
        <v>205</v>
      </c>
      <c r="H88" s="47" t="n">
        <v>140</v>
      </c>
      <c r="I88" s="48" t="n">
        <f aca="false">INDEX($C$5:$C$26,MATCH(G88,$A$5:$A$26,0))</f>
        <v>256.515</v>
      </c>
      <c r="J88" s="40" t="n">
        <f aca="false">H88*I88</f>
        <v>35912.1</v>
      </c>
    </row>
    <row r="89" customFormat="false" ht="15" hidden="false" customHeight="false" outlineLevel="0" collapsed="false">
      <c r="E89" s="27" t="s">
        <v>140</v>
      </c>
      <c r="F89" s="27" t="s">
        <v>58</v>
      </c>
      <c r="G89" s="27" t="s">
        <v>207</v>
      </c>
      <c r="H89" s="47" t="n">
        <v>410</v>
      </c>
      <c r="I89" s="48" t="n">
        <f aca="false">INDEX($C$5:$C$26,MATCH(G89,$A$5:$A$26,0))</f>
        <v>236.67</v>
      </c>
      <c r="J89" s="40" t="n">
        <f aca="false">H89*I89</f>
        <v>97034.7</v>
      </c>
    </row>
    <row r="90" customFormat="false" ht="15" hidden="false" customHeight="false" outlineLevel="0" collapsed="false">
      <c r="E90" s="27" t="s">
        <v>140</v>
      </c>
      <c r="F90" s="27" t="s">
        <v>58</v>
      </c>
      <c r="G90" s="27" t="s">
        <v>209</v>
      </c>
      <c r="H90" s="47" t="n">
        <v>610</v>
      </c>
      <c r="I90" s="48" t="n">
        <f aca="false">INDEX($C$5:$C$26,MATCH(G90,$A$5:$A$26,0))</f>
        <v>224.175</v>
      </c>
      <c r="J90" s="40" t="n">
        <f aca="false">H90*I90</f>
        <v>136746.75</v>
      </c>
    </row>
    <row r="91" customFormat="false" ht="15" hidden="false" customHeight="false" outlineLevel="0" collapsed="false">
      <c r="E91" s="27" t="s">
        <v>140</v>
      </c>
      <c r="F91" s="27" t="s">
        <v>58</v>
      </c>
      <c r="G91" s="27" t="s">
        <v>211</v>
      </c>
      <c r="H91" s="47" t="n">
        <v>140</v>
      </c>
      <c r="I91" s="48" t="n">
        <f aca="false">INDEX($C$5:$C$26,MATCH(G91,$A$5:$A$26,0))</f>
        <v>206.535</v>
      </c>
      <c r="J91" s="40" t="n">
        <f aca="false">H91*I91</f>
        <v>28914.9</v>
      </c>
    </row>
    <row r="92" customFormat="false" ht="15" hidden="false" customHeight="false" outlineLevel="0" collapsed="false">
      <c r="E92" s="27" t="s">
        <v>142</v>
      </c>
      <c r="F92" s="27" t="s">
        <v>57</v>
      </c>
      <c r="G92" s="27" t="s">
        <v>205</v>
      </c>
      <c r="H92" s="47" t="n">
        <v>55</v>
      </c>
      <c r="I92" s="48" t="n">
        <f aca="false">INDEX($C$5:$C$26,MATCH(G92,$A$5:$A$26,0))</f>
        <v>256.515</v>
      </c>
      <c r="J92" s="40" t="n">
        <f aca="false">H92*I92</f>
        <v>14108.325</v>
      </c>
    </row>
    <row r="93" customFormat="false" ht="15" hidden="false" customHeight="false" outlineLevel="0" collapsed="false">
      <c r="E93" s="27" t="s">
        <v>142</v>
      </c>
      <c r="F93" s="27" t="s">
        <v>57</v>
      </c>
      <c r="G93" s="27" t="s">
        <v>207</v>
      </c>
      <c r="H93" s="47" t="n">
        <v>170</v>
      </c>
      <c r="I93" s="48" t="n">
        <f aca="false">INDEX($C$5:$C$26,MATCH(G93,$A$5:$A$26,0))</f>
        <v>236.67</v>
      </c>
      <c r="J93" s="40" t="n">
        <f aca="false">H93*I93</f>
        <v>40233.9</v>
      </c>
    </row>
    <row r="94" customFormat="false" ht="15" hidden="false" customHeight="false" outlineLevel="0" collapsed="false">
      <c r="E94" s="27" t="s">
        <v>142</v>
      </c>
      <c r="F94" s="27" t="s">
        <v>57</v>
      </c>
      <c r="G94" s="27" t="s">
        <v>209</v>
      </c>
      <c r="H94" s="47" t="n">
        <v>200</v>
      </c>
      <c r="I94" s="48" t="n">
        <f aca="false">INDEX($C$5:$C$26,MATCH(G94,$A$5:$A$26,0))</f>
        <v>224.175</v>
      </c>
      <c r="J94" s="40" t="n">
        <f aca="false">H94*I94</f>
        <v>44835</v>
      </c>
    </row>
    <row r="95" customFormat="false" ht="15" hidden="false" customHeight="false" outlineLevel="0" collapsed="false">
      <c r="E95" s="27" t="s">
        <v>142</v>
      </c>
      <c r="F95" s="27" t="s">
        <v>57</v>
      </c>
      <c r="G95" s="27" t="s">
        <v>211</v>
      </c>
      <c r="H95" s="47" t="n">
        <v>55</v>
      </c>
      <c r="I95" s="48" t="n">
        <f aca="false">INDEX($C$5:$C$26,MATCH(G95,$A$5:$A$26,0))</f>
        <v>206.535</v>
      </c>
      <c r="J95" s="40" t="n">
        <f aca="false">H95*I95</f>
        <v>11359.425</v>
      </c>
    </row>
    <row r="96" customFormat="false" ht="15" hidden="false" customHeight="false" outlineLevel="0" collapsed="false">
      <c r="E96" s="27" t="s">
        <v>142</v>
      </c>
      <c r="F96" s="27" t="s">
        <v>58</v>
      </c>
      <c r="G96" s="27" t="s">
        <v>205</v>
      </c>
      <c r="H96" s="47" t="n">
        <v>85</v>
      </c>
      <c r="I96" s="48" t="n">
        <f aca="false">INDEX($C$5:$C$26,MATCH(G96,$A$5:$A$26,0))</f>
        <v>256.515</v>
      </c>
      <c r="J96" s="40" t="n">
        <f aca="false">H96*I96</f>
        <v>21803.775</v>
      </c>
    </row>
    <row r="97" customFormat="false" ht="15" hidden="false" customHeight="false" outlineLevel="0" collapsed="false">
      <c r="E97" s="27" t="s">
        <v>142</v>
      </c>
      <c r="F97" s="27" t="s">
        <v>58</v>
      </c>
      <c r="G97" s="27" t="s">
        <v>207</v>
      </c>
      <c r="H97" s="47" t="n">
        <v>235</v>
      </c>
      <c r="I97" s="48" t="n">
        <f aca="false">INDEX($C$5:$C$26,MATCH(G97,$A$5:$A$26,0))</f>
        <v>236.67</v>
      </c>
      <c r="J97" s="40" t="n">
        <f aca="false">H97*I97</f>
        <v>55617.45</v>
      </c>
    </row>
    <row r="98" customFormat="false" ht="15" hidden="false" customHeight="false" outlineLevel="0" collapsed="false">
      <c r="E98" s="27" t="s">
        <v>142</v>
      </c>
      <c r="F98" s="27" t="s">
        <v>58</v>
      </c>
      <c r="G98" s="27" t="s">
        <v>209</v>
      </c>
      <c r="H98" s="47" t="n">
        <v>265</v>
      </c>
      <c r="I98" s="48" t="n">
        <f aca="false">INDEX($C$5:$C$26,MATCH(G98,$A$5:$A$26,0))</f>
        <v>224.175</v>
      </c>
      <c r="J98" s="40" t="n">
        <f aca="false">H98*I98</f>
        <v>59406.375</v>
      </c>
    </row>
    <row r="99" customFormat="false" ht="15" hidden="false" customHeight="false" outlineLevel="0" collapsed="false">
      <c r="E99" s="27" t="s">
        <v>142</v>
      </c>
      <c r="F99" s="27" t="s">
        <v>58</v>
      </c>
      <c r="G99" s="27" t="s">
        <v>211</v>
      </c>
      <c r="H99" s="47" t="n">
        <v>85</v>
      </c>
      <c r="I99" s="48" t="n">
        <f aca="false">INDEX($C$5:$C$26,MATCH(G99,$A$5:$A$26,0))</f>
        <v>206.535</v>
      </c>
      <c r="J99" s="40" t="n">
        <f aca="false">H99*I99</f>
        <v>17555.475</v>
      </c>
    </row>
    <row r="100" customFormat="false" ht="15" hidden="false" customHeight="false" outlineLevel="0" collapsed="false">
      <c r="E100" s="27" t="s">
        <v>144</v>
      </c>
      <c r="F100" s="27" t="s">
        <v>21</v>
      </c>
      <c r="G100" s="27" t="s">
        <v>205</v>
      </c>
      <c r="H100" s="47" t="n">
        <v>40</v>
      </c>
      <c r="I100" s="48" t="n">
        <f aca="false">INDEX($C$5:$C$26,MATCH(G100,$A$5:$A$26,0))</f>
        <v>256.515</v>
      </c>
      <c r="J100" s="40" t="n">
        <f aca="false">H100*I100</f>
        <v>10260.6</v>
      </c>
    </row>
    <row r="101" customFormat="false" ht="15" hidden="false" customHeight="false" outlineLevel="0" collapsed="false">
      <c r="E101" s="27" t="s">
        <v>144</v>
      </c>
      <c r="F101" s="27" t="s">
        <v>21</v>
      </c>
      <c r="G101" s="27" t="s">
        <v>207</v>
      </c>
      <c r="H101" s="47" t="n">
        <v>95</v>
      </c>
      <c r="I101" s="48" t="n">
        <f aca="false">INDEX($C$5:$C$26,MATCH(G101,$A$5:$A$26,0))</f>
        <v>236.67</v>
      </c>
      <c r="J101" s="40" t="n">
        <f aca="false">H101*I101</f>
        <v>22483.65</v>
      </c>
    </row>
    <row r="102" customFormat="false" ht="15" hidden="false" customHeight="false" outlineLevel="0" collapsed="false">
      <c r="E102" s="27" t="s">
        <v>144</v>
      </c>
      <c r="F102" s="27" t="s">
        <v>21</v>
      </c>
      <c r="G102" s="27" t="s">
        <v>209</v>
      </c>
      <c r="H102" s="47" t="n">
        <v>100</v>
      </c>
      <c r="I102" s="48" t="n">
        <f aca="false">INDEX($C$5:$C$26,MATCH(G102,$A$5:$A$26,0))</f>
        <v>224.175</v>
      </c>
      <c r="J102" s="40" t="n">
        <f aca="false">H102*I102</f>
        <v>22417.5</v>
      </c>
    </row>
    <row r="103" customFormat="false" ht="15" hidden="false" customHeight="false" outlineLevel="0" collapsed="false">
      <c r="E103" s="27" t="s">
        <v>144</v>
      </c>
      <c r="F103" s="27" t="s">
        <v>21</v>
      </c>
      <c r="G103" s="27" t="s">
        <v>211</v>
      </c>
      <c r="H103" s="47" t="n">
        <v>45</v>
      </c>
      <c r="I103" s="48" t="n">
        <f aca="false">INDEX($C$5:$C$26,MATCH(G103,$A$5:$A$26,0))</f>
        <v>206.535</v>
      </c>
      <c r="J103" s="40" t="n">
        <f aca="false">H103*I103</f>
        <v>9294.075</v>
      </c>
    </row>
    <row r="104" customFormat="false" ht="15" hidden="false" customHeight="false" outlineLevel="0" collapsed="false">
      <c r="E104" s="27" t="s">
        <v>144</v>
      </c>
      <c r="F104" s="27" t="s">
        <v>57</v>
      </c>
      <c r="G104" s="27" t="s">
        <v>205</v>
      </c>
      <c r="H104" s="47" t="n">
        <v>55</v>
      </c>
      <c r="I104" s="48" t="n">
        <f aca="false">INDEX($C$5:$C$26,MATCH(G104,$A$5:$A$26,0))</f>
        <v>256.515</v>
      </c>
      <c r="J104" s="40" t="n">
        <f aca="false">H104*I104</f>
        <v>14108.325</v>
      </c>
    </row>
    <row r="105" customFormat="false" ht="15" hidden="false" customHeight="false" outlineLevel="0" collapsed="false">
      <c r="E105" s="27" t="s">
        <v>144</v>
      </c>
      <c r="F105" s="27" t="s">
        <v>57</v>
      </c>
      <c r="G105" s="27" t="s">
        <v>207</v>
      </c>
      <c r="H105" s="47" t="n">
        <v>160</v>
      </c>
      <c r="I105" s="48" t="n">
        <f aca="false">INDEX($C$5:$C$26,MATCH(G105,$A$5:$A$26,0))</f>
        <v>236.67</v>
      </c>
      <c r="J105" s="40" t="n">
        <f aca="false">H105*I105</f>
        <v>37867.2</v>
      </c>
    </row>
    <row r="106" customFormat="false" ht="15" hidden="false" customHeight="false" outlineLevel="0" collapsed="false">
      <c r="E106" s="27" t="s">
        <v>144</v>
      </c>
      <c r="F106" s="27" t="s">
        <v>57</v>
      </c>
      <c r="G106" s="27" t="s">
        <v>209</v>
      </c>
      <c r="H106" s="47" t="n">
        <v>200</v>
      </c>
      <c r="I106" s="48" t="n">
        <f aca="false">INDEX($C$5:$C$26,MATCH(G106,$A$5:$A$26,0))</f>
        <v>224.175</v>
      </c>
      <c r="J106" s="40" t="n">
        <f aca="false">H106*I106</f>
        <v>44835</v>
      </c>
    </row>
    <row r="107" customFormat="false" ht="15" hidden="false" customHeight="false" outlineLevel="0" collapsed="false">
      <c r="E107" s="27" t="s">
        <v>144</v>
      </c>
      <c r="F107" s="27" t="s">
        <v>57</v>
      </c>
      <c r="G107" s="27" t="s">
        <v>211</v>
      </c>
      <c r="H107" s="47" t="n">
        <v>75</v>
      </c>
      <c r="I107" s="48" t="n">
        <f aca="false">INDEX($C$5:$C$26,MATCH(G107,$A$5:$A$26,0))</f>
        <v>206.535</v>
      </c>
      <c r="J107" s="40" t="n">
        <f aca="false">H107*I107</f>
        <v>15490.125</v>
      </c>
    </row>
    <row r="108" customFormat="false" ht="15" hidden="false" customHeight="false" outlineLevel="0" collapsed="false">
      <c r="E108" s="27" t="s">
        <v>144</v>
      </c>
      <c r="F108" s="27" t="s">
        <v>58</v>
      </c>
      <c r="G108" s="27" t="s">
        <v>205</v>
      </c>
      <c r="H108" s="47" t="n">
        <v>85</v>
      </c>
      <c r="I108" s="48" t="n">
        <f aca="false">INDEX($C$5:$C$26,MATCH(G108,$A$5:$A$26,0))</f>
        <v>256.515</v>
      </c>
      <c r="J108" s="40" t="n">
        <f aca="false">H108*I108</f>
        <v>21803.775</v>
      </c>
    </row>
    <row r="109" customFormat="false" ht="15" hidden="false" customHeight="false" outlineLevel="0" collapsed="false">
      <c r="E109" s="27" t="s">
        <v>144</v>
      </c>
      <c r="F109" s="27" t="s">
        <v>58</v>
      </c>
      <c r="G109" s="27" t="s">
        <v>207</v>
      </c>
      <c r="H109" s="47" t="n">
        <v>210</v>
      </c>
      <c r="I109" s="48" t="n">
        <f aca="false">INDEX($C$5:$C$26,MATCH(G109,$A$5:$A$26,0))</f>
        <v>236.67</v>
      </c>
      <c r="J109" s="40" t="n">
        <f aca="false">H109*I109</f>
        <v>49700.7</v>
      </c>
    </row>
    <row r="110" customFormat="false" ht="15" hidden="false" customHeight="false" outlineLevel="0" collapsed="false">
      <c r="E110" s="27" t="s">
        <v>144</v>
      </c>
      <c r="F110" s="27" t="s">
        <v>58</v>
      </c>
      <c r="G110" s="27" t="s">
        <v>209</v>
      </c>
      <c r="H110" s="47" t="n">
        <v>295</v>
      </c>
      <c r="I110" s="48" t="n">
        <f aca="false">INDEX($C$5:$C$26,MATCH(G110,$A$5:$A$26,0))</f>
        <v>224.175</v>
      </c>
      <c r="J110" s="40" t="n">
        <f aca="false">H110*I110</f>
        <v>66131.625</v>
      </c>
    </row>
    <row r="111" customFormat="false" ht="15" hidden="false" customHeight="false" outlineLevel="0" collapsed="false">
      <c r="E111" s="27" t="s">
        <v>144</v>
      </c>
      <c r="F111" s="27" t="s">
        <v>58</v>
      </c>
      <c r="G111" s="27" t="s">
        <v>211</v>
      </c>
      <c r="H111" s="47" t="n">
        <v>105</v>
      </c>
      <c r="I111" s="48" t="n">
        <f aca="false">INDEX($C$5:$C$26,MATCH(G111,$A$5:$A$26,0))</f>
        <v>206.535</v>
      </c>
      <c r="J111" s="40" t="n">
        <f aca="false">H111*I111</f>
        <v>21686.175</v>
      </c>
    </row>
    <row r="112" customFormat="false" ht="15" hidden="false" customHeight="false" outlineLevel="0" collapsed="false">
      <c r="E112" s="27" t="s">
        <v>146</v>
      </c>
      <c r="F112" s="27" t="s">
        <v>58</v>
      </c>
      <c r="G112" s="27" t="s">
        <v>205</v>
      </c>
      <c r="H112" s="47" t="n">
        <v>65</v>
      </c>
      <c r="I112" s="48" t="n">
        <f aca="false">INDEX($C$5:$C$26,MATCH(G112,$A$5:$A$26,0))</f>
        <v>256.515</v>
      </c>
      <c r="J112" s="40" t="n">
        <f aca="false">H112*I112</f>
        <v>16673.475</v>
      </c>
    </row>
    <row r="113" customFormat="false" ht="15" hidden="false" customHeight="false" outlineLevel="0" collapsed="false">
      <c r="E113" s="27" t="s">
        <v>146</v>
      </c>
      <c r="F113" s="27" t="s">
        <v>58</v>
      </c>
      <c r="G113" s="27" t="s">
        <v>207</v>
      </c>
      <c r="H113" s="47" t="n">
        <v>235</v>
      </c>
      <c r="I113" s="48" t="n">
        <f aca="false">INDEX($C$5:$C$26,MATCH(G113,$A$5:$A$26,0))</f>
        <v>236.67</v>
      </c>
      <c r="J113" s="40" t="n">
        <f aca="false">H113*I113</f>
        <v>55617.45</v>
      </c>
    </row>
    <row r="114" customFormat="false" ht="15" hidden="false" customHeight="false" outlineLevel="0" collapsed="false">
      <c r="E114" s="27" t="s">
        <v>146</v>
      </c>
      <c r="F114" s="27" t="s">
        <v>58</v>
      </c>
      <c r="G114" s="27" t="s">
        <v>209</v>
      </c>
      <c r="H114" s="47" t="n">
        <v>280</v>
      </c>
      <c r="I114" s="48" t="n">
        <f aca="false">INDEX($C$5:$C$26,MATCH(G114,$A$5:$A$26,0))</f>
        <v>224.175</v>
      </c>
      <c r="J114" s="40" t="n">
        <f aca="false">H114*I114</f>
        <v>62769</v>
      </c>
    </row>
    <row r="115" customFormat="false" ht="15" hidden="false" customHeight="false" outlineLevel="0" collapsed="false">
      <c r="E115" s="27" t="s">
        <v>146</v>
      </c>
      <c r="F115" s="27" t="s">
        <v>58</v>
      </c>
      <c r="G115" s="27" t="s">
        <v>211</v>
      </c>
      <c r="H115" s="47" t="n">
        <v>85</v>
      </c>
      <c r="I115" s="48" t="n">
        <f aca="false">INDEX($C$5:$C$26,MATCH(G115,$A$5:$A$26,0))</f>
        <v>206.535</v>
      </c>
      <c r="J115" s="40" t="n">
        <f aca="false">H115*I115</f>
        <v>17555.475</v>
      </c>
    </row>
    <row r="116" customFormat="false" ht="15" hidden="false" customHeight="false" outlineLevel="0" collapsed="false">
      <c r="E116" s="27" t="s">
        <v>148</v>
      </c>
      <c r="F116" s="27" t="s">
        <v>21</v>
      </c>
      <c r="G116" s="27" t="s">
        <v>205</v>
      </c>
      <c r="H116" s="47" t="n">
        <v>45</v>
      </c>
      <c r="I116" s="48" t="n">
        <f aca="false">INDEX($C$5:$C$26,MATCH(G116,$A$5:$A$26,0))</f>
        <v>256.515</v>
      </c>
      <c r="J116" s="40" t="n">
        <f aca="false">H116*I116</f>
        <v>11543.175</v>
      </c>
    </row>
    <row r="117" customFormat="false" ht="15" hidden="false" customHeight="false" outlineLevel="0" collapsed="false">
      <c r="E117" s="27" t="s">
        <v>148</v>
      </c>
      <c r="F117" s="27" t="s">
        <v>21</v>
      </c>
      <c r="G117" s="27" t="s">
        <v>207</v>
      </c>
      <c r="H117" s="47" t="n">
        <v>95</v>
      </c>
      <c r="I117" s="48" t="n">
        <f aca="false">INDEX($C$5:$C$26,MATCH(G117,$A$5:$A$26,0))</f>
        <v>236.67</v>
      </c>
      <c r="J117" s="40" t="n">
        <f aca="false">H117*I117</f>
        <v>22483.65</v>
      </c>
    </row>
    <row r="118" customFormat="false" ht="15" hidden="false" customHeight="false" outlineLevel="0" collapsed="false">
      <c r="E118" s="27" t="s">
        <v>148</v>
      </c>
      <c r="F118" s="27" t="s">
        <v>21</v>
      </c>
      <c r="G118" s="27" t="s">
        <v>209</v>
      </c>
      <c r="H118" s="47" t="n">
        <v>95</v>
      </c>
      <c r="I118" s="48" t="n">
        <f aca="false">INDEX($C$5:$C$26,MATCH(G118,$A$5:$A$26,0))</f>
        <v>224.175</v>
      </c>
      <c r="J118" s="40" t="n">
        <f aca="false">H118*I118</f>
        <v>21296.625</v>
      </c>
    </row>
    <row r="119" customFormat="false" ht="15" hidden="false" customHeight="false" outlineLevel="0" collapsed="false">
      <c r="E119" s="27" t="s">
        <v>148</v>
      </c>
      <c r="F119" s="27" t="s">
        <v>21</v>
      </c>
      <c r="G119" s="27" t="s">
        <v>211</v>
      </c>
      <c r="H119" s="47" t="n">
        <v>35</v>
      </c>
      <c r="I119" s="48" t="n">
        <f aca="false">INDEX($C$5:$C$26,MATCH(G119,$A$5:$A$26,0))</f>
        <v>206.535</v>
      </c>
      <c r="J119" s="40" t="n">
        <f aca="false">H119*I119</f>
        <v>7228.725</v>
      </c>
    </row>
    <row r="120" customFormat="false" ht="15" hidden="false" customHeight="false" outlineLevel="0" collapsed="false">
      <c r="E120" s="27" t="s">
        <v>148</v>
      </c>
      <c r="F120" s="27" t="s">
        <v>57</v>
      </c>
      <c r="G120" s="27" t="s">
        <v>205</v>
      </c>
      <c r="H120" s="47" t="n">
        <v>75</v>
      </c>
      <c r="I120" s="48" t="n">
        <f aca="false">INDEX($C$5:$C$26,MATCH(G120,$A$5:$A$26,0))</f>
        <v>256.515</v>
      </c>
      <c r="J120" s="40" t="n">
        <f aca="false">H120*I120</f>
        <v>19238.625</v>
      </c>
    </row>
    <row r="121" customFormat="false" ht="15" hidden="false" customHeight="false" outlineLevel="0" collapsed="false">
      <c r="E121" s="27" t="s">
        <v>148</v>
      </c>
      <c r="F121" s="27" t="s">
        <v>57</v>
      </c>
      <c r="G121" s="27" t="s">
        <v>207</v>
      </c>
      <c r="H121" s="47" t="n">
        <v>170</v>
      </c>
      <c r="I121" s="48" t="n">
        <f aca="false">INDEX($C$5:$C$26,MATCH(G121,$A$5:$A$26,0))</f>
        <v>236.67</v>
      </c>
      <c r="J121" s="40" t="n">
        <f aca="false">H121*I121</f>
        <v>40233.9</v>
      </c>
    </row>
    <row r="122" customFormat="false" ht="15" hidden="false" customHeight="false" outlineLevel="0" collapsed="false">
      <c r="E122" s="27" t="s">
        <v>148</v>
      </c>
      <c r="F122" s="27" t="s">
        <v>57</v>
      </c>
      <c r="G122" s="27" t="s">
        <v>209</v>
      </c>
      <c r="H122" s="47" t="n">
        <v>170</v>
      </c>
      <c r="I122" s="48" t="n">
        <f aca="false">INDEX($C$5:$C$26,MATCH(G122,$A$5:$A$26,0))</f>
        <v>224.175</v>
      </c>
      <c r="J122" s="40" t="n">
        <f aca="false">H122*I122</f>
        <v>38109.75</v>
      </c>
    </row>
    <row r="123" customFormat="false" ht="15" hidden="false" customHeight="false" outlineLevel="0" collapsed="false">
      <c r="E123" s="27" t="s">
        <v>148</v>
      </c>
      <c r="F123" s="27" t="s">
        <v>57</v>
      </c>
      <c r="G123" s="27" t="s">
        <v>211</v>
      </c>
      <c r="H123" s="47" t="n">
        <v>55</v>
      </c>
      <c r="I123" s="48" t="n">
        <f aca="false">INDEX($C$5:$C$26,MATCH(G123,$A$5:$A$26,0))</f>
        <v>206.535</v>
      </c>
      <c r="J123" s="40" t="n">
        <f aca="false">H123*I123</f>
        <v>11359.425</v>
      </c>
    </row>
    <row r="124" customFormat="false" ht="15" hidden="false" customHeight="false" outlineLevel="0" collapsed="false">
      <c r="E124" s="27" t="s">
        <v>148</v>
      </c>
      <c r="F124" s="27" t="s">
        <v>58</v>
      </c>
      <c r="G124" s="27" t="s">
        <v>205</v>
      </c>
      <c r="H124" s="47" t="n">
        <v>120</v>
      </c>
      <c r="I124" s="48" t="n">
        <f aca="false">INDEX($C$5:$C$26,MATCH(G124,$A$5:$A$26,0))</f>
        <v>256.515</v>
      </c>
      <c r="J124" s="40" t="n">
        <f aca="false">H124*I124</f>
        <v>30781.8</v>
      </c>
    </row>
    <row r="125" customFormat="false" ht="15" hidden="false" customHeight="false" outlineLevel="0" collapsed="false">
      <c r="E125" s="27" t="s">
        <v>148</v>
      </c>
      <c r="F125" s="27" t="s">
        <v>58</v>
      </c>
      <c r="G125" s="27" t="s">
        <v>207</v>
      </c>
      <c r="H125" s="47" t="n">
        <v>265</v>
      </c>
      <c r="I125" s="48" t="n">
        <f aca="false">INDEX($C$5:$C$26,MATCH(G125,$A$5:$A$26,0))</f>
        <v>236.67</v>
      </c>
      <c r="J125" s="40" t="n">
        <f aca="false">H125*I125</f>
        <v>62717.55</v>
      </c>
    </row>
    <row r="126" customFormat="false" ht="15" hidden="false" customHeight="false" outlineLevel="0" collapsed="false">
      <c r="E126" s="27" t="s">
        <v>148</v>
      </c>
      <c r="F126" s="27" t="s">
        <v>58</v>
      </c>
      <c r="G126" s="27" t="s">
        <v>209</v>
      </c>
      <c r="H126" s="47" t="n">
        <v>265</v>
      </c>
      <c r="I126" s="48" t="n">
        <f aca="false">INDEX($C$5:$C$26,MATCH(G126,$A$5:$A$26,0))</f>
        <v>224.175</v>
      </c>
      <c r="J126" s="40" t="n">
        <f aca="false">H126*I126</f>
        <v>59406.375</v>
      </c>
    </row>
    <row r="127" customFormat="false" ht="15" hidden="false" customHeight="false" outlineLevel="0" collapsed="false">
      <c r="E127" s="27" t="s">
        <v>148</v>
      </c>
      <c r="F127" s="27" t="s">
        <v>58</v>
      </c>
      <c r="G127" s="27" t="s">
        <v>211</v>
      </c>
      <c r="H127" s="47" t="n">
        <v>85</v>
      </c>
      <c r="I127" s="48" t="n">
        <f aca="false">INDEX($C$5:$C$26,MATCH(G127,$A$5:$A$26,0))</f>
        <v>206.535</v>
      </c>
      <c r="J127" s="40" t="n">
        <f aca="false">H127*I127</f>
        <v>17555.475</v>
      </c>
    </row>
    <row r="128" customFormat="false" ht="15" hidden="false" customHeight="false" outlineLevel="0" collapsed="false">
      <c r="E128" s="27" t="s">
        <v>148</v>
      </c>
      <c r="F128" s="27" t="s">
        <v>59</v>
      </c>
      <c r="G128" s="27" t="s">
        <v>205</v>
      </c>
      <c r="H128" s="47" t="n">
        <v>45</v>
      </c>
      <c r="I128" s="48" t="n">
        <f aca="false">INDEX($C$5:$C$26,MATCH(G128,$A$5:$A$26,0))</f>
        <v>256.515</v>
      </c>
      <c r="J128" s="40" t="n">
        <f aca="false">H128*I128</f>
        <v>11543.175</v>
      </c>
    </row>
    <row r="129" customFormat="false" ht="15" hidden="false" customHeight="false" outlineLevel="0" collapsed="false">
      <c r="E129" s="27" t="s">
        <v>148</v>
      </c>
      <c r="F129" s="27" t="s">
        <v>59</v>
      </c>
      <c r="G129" s="27" t="s">
        <v>207</v>
      </c>
      <c r="H129" s="47" t="n">
        <v>85</v>
      </c>
      <c r="I129" s="48" t="n">
        <f aca="false">INDEX($C$5:$C$26,MATCH(G129,$A$5:$A$26,0))</f>
        <v>236.67</v>
      </c>
      <c r="J129" s="40" t="n">
        <f aca="false">H129*I129</f>
        <v>20116.95</v>
      </c>
    </row>
    <row r="130" customFormat="false" ht="15" hidden="false" customHeight="false" outlineLevel="0" collapsed="false">
      <c r="E130" s="27" t="s">
        <v>148</v>
      </c>
      <c r="F130" s="27" t="s">
        <v>59</v>
      </c>
      <c r="G130" s="27" t="s">
        <v>209</v>
      </c>
      <c r="H130" s="47" t="n">
        <v>75</v>
      </c>
      <c r="I130" s="48" t="n">
        <f aca="false">INDEX($C$5:$C$26,MATCH(G130,$A$5:$A$26,0))</f>
        <v>224.175</v>
      </c>
      <c r="J130" s="40" t="n">
        <f aca="false">H130*I130</f>
        <v>16813.125</v>
      </c>
    </row>
    <row r="131" customFormat="false" ht="15" hidden="false" customHeight="false" outlineLevel="0" collapsed="false">
      <c r="E131" s="27" t="s">
        <v>148</v>
      </c>
      <c r="F131" s="27" t="s">
        <v>59</v>
      </c>
      <c r="G131" s="27" t="s">
        <v>211</v>
      </c>
      <c r="H131" s="47" t="n">
        <v>35</v>
      </c>
      <c r="I131" s="48" t="n">
        <f aca="false">INDEX($C$5:$C$26,MATCH(G131,$A$5:$A$26,0))</f>
        <v>206.535</v>
      </c>
      <c r="J131" s="40" t="n">
        <f aca="false">H131*I131</f>
        <v>7228.725</v>
      </c>
    </row>
    <row r="132" customFormat="false" ht="15" hidden="false" customHeight="false" outlineLevel="0" collapsed="false">
      <c r="E132" s="27" t="s">
        <v>148</v>
      </c>
      <c r="F132" s="27" t="s">
        <v>60</v>
      </c>
      <c r="G132" s="27" t="s">
        <v>205</v>
      </c>
      <c r="H132" s="47" t="n">
        <v>40</v>
      </c>
      <c r="I132" s="48" t="n">
        <f aca="false">INDEX($C$5:$C$26,MATCH(G132,$A$5:$A$26,0))</f>
        <v>256.515</v>
      </c>
      <c r="J132" s="40" t="n">
        <f aca="false">H132*I132</f>
        <v>10260.6</v>
      </c>
    </row>
    <row r="133" customFormat="false" ht="15" hidden="false" customHeight="false" outlineLevel="0" collapsed="false">
      <c r="E133" s="27" t="s">
        <v>148</v>
      </c>
      <c r="F133" s="27" t="s">
        <v>60</v>
      </c>
      <c r="G133" s="27" t="s">
        <v>207</v>
      </c>
      <c r="H133" s="47" t="n">
        <v>75</v>
      </c>
      <c r="I133" s="48" t="n">
        <f aca="false">INDEX($C$5:$C$26,MATCH(G133,$A$5:$A$26,0))</f>
        <v>236.67</v>
      </c>
      <c r="J133" s="40" t="n">
        <f aca="false">H133*I133</f>
        <v>17750.25</v>
      </c>
    </row>
    <row r="134" customFormat="false" ht="15" hidden="false" customHeight="false" outlineLevel="0" collapsed="false">
      <c r="E134" s="27" t="s">
        <v>148</v>
      </c>
      <c r="F134" s="27" t="s">
        <v>60</v>
      </c>
      <c r="G134" s="27" t="s">
        <v>209</v>
      </c>
      <c r="H134" s="47" t="n">
        <v>65</v>
      </c>
      <c r="I134" s="48" t="n">
        <f aca="false">INDEX($C$5:$C$26,MATCH(G134,$A$5:$A$26,0))</f>
        <v>224.175</v>
      </c>
      <c r="J134" s="40" t="n">
        <f aca="false">H134*I134</f>
        <v>14571.375</v>
      </c>
    </row>
    <row r="135" customFormat="false" ht="15" hidden="false" customHeight="false" outlineLevel="0" collapsed="false">
      <c r="E135" s="27" t="s">
        <v>148</v>
      </c>
      <c r="F135" s="27" t="s">
        <v>60</v>
      </c>
      <c r="G135" s="27" t="s">
        <v>211</v>
      </c>
      <c r="H135" s="47" t="n">
        <v>35</v>
      </c>
      <c r="I135" s="48" t="n">
        <f aca="false">INDEX($C$5:$C$26,MATCH(G135,$A$5:$A$26,0))</f>
        <v>206.535</v>
      </c>
      <c r="J135" s="40" t="n">
        <f aca="false">H135*I135</f>
        <v>7228.725</v>
      </c>
    </row>
    <row r="136" customFormat="false" ht="15" hidden="false" customHeight="false" outlineLevel="0" collapsed="false">
      <c r="E136" s="27" t="s">
        <v>148</v>
      </c>
      <c r="F136" s="27" t="s">
        <v>61</v>
      </c>
      <c r="G136" s="27" t="s">
        <v>205</v>
      </c>
      <c r="H136" s="47" t="n">
        <v>30</v>
      </c>
      <c r="I136" s="48" t="n">
        <f aca="false">INDEX($C$5:$C$26,MATCH(G136,$A$5:$A$26,0))</f>
        <v>256.515</v>
      </c>
      <c r="J136" s="40" t="n">
        <f aca="false">H136*I136</f>
        <v>7695.45</v>
      </c>
    </row>
    <row r="137" customFormat="false" ht="15" hidden="false" customHeight="false" outlineLevel="0" collapsed="false">
      <c r="E137" s="27" t="s">
        <v>148</v>
      </c>
      <c r="F137" s="27" t="s">
        <v>61</v>
      </c>
      <c r="G137" s="27" t="s">
        <v>207</v>
      </c>
      <c r="H137" s="47" t="n">
        <v>40</v>
      </c>
      <c r="I137" s="48" t="n">
        <f aca="false">INDEX($C$5:$C$26,MATCH(G137,$A$5:$A$26,0))</f>
        <v>236.67</v>
      </c>
      <c r="J137" s="40" t="n">
        <f aca="false">H137*I137</f>
        <v>9466.8</v>
      </c>
    </row>
    <row r="138" customFormat="false" ht="15" hidden="false" customHeight="false" outlineLevel="0" collapsed="false">
      <c r="E138" s="27" t="s">
        <v>148</v>
      </c>
      <c r="F138" s="27" t="s">
        <v>61</v>
      </c>
      <c r="G138" s="27" t="s">
        <v>209</v>
      </c>
      <c r="H138" s="47" t="n">
        <v>40</v>
      </c>
      <c r="I138" s="48" t="n">
        <f aca="false">INDEX($C$5:$C$26,MATCH(G138,$A$5:$A$26,0))</f>
        <v>224.175</v>
      </c>
      <c r="J138" s="40" t="n">
        <f aca="false">H138*I138</f>
        <v>8967</v>
      </c>
    </row>
    <row r="139" customFormat="false" ht="15" hidden="false" customHeight="false" outlineLevel="0" collapsed="false">
      <c r="E139" s="27" t="s">
        <v>148</v>
      </c>
      <c r="F139" s="27" t="s">
        <v>61</v>
      </c>
      <c r="G139" s="27" t="s">
        <v>211</v>
      </c>
      <c r="H139" s="47" t="n">
        <v>30</v>
      </c>
      <c r="I139" s="48" t="n">
        <f aca="false">INDEX($C$5:$C$26,MATCH(G139,$A$5:$A$26,0))</f>
        <v>206.535</v>
      </c>
      <c r="J139" s="40" t="n">
        <f aca="false">H139*I139</f>
        <v>6196.05</v>
      </c>
    </row>
    <row r="140" customFormat="false" ht="15" hidden="false" customHeight="false" outlineLevel="0" collapsed="false">
      <c r="E140" s="27" t="s">
        <v>151</v>
      </c>
      <c r="F140" s="27" t="s">
        <v>21</v>
      </c>
      <c r="G140" s="27" t="s">
        <v>207</v>
      </c>
      <c r="H140" s="47" t="n">
        <v>65</v>
      </c>
      <c r="I140" s="48" t="n">
        <f aca="false">INDEX($C$5:$C$26,MATCH(G140,$A$5:$A$26,0))</f>
        <v>236.67</v>
      </c>
      <c r="J140" s="40" t="n">
        <f aca="false">H140*I140</f>
        <v>15383.55</v>
      </c>
    </row>
    <row r="141" customFormat="false" ht="15" hidden="false" customHeight="false" outlineLevel="0" collapsed="false">
      <c r="E141" s="27" t="s">
        <v>151</v>
      </c>
      <c r="F141" s="27" t="s">
        <v>21</v>
      </c>
      <c r="G141" s="27" t="s">
        <v>209</v>
      </c>
      <c r="H141" s="47" t="n">
        <v>65</v>
      </c>
      <c r="I141" s="48" t="n">
        <f aca="false">INDEX($C$5:$C$26,MATCH(G141,$A$5:$A$26,0))</f>
        <v>224.175</v>
      </c>
      <c r="J141" s="40" t="n">
        <f aca="false">H141*I141</f>
        <v>14571.375</v>
      </c>
    </row>
    <row r="142" customFormat="false" ht="15" hidden="false" customHeight="false" outlineLevel="0" collapsed="false">
      <c r="E142" s="27" t="s">
        <v>151</v>
      </c>
      <c r="F142" s="27" t="s">
        <v>21</v>
      </c>
      <c r="G142" s="27" t="s">
        <v>211</v>
      </c>
      <c r="H142" s="47" t="n">
        <v>35</v>
      </c>
      <c r="I142" s="48" t="n">
        <f aca="false">INDEX($C$5:$C$26,MATCH(G142,$A$5:$A$26,0))</f>
        <v>206.535</v>
      </c>
      <c r="J142" s="40" t="n">
        <f aca="false">H142*I142</f>
        <v>7228.725</v>
      </c>
    </row>
    <row r="143" customFormat="false" ht="15" hidden="false" customHeight="false" outlineLevel="0" collapsed="false">
      <c r="E143" s="27" t="s">
        <v>151</v>
      </c>
      <c r="F143" s="27" t="s">
        <v>57</v>
      </c>
      <c r="G143" s="27" t="s">
        <v>207</v>
      </c>
      <c r="H143" s="47" t="n">
        <v>150</v>
      </c>
      <c r="I143" s="48" t="n">
        <f aca="false">INDEX($C$5:$C$26,MATCH(G143,$A$5:$A$26,0))</f>
        <v>236.67</v>
      </c>
      <c r="J143" s="40" t="n">
        <f aca="false">H143*I143</f>
        <v>35500.5</v>
      </c>
    </row>
    <row r="144" customFormat="false" ht="15" hidden="false" customHeight="false" outlineLevel="0" collapsed="false">
      <c r="E144" s="27" t="s">
        <v>151</v>
      </c>
      <c r="F144" s="27" t="s">
        <v>57</v>
      </c>
      <c r="G144" s="27" t="s">
        <v>209</v>
      </c>
      <c r="H144" s="47" t="n">
        <v>170</v>
      </c>
      <c r="I144" s="48" t="n">
        <f aca="false">INDEX($C$5:$C$26,MATCH(G144,$A$5:$A$26,0))</f>
        <v>224.175</v>
      </c>
      <c r="J144" s="40" t="n">
        <f aca="false">H144*I144</f>
        <v>38109.75</v>
      </c>
    </row>
    <row r="145" customFormat="false" ht="15" hidden="false" customHeight="false" outlineLevel="0" collapsed="false">
      <c r="E145" s="27" t="s">
        <v>151</v>
      </c>
      <c r="F145" s="27" t="s">
        <v>57</v>
      </c>
      <c r="G145" s="27" t="s">
        <v>211</v>
      </c>
      <c r="H145" s="47" t="n">
        <v>75</v>
      </c>
      <c r="I145" s="48" t="n">
        <f aca="false">INDEX($C$5:$C$26,MATCH(G145,$A$5:$A$26,0))</f>
        <v>206.535</v>
      </c>
      <c r="J145" s="40" t="n">
        <f aca="false">H145*I145</f>
        <v>15490.125</v>
      </c>
    </row>
    <row r="146" customFormat="false" ht="15" hidden="false" customHeight="false" outlineLevel="0" collapsed="false">
      <c r="E146" s="27" t="s">
        <v>151</v>
      </c>
      <c r="F146" s="27" t="s">
        <v>58</v>
      </c>
      <c r="G146" s="27" t="s">
        <v>207</v>
      </c>
      <c r="H146" s="47" t="n">
        <v>235</v>
      </c>
      <c r="I146" s="48" t="n">
        <f aca="false">INDEX($C$5:$C$26,MATCH(G146,$A$5:$A$26,0))</f>
        <v>236.67</v>
      </c>
      <c r="J146" s="40" t="n">
        <f aca="false">H146*I146</f>
        <v>55617.45</v>
      </c>
    </row>
    <row r="147" customFormat="false" ht="15" hidden="false" customHeight="false" outlineLevel="0" collapsed="false">
      <c r="E147" s="27" t="s">
        <v>151</v>
      </c>
      <c r="F147" s="27" t="s">
        <v>58</v>
      </c>
      <c r="G147" s="27" t="s">
        <v>209</v>
      </c>
      <c r="H147" s="47" t="n">
        <v>235</v>
      </c>
      <c r="I147" s="48" t="n">
        <f aca="false">INDEX($C$5:$C$26,MATCH(G147,$A$5:$A$26,0))</f>
        <v>224.175</v>
      </c>
      <c r="J147" s="40" t="n">
        <f aca="false">H147*I147</f>
        <v>52681.125</v>
      </c>
    </row>
    <row r="148" customFormat="false" ht="15" hidden="false" customHeight="false" outlineLevel="0" collapsed="false">
      <c r="E148" s="27" t="s">
        <v>151</v>
      </c>
      <c r="F148" s="27" t="s">
        <v>58</v>
      </c>
      <c r="G148" s="27" t="s">
        <v>211</v>
      </c>
      <c r="H148" s="47" t="n">
        <v>105</v>
      </c>
      <c r="I148" s="48" t="n">
        <f aca="false">INDEX($C$5:$C$26,MATCH(G148,$A$5:$A$26,0))</f>
        <v>206.535</v>
      </c>
      <c r="J148" s="40" t="n">
        <f aca="false">H148*I148</f>
        <v>21686.175</v>
      </c>
    </row>
    <row r="149" customFormat="false" ht="15" hidden="false" customHeight="false" outlineLevel="0" collapsed="false">
      <c r="E149" s="27" t="s">
        <v>151</v>
      </c>
      <c r="F149" s="27" t="s">
        <v>59</v>
      </c>
      <c r="G149" s="27" t="s">
        <v>207</v>
      </c>
      <c r="H149" s="47" t="n">
        <v>60</v>
      </c>
      <c r="I149" s="48" t="n">
        <f aca="false">INDEX($C$5:$C$26,MATCH(G149,$A$5:$A$26,0))</f>
        <v>236.67</v>
      </c>
      <c r="J149" s="40" t="n">
        <f aca="false">H149*I149</f>
        <v>14200.2</v>
      </c>
    </row>
    <row r="150" customFormat="false" ht="15" hidden="false" customHeight="false" outlineLevel="0" collapsed="false">
      <c r="E150" s="27" t="s">
        <v>151</v>
      </c>
      <c r="F150" s="27" t="s">
        <v>59</v>
      </c>
      <c r="G150" s="27" t="s">
        <v>209</v>
      </c>
      <c r="H150" s="47" t="n">
        <v>60</v>
      </c>
      <c r="I150" s="48" t="n">
        <f aca="false">INDEX($C$5:$C$26,MATCH(G150,$A$5:$A$26,0))</f>
        <v>224.175</v>
      </c>
      <c r="J150" s="40" t="n">
        <f aca="false">H150*I150</f>
        <v>13450.5</v>
      </c>
    </row>
    <row r="151" customFormat="false" ht="15" hidden="false" customHeight="false" outlineLevel="0" collapsed="false">
      <c r="E151" s="27" t="s">
        <v>151</v>
      </c>
      <c r="F151" s="27" t="s">
        <v>59</v>
      </c>
      <c r="G151" s="27" t="s">
        <v>211</v>
      </c>
      <c r="H151" s="47" t="n">
        <v>45</v>
      </c>
      <c r="I151" s="48" t="n">
        <f aca="false">INDEX($C$5:$C$26,MATCH(G151,$A$5:$A$26,0))</f>
        <v>206.535</v>
      </c>
      <c r="J151" s="40" t="n">
        <f aca="false">H151*I151</f>
        <v>9294.075</v>
      </c>
    </row>
    <row r="152" customFormat="false" ht="15" hidden="false" customHeight="false" outlineLevel="0" collapsed="false">
      <c r="E152" s="27" t="s">
        <v>151</v>
      </c>
      <c r="F152" s="27" t="s">
        <v>60</v>
      </c>
      <c r="G152" s="27" t="s">
        <v>205</v>
      </c>
      <c r="H152" s="47" t="n">
        <v>45</v>
      </c>
      <c r="I152" s="48" t="n">
        <f aca="false">INDEX($C$5:$C$26,MATCH(G152,$A$5:$A$26,0))</f>
        <v>256.515</v>
      </c>
      <c r="J152" s="40" t="n">
        <f aca="false">H152*I152</f>
        <v>11543.175</v>
      </c>
    </row>
    <row r="153" customFormat="false" ht="15" hidden="false" customHeight="false" outlineLevel="0" collapsed="false">
      <c r="E153" s="27" t="s">
        <v>151</v>
      </c>
      <c r="F153" s="27" t="s">
        <v>60</v>
      </c>
      <c r="G153" s="27" t="s">
        <v>207</v>
      </c>
      <c r="H153" s="47" t="n">
        <v>75</v>
      </c>
      <c r="I153" s="48" t="n">
        <f aca="false">INDEX($C$5:$C$26,MATCH(G153,$A$5:$A$26,0))</f>
        <v>236.67</v>
      </c>
      <c r="J153" s="40" t="n">
        <f aca="false">H153*I153</f>
        <v>17750.25</v>
      </c>
    </row>
    <row r="154" customFormat="false" ht="15" hidden="false" customHeight="false" outlineLevel="0" collapsed="false">
      <c r="E154" s="27" t="s">
        <v>151</v>
      </c>
      <c r="F154" s="27" t="s">
        <v>60</v>
      </c>
      <c r="G154" s="27" t="s">
        <v>209</v>
      </c>
      <c r="H154" s="47" t="n">
        <v>75</v>
      </c>
      <c r="I154" s="48" t="n">
        <f aca="false">INDEX($C$5:$C$26,MATCH(G154,$A$5:$A$26,0))</f>
        <v>224.175</v>
      </c>
      <c r="J154" s="40" t="n">
        <f aca="false">H154*I154</f>
        <v>16813.125</v>
      </c>
    </row>
    <row r="155" customFormat="false" ht="15" hidden="false" customHeight="false" outlineLevel="0" collapsed="false">
      <c r="E155" s="27" t="s">
        <v>151</v>
      </c>
      <c r="F155" s="27" t="s">
        <v>60</v>
      </c>
      <c r="G155" s="27" t="s">
        <v>211</v>
      </c>
      <c r="H155" s="47" t="n">
        <v>45</v>
      </c>
      <c r="I155" s="48" t="n">
        <f aca="false">INDEX($C$5:$C$26,MATCH(G155,$A$5:$A$26,0))</f>
        <v>206.535</v>
      </c>
      <c r="J155" s="40" t="n">
        <f aca="false">H155*I155</f>
        <v>9294.075</v>
      </c>
    </row>
    <row r="156" customFormat="false" ht="15" hidden="false" customHeight="false" outlineLevel="0" collapsed="false">
      <c r="E156" s="27" t="s">
        <v>151</v>
      </c>
      <c r="F156" s="27" t="s">
        <v>61</v>
      </c>
      <c r="G156" s="27" t="s">
        <v>205</v>
      </c>
      <c r="H156" s="47" t="n">
        <v>40</v>
      </c>
      <c r="I156" s="48" t="n">
        <f aca="false">INDEX($C$5:$C$26,MATCH(G156,$A$5:$A$26,0))</f>
        <v>256.515</v>
      </c>
      <c r="J156" s="40" t="n">
        <f aca="false">H156*I156</f>
        <v>10260.6</v>
      </c>
    </row>
    <row r="157" customFormat="false" ht="15" hidden="false" customHeight="false" outlineLevel="0" collapsed="false">
      <c r="E157" s="27" t="s">
        <v>151</v>
      </c>
      <c r="F157" s="27" t="s">
        <v>61</v>
      </c>
      <c r="G157" s="27" t="s">
        <v>207</v>
      </c>
      <c r="H157" s="47" t="n">
        <v>55</v>
      </c>
      <c r="I157" s="48" t="n">
        <f aca="false">INDEX($C$5:$C$26,MATCH(G157,$A$5:$A$26,0))</f>
        <v>236.67</v>
      </c>
      <c r="J157" s="40" t="n">
        <f aca="false">H157*I157</f>
        <v>13016.85</v>
      </c>
    </row>
    <row r="158" customFormat="false" ht="15" hidden="false" customHeight="false" outlineLevel="0" collapsed="false">
      <c r="E158" s="27" t="s">
        <v>151</v>
      </c>
      <c r="F158" s="27" t="s">
        <v>61</v>
      </c>
      <c r="G158" s="27" t="s">
        <v>209</v>
      </c>
      <c r="H158" s="47" t="n">
        <v>55</v>
      </c>
      <c r="I158" s="48" t="n">
        <f aca="false">INDEX($C$5:$C$26,MATCH(G158,$A$5:$A$26,0))</f>
        <v>224.175</v>
      </c>
      <c r="J158" s="40" t="n">
        <f aca="false">H158*I158</f>
        <v>12329.625</v>
      </c>
    </row>
    <row r="159" customFormat="false" ht="15" hidden="false" customHeight="false" outlineLevel="0" collapsed="false">
      <c r="E159" s="27" t="s">
        <v>151</v>
      </c>
      <c r="F159" s="27" t="s">
        <v>61</v>
      </c>
      <c r="G159" s="27" t="s">
        <v>211</v>
      </c>
      <c r="H159" s="47" t="n">
        <v>40</v>
      </c>
      <c r="I159" s="48" t="n">
        <f aca="false">INDEX($C$5:$C$26,MATCH(G159,$A$5:$A$26,0))</f>
        <v>206.535</v>
      </c>
      <c r="J159" s="40" t="n">
        <f aca="false">H159*I159</f>
        <v>8261.4</v>
      </c>
    </row>
    <row r="160" customFormat="false" ht="15" hidden="false" customHeight="false" outlineLevel="0" collapsed="false">
      <c r="E160" s="27" t="s">
        <v>153</v>
      </c>
      <c r="F160" s="27" t="s">
        <v>58</v>
      </c>
      <c r="G160" s="27" t="s">
        <v>205</v>
      </c>
      <c r="H160" s="47" t="n">
        <v>75</v>
      </c>
      <c r="I160" s="48" t="n">
        <f aca="false">INDEX($C$5:$C$26,MATCH(G160,$A$5:$A$26,0))</f>
        <v>256.515</v>
      </c>
      <c r="J160" s="40" t="n">
        <f aca="false">H160*I160</f>
        <v>19238.625</v>
      </c>
    </row>
    <row r="161" customFormat="false" ht="15" hidden="false" customHeight="false" outlineLevel="0" collapsed="false">
      <c r="E161" s="27" t="s">
        <v>153</v>
      </c>
      <c r="F161" s="27" t="s">
        <v>58</v>
      </c>
      <c r="G161" s="27" t="s">
        <v>207</v>
      </c>
      <c r="H161" s="47" t="n">
        <v>210</v>
      </c>
      <c r="I161" s="48" t="n">
        <f aca="false">INDEX($C$5:$C$26,MATCH(G161,$A$5:$A$26,0))</f>
        <v>236.67</v>
      </c>
      <c r="J161" s="40" t="n">
        <f aca="false">H161*I161</f>
        <v>49700.7</v>
      </c>
    </row>
    <row r="162" customFormat="false" ht="15" hidden="false" customHeight="false" outlineLevel="0" collapsed="false">
      <c r="E162" s="27" t="s">
        <v>153</v>
      </c>
      <c r="F162" s="27" t="s">
        <v>58</v>
      </c>
      <c r="G162" s="27" t="s">
        <v>209</v>
      </c>
      <c r="H162" s="47" t="n">
        <v>235</v>
      </c>
      <c r="I162" s="48" t="n">
        <f aca="false">INDEX($C$5:$C$26,MATCH(G162,$A$5:$A$26,0))</f>
        <v>224.175</v>
      </c>
      <c r="J162" s="40" t="n">
        <f aca="false">H162*I162</f>
        <v>52681.125</v>
      </c>
    </row>
    <row r="163" customFormat="false" ht="15" hidden="false" customHeight="false" outlineLevel="0" collapsed="false">
      <c r="E163" s="27" t="s">
        <v>153</v>
      </c>
      <c r="F163" s="27" t="s">
        <v>58</v>
      </c>
      <c r="G163" s="27" t="s">
        <v>211</v>
      </c>
      <c r="H163" s="47" t="n">
        <v>75</v>
      </c>
      <c r="I163" s="48" t="n">
        <f aca="false">INDEX($C$5:$C$26,MATCH(G163,$A$5:$A$26,0))</f>
        <v>206.535</v>
      </c>
      <c r="J163" s="40" t="n">
        <f aca="false">H163*I163</f>
        <v>15490.125</v>
      </c>
    </row>
    <row r="164" customFormat="false" ht="15" hidden="false" customHeight="false" outlineLevel="0" collapsed="false">
      <c r="E164" s="27" t="s">
        <v>153</v>
      </c>
      <c r="F164" s="27" t="s">
        <v>59</v>
      </c>
      <c r="G164" s="27" t="s">
        <v>205</v>
      </c>
      <c r="H164" s="47" t="n">
        <v>40</v>
      </c>
      <c r="I164" s="48" t="n">
        <f aca="false">INDEX($C$5:$C$26,MATCH(G164,$A$5:$A$26,0))</f>
        <v>256.515</v>
      </c>
      <c r="J164" s="40" t="n">
        <f aca="false">H164*I164</f>
        <v>10260.6</v>
      </c>
    </row>
    <row r="165" customFormat="false" ht="15" hidden="false" customHeight="false" outlineLevel="0" collapsed="false">
      <c r="E165" s="27" t="s">
        <v>153</v>
      </c>
      <c r="F165" s="27" t="s">
        <v>59</v>
      </c>
      <c r="G165" s="27" t="s">
        <v>207</v>
      </c>
      <c r="H165" s="47" t="n">
        <v>100</v>
      </c>
      <c r="I165" s="48" t="n">
        <f aca="false">INDEX($C$5:$C$26,MATCH(G165,$A$5:$A$26,0))</f>
        <v>236.67</v>
      </c>
      <c r="J165" s="40" t="n">
        <f aca="false">H165*I165</f>
        <v>23667</v>
      </c>
    </row>
    <row r="166" customFormat="false" ht="15" hidden="false" customHeight="false" outlineLevel="0" collapsed="false">
      <c r="E166" s="27" t="s">
        <v>153</v>
      </c>
      <c r="F166" s="27" t="s">
        <v>59</v>
      </c>
      <c r="G166" s="27" t="s">
        <v>209</v>
      </c>
      <c r="H166" s="47" t="n">
        <v>120</v>
      </c>
      <c r="I166" s="48" t="n">
        <f aca="false">INDEX($C$5:$C$26,MATCH(G166,$A$5:$A$26,0))</f>
        <v>224.175</v>
      </c>
      <c r="J166" s="40" t="n">
        <f aca="false">H166*I166</f>
        <v>26901</v>
      </c>
    </row>
    <row r="167" customFormat="false" ht="15" hidden="false" customHeight="false" outlineLevel="0" collapsed="false">
      <c r="E167" s="27" t="s">
        <v>153</v>
      </c>
      <c r="F167" s="27" t="s">
        <v>59</v>
      </c>
      <c r="G167" s="27" t="s">
        <v>211</v>
      </c>
      <c r="H167" s="47" t="n">
        <v>45</v>
      </c>
      <c r="I167" s="48" t="n">
        <f aca="false">INDEX($C$5:$C$26,MATCH(G167,$A$5:$A$26,0))</f>
        <v>206.535</v>
      </c>
      <c r="J167" s="40" t="n">
        <f aca="false">H167*I167</f>
        <v>9294.075</v>
      </c>
    </row>
    <row r="168" customFormat="false" ht="15" hidden="false" customHeight="false" outlineLevel="0" collapsed="false">
      <c r="E168" s="27" t="s">
        <v>153</v>
      </c>
      <c r="F168" s="27" t="s">
        <v>60</v>
      </c>
      <c r="G168" s="27" t="s">
        <v>205</v>
      </c>
      <c r="H168" s="47" t="n">
        <v>45</v>
      </c>
      <c r="I168" s="48" t="n">
        <f aca="false">INDEX($C$5:$C$26,MATCH(G168,$A$5:$A$26,0))</f>
        <v>256.515</v>
      </c>
      <c r="J168" s="40" t="n">
        <f aca="false">H168*I168</f>
        <v>11543.175</v>
      </c>
    </row>
    <row r="169" customFormat="false" ht="15" hidden="false" customHeight="false" outlineLevel="0" collapsed="false">
      <c r="E169" s="27" t="s">
        <v>153</v>
      </c>
      <c r="F169" s="27" t="s">
        <v>60</v>
      </c>
      <c r="G169" s="27" t="s">
        <v>207</v>
      </c>
      <c r="H169" s="47" t="n">
        <v>105</v>
      </c>
      <c r="I169" s="48" t="n">
        <f aca="false">INDEX($C$5:$C$26,MATCH(G169,$A$5:$A$26,0))</f>
        <v>236.67</v>
      </c>
      <c r="J169" s="40" t="n">
        <f aca="false">H169*I169</f>
        <v>24850.35</v>
      </c>
    </row>
    <row r="170" customFormat="false" ht="15" hidden="false" customHeight="false" outlineLevel="0" collapsed="false">
      <c r="E170" s="27" t="s">
        <v>153</v>
      </c>
      <c r="F170" s="27" t="s">
        <v>60</v>
      </c>
      <c r="G170" s="27" t="s">
        <v>209</v>
      </c>
      <c r="H170" s="47" t="n">
        <v>130</v>
      </c>
      <c r="I170" s="48" t="n">
        <f aca="false">INDEX($C$5:$C$26,MATCH(G170,$A$5:$A$26,0))</f>
        <v>224.175</v>
      </c>
      <c r="J170" s="40" t="n">
        <f aca="false">H170*I170</f>
        <v>29142.75</v>
      </c>
    </row>
    <row r="171" customFormat="false" ht="15" hidden="false" customHeight="false" outlineLevel="0" collapsed="false">
      <c r="E171" s="27" t="s">
        <v>153</v>
      </c>
      <c r="F171" s="27" t="s">
        <v>60</v>
      </c>
      <c r="G171" s="27" t="s">
        <v>211</v>
      </c>
      <c r="H171" s="47" t="n">
        <v>65</v>
      </c>
      <c r="I171" s="48" t="n">
        <f aca="false">INDEX($C$5:$C$26,MATCH(G171,$A$5:$A$26,0))</f>
        <v>206.535</v>
      </c>
      <c r="J171" s="40" t="n">
        <f aca="false">H171*I171</f>
        <v>13424.775</v>
      </c>
    </row>
    <row r="172" customFormat="false" ht="15" hidden="false" customHeight="false" outlineLevel="0" collapsed="false">
      <c r="E172" s="27" t="s">
        <v>155</v>
      </c>
      <c r="F172" s="27" t="s">
        <v>57</v>
      </c>
      <c r="G172" s="27" t="s">
        <v>205</v>
      </c>
      <c r="H172" s="47" t="n">
        <v>45</v>
      </c>
      <c r="I172" s="48" t="n">
        <f aca="false">INDEX($C$5:$C$26,MATCH(G172,$A$5:$A$26,0))</f>
        <v>256.515</v>
      </c>
      <c r="J172" s="40" t="n">
        <f aca="false">H172*I172</f>
        <v>11543.175</v>
      </c>
    </row>
    <row r="173" customFormat="false" ht="15" hidden="false" customHeight="false" outlineLevel="0" collapsed="false">
      <c r="E173" s="27" t="s">
        <v>155</v>
      </c>
      <c r="F173" s="27" t="s">
        <v>57</v>
      </c>
      <c r="G173" s="27" t="s">
        <v>207</v>
      </c>
      <c r="H173" s="47" t="n">
        <v>120</v>
      </c>
      <c r="I173" s="48" t="n">
        <f aca="false">INDEX($C$5:$C$26,MATCH(G173,$A$5:$A$26,0))</f>
        <v>236.67</v>
      </c>
      <c r="J173" s="40" t="n">
        <f aca="false">H173*I173</f>
        <v>28400.4</v>
      </c>
    </row>
    <row r="174" customFormat="false" ht="15" hidden="false" customHeight="false" outlineLevel="0" collapsed="false">
      <c r="E174" s="27" t="s">
        <v>155</v>
      </c>
      <c r="F174" s="27" t="s">
        <v>57</v>
      </c>
      <c r="G174" s="27" t="s">
        <v>209</v>
      </c>
      <c r="H174" s="47" t="n">
        <v>130</v>
      </c>
      <c r="I174" s="48" t="n">
        <f aca="false">INDEX($C$5:$C$26,MATCH(G174,$A$5:$A$26,0))</f>
        <v>224.175</v>
      </c>
      <c r="J174" s="40" t="n">
        <f aca="false">H174*I174</f>
        <v>29142.75</v>
      </c>
    </row>
    <row r="175" customFormat="false" ht="15" hidden="false" customHeight="false" outlineLevel="0" collapsed="false">
      <c r="E175" s="27" t="s">
        <v>155</v>
      </c>
      <c r="F175" s="27" t="s">
        <v>57</v>
      </c>
      <c r="G175" s="27" t="s">
        <v>211</v>
      </c>
      <c r="H175" s="47" t="n">
        <v>55</v>
      </c>
      <c r="I175" s="48" t="n">
        <f aca="false">INDEX($C$5:$C$26,MATCH(G175,$A$5:$A$26,0))</f>
        <v>206.535</v>
      </c>
      <c r="J175" s="40" t="n">
        <f aca="false">H175*I175</f>
        <v>11359.425</v>
      </c>
    </row>
    <row r="176" customFormat="false" ht="15" hidden="false" customHeight="false" outlineLevel="0" collapsed="false">
      <c r="E176" s="27" t="s">
        <v>155</v>
      </c>
      <c r="F176" s="27" t="s">
        <v>58</v>
      </c>
      <c r="G176" s="27" t="s">
        <v>205</v>
      </c>
      <c r="H176" s="47" t="n">
        <v>105</v>
      </c>
      <c r="I176" s="48" t="n">
        <f aca="false">INDEX($C$5:$C$26,MATCH(G176,$A$5:$A$26,0))</f>
        <v>256.515</v>
      </c>
      <c r="J176" s="40" t="n">
        <f aca="false">H176*I176</f>
        <v>26934.075</v>
      </c>
    </row>
    <row r="177" customFormat="false" ht="15" hidden="false" customHeight="false" outlineLevel="0" collapsed="false">
      <c r="E177" s="27" t="s">
        <v>155</v>
      </c>
      <c r="F177" s="27" t="s">
        <v>58</v>
      </c>
      <c r="G177" s="27" t="s">
        <v>207</v>
      </c>
      <c r="H177" s="47" t="n">
        <v>265</v>
      </c>
      <c r="I177" s="48" t="n">
        <f aca="false">INDEX($C$5:$C$26,MATCH(G177,$A$5:$A$26,0))</f>
        <v>236.67</v>
      </c>
      <c r="J177" s="40" t="n">
        <f aca="false">H177*I177</f>
        <v>62717.55</v>
      </c>
    </row>
    <row r="178" customFormat="false" ht="15" hidden="false" customHeight="false" outlineLevel="0" collapsed="false">
      <c r="E178" s="27" t="s">
        <v>155</v>
      </c>
      <c r="F178" s="27" t="s">
        <v>58</v>
      </c>
      <c r="G178" s="27" t="s">
        <v>209</v>
      </c>
      <c r="H178" s="47" t="n">
        <v>325</v>
      </c>
      <c r="I178" s="48" t="n">
        <f aca="false">INDEX($C$5:$C$26,MATCH(G178,$A$5:$A$26,0))</f>
        <v>224.175</v>
      </c>
      <c r="J178" s="40" t="n">
        <f aca="false">H178*I178</f>
        <v>72856.875</v>
      </c>
    </row>
    <row r="179" customFormat="false" ht="15" hidden="false" customHeight="false" outlineLevel="0" collapsed="false">
      <c r="E179" s="27" t="s">
        <v>155</v>
      </c>
      <c r="F179" s="27" t="s">
        <v>58</v>
      </c>
      <c r="G179" s="27" t="s">
        <v>211</v>
      </c>
      <c r="H179" s="47" t="n">
        <v>120</v>
      </c>
      <c r="I179" s="48" t="n">
        <f aca="false">INDEX($C$5:$C$26,MATCH(G179,$A$5:$A$26,0))</f>
        <v>206.535</v>
      </c>
      <c r="J179" s="40" t="n">
        <f aca="false">H179*I179</f>
        <v>24784.2</v>
      </c>
    </row>
    <row r="180" customFormat="false" ht="15" hidden="false" customHeight="false" outlineLevel="0" collapsed="false">
      <c r="E180" s="27" t="s">
        <v>155</v>
      </c>
      <c r="F180" s="27" t="s">
        <v>59</v>
      </c>
      <c r="G180" s="27" t="s">
        <v>205</v>
      </c>
      <c r="H180" s="47" t="n">
        <v>45</v>
      </c>
      <c r="I180" s="48" t="n">
        <f aca="false">INDEX($C$5:$C$26,MATCH(G180,$A$5:$A$26,0))</f>
        <v>256.515</v>
      </c>
      <c r="J180" s="40" t="n">
        <f aca="false">H180*I180</f>
        <v>11543.175</v>
      </c>
    </row>
    <row r="181" customFormat="false" ht="15" hidden="false" customHeight="false" outlineLevel="0" collapsed="false">
      <c r="E181" s="27" t="s">
        <v>155</v>
      </c>
      <c r="F181" s="27" t="s">
        <v>59</v>
      </c>
      <c r="G181" s="27" t="s">
        <v>207</v>
      </c>
      <c r="H181" s="47" t="n">
        <v>125</v>
      </c>
      <c r="I181" s="48" t="n">
        <f aca="false">INDEX($C$5:$C$26,MATCH(G181,$A$5:$A$26,0))</f>
        <v>236.67</v>
      </c>
      <c r="J181" s="40" t="n">
        <f aca="false">H181*I181</f>
        <v>29583.75</v>
      </c>
    </row>
    <row r="182" customFormat="false" ht="15" hidden="false" customHeight="false" outlineLevel="0" collapsed="false">
      <c r="E182" s="27" t="s">
        <v>155</v>
      </c>
      <c r="F182" s="27" t="s">
        <v>59</v>
      </c>
      <c r="G182" s="27" t="s">
        <v>209</v>
      </c>
      <c r="H182" s="47" t="n">
        <v>135</v>
      </c>
      <c r="I182" s="48" t="n">
        <f aca="false">INDEX($C$5:$C$26,MATCH(G182,$A$5:$A$26,0))</f>
        <v>224.175</v>
      </c>
      <c r="J182" s="40" t="n">
        <f aca="false">H182*I182</f>
        <v>30263.625</v>
      </c>
    </row>
    <row r="183" customFormat="false" ht="15" hidden="false" customHeight="false" outlineLevel="0" collapsed="false">
      <c r="E183" s="27" t="s">
        <v>155</v>
      </c>
      <c r="F183" s="27" t="s">
        <v>59</v>
      </c>
      <c r="G183" s="27" t="s">
        <v>211</v>
      </c>
      <c r="H183" s="47" t="n">
        <v>65</v>
      </c>
      <c r="I183" s="48" t="n">
        <f aca="false">INDEX($C$5:$C$26,MATCH(G183,$A$5:$A$26,0))</f>
        <v>206.535</v>
      </c>
      <c r="J183" s="40" t="n">
        <f aca="false">H183*I183</f>
        <v>13424.775</v>
      </c>
    </row>
    <row r="184" customFormat="false" ht="15" hidden="false" customHeight="false" outlineLevel="0" collapsed="false">
      <c r="E184" s="27" t="s">
        <v>155</v>
      </c>
      <c r="F184" s="27" t="s">
        <v>60</v>
      </c>
      <c r="G184" s="27" t="s">
        <v>205</v>
      </c>
      <c r="H184" s="47" t="n">
        <v>45</v>
      </c>
      <c r="I184" s="48" t="n">
        <f aca="false">INDEX($C$5:$C$26,MATCH(G184,$A$5:$A$26,0))</f>
        <v>256.515</v>
      </c>
      <c r="J184" s="40" t="n">
        <f aca="false">H184*I184</f>
        <v>11543.175</v>
      </c>
    </row>
    <row r="185" customFormat="false" ht="15" hidden="false" customHeight="false" outlineLevel="0" collapsed="false">
      <c r="E185" s="27" t="s">
        <v>155</v>
      </c>
      <c r="F185" s="27" t="s">
        <v>60</v>
      </c>
      <c r="G185" s="27" t="s">
        <v>207</v>
      </c>
      <c r="H185" s="47" t="n">
        <v>105</v>
      </c>
      <c r="I185" s="48" t="n">
        <f aca="false">INDEX($C$5:$C$26,MATCH(G185,$A$5:$A$26,0))</f>
        <v>236.67</v>
      </c>
      <c r="J185" s="40" t="n">
        <f aca="false">H185*I185</f>
        <v>24850.35</v>
      </c>
    </row>
    <row r="186" customFormat="false" ht="15" hidden="false" customHeight="false" outlineLevel="0" collapsed="false">
      <c r="E186" s="27" t="s">
        <v>155</v>
      </c>
      <c r="F186" s="27" t="s">
        <v>60</v>
      </c>
      <c r="G186" s="27" t="s">
        <v>209</v>
      </c>
      <c r="H186" s="47" t="n">
        <v>140</v>
      </c>
      <c r="I186" s="48" t="n">
        <f aca="false">INDEX($C$5:$C$26,MATCH(G186,$A$5:$A$26,0))</f>
        <v>224.175</v>
      </c>
      <c r="J186" s="40" t="n">
        <f aca="false">H186*I186</f>
        <v>31384.5</v>
      </c>
    </row>
    <row r="187" customFormat="false" ht="15" hidden="false" customHeight="false" outlineLevel="0" collapsed="false">
      <c r="E187" s="27" t="s">
        <v>155</v>
      </c>
      <c r="F187" s="27" t="s">
        <v>60</v>
      </c>
      <c r="G187" s="27" t="s">
        <v>211</v>
      </c>
      <c r="H187" s="47" t="n">
        <v>65</v>
      </c>
      <c r="I187" s="48" t="n">
        <f aca="false">INDEX($C$5:$C$26,MATCH(G187,$A$5:$A$26,0))</f>
        <v>206.535</v>
      </c>
      <c r="J187" s="40" t="n">
        <f aca="false">H187*I187</f>
        <v>13424.775</v>
      </c>
    </row>
    <row r="188" customFormat="false" ht="15" hidden="false" customHeight="false" outlineLevel="0" collapsed="false">
      <c r="E188" s="27" t="s">
        <v>155</v>
      </c>
      <c r="F188" s="27" t="s">
        <v>61</v>
      </c>
      <c r="G188" s="27" t="s">
        <v>205</v>
      </c>
      <c r="H188" s="47" t="n">
        <v>45</v>
      </c>
      <c r="I188" s="48" t="n">
        <f aca="false">INDEX($C$5:$C$26,MATCH(G188,$A$5:$A$26,0))</f>
        <v>256.515</v>
      </c>
      <c r="J188" s="40" t="n">
        <f aca="false">H188*I188</f>
        <v>11543.175</v>
      </c>
    </row>
    <row r="189" customFormat="false" ht="15" hidden="false" customHeight="false" outlineLevel="0" collapsed="false">
      <c r="E189" s="27" t="s">
        <v>155</v>
      </c>
      <c r="F189" s="27" t="s">
        <v>61</v>
      </c>
      <c r="G189" s="27" t="s">
        <v>207</v>
      </c>
      <c r="H189" s="47" t="n">
        <v>85</v>
      </c>
      <c r="I189" s="48" t="n">
        <f aca="false">INDEX($C$5:$C$26,MATCH(G189,$A$5:$A$26,0))</f>
        <v>236.67</v>
      </c>
      <c r="J189" s="40" t="n">
        <f aca="false">H189*I189</f>
        <v>20116.95</v>
      </c>
    </row>
    <row r="190" customFormat="false" ht="15" hidden="false" customHeight="false" outlineLevel="0" collapsed="false">
      <c r="E190" s="27" t="s">
        <v>155</v>
      </c>
      <c r="F190" s="27" t="s">
        <v>61</v>
      </c>
      <c r="G190" s="27" t="s">
        <v>209</v>
      </c>
      <c r="H190" s="47" t="n">
        <v>90</v>
      </c>
      <c r="I190" s="48" t="n">
        <f aca="false">INDEX($C$5:$C$26,MATCH(G190,$A$5:$A$26,0))</f>
        <v>224.175</v>
      </c>
      <c r="J190" s="40" t="n">
        <f aca="false">H190*I190</f>
        <v>20175.75</v>
      </c>
    </row>
    <row r="191" customFormat="false" ht="15" hidden="false" customHeight="false" outlineLevel="0" collapsed="false">
      <c r="E191" s="27" t="s">
        <v>155</v>
      </c>
      <c r="F191" s="27" t="s">
        <v>61</v>
      </c>
      <c r="G191" s="27" t="s">
        <v>211</v>
      </c>
      <c r="H191" s="47" t="n">
        <v>40</v>
      </c>
      <c r="I191" s="48" t="n">
        <f aca="false">INDEX($C$5:$C$26,MATCH(G191,$A$5:$A$26,0))</f>
        <v>206.535</v>
      </c>
      <c r="J191" s="40" t="n">
        <f aca="false">H191*I191</f>
        <v>8261.4</v>
      </c>
    </row>
    <row r="192" customFormat="false" ht="15" hidden="false" customHeight="false" outlineLevel="0" collapsed="false">
      <c r="E192" s="27" t="s">
        <v>157</v>
      </c>
      <c r="F192" s="27" t="s">
        <v>58</v>
      </c>
      <c r="G192" s="27" t="s">
        <v>205</v>
      </c>
      <c r="H192" s="47" t="n">
        <v>65</v>
      </c>
      <c r="I192" s="48" t="n">
        <f aca="false">INDEX($C$5:$C$26,MATCH(G192,$A$5:$A$26,0))</f>
        <v>256.515</v>
      </c>
      <c r="J192" s="40" t="n">
        <f aca="false">H192*I192</f>
        <v>16673.475</v>
      </c>
    </row>
    <row r="193" customFormat="false" ht="15" hidden="false" customHeight="false" outlineLevel="0" collapsed="false">
      <c r="E193" s="27" t="s">
        <v>157</v>
      </c>
      <c r="F193" s="27" t="s">
        <v>58</v>
      </c>
      <c r="G193" s="27" t="s">
        <v>207</v>
      </c>
      <c r="H193" s="47" t="n">
        <v>140</v>
      </c>
      <c r="I193" s="48" t="n">
        <f aca="false">INDEX($C$5:$C$26,MATCH(G193,$A$5:$A$26,0))</f>
        <v>236.67</v>
      </c>
      <c r="J193" s="40" t="n">
        <f aca="false">H193*I193</f>
        <v>33133.8</v>
      </c>
    </row>
    <row r="194" customFormat="false" ht="15" hidden="false" customHeight="false" outlineLevel="0" collapsed="false">
      <c r="E194" s="27" t="s">
        <v>157</v>
      </c>
      <c r="F194" s="27" t="s">
        <v>58</v>
      </c>
      <c r="G194" s="27" t="s">
        <v>209</v>
      </c>
      <c r="H194" s="47" t="n">
        <v>150</v>
      </c>
      <c r="I194" s="48" t="n">
        <f aca="false">INDEX($C$5:$C$26,MATCH(G194,$A$5:$A$26,0))</f>
        <v>224.175</v>
      </c>
      <c r="J194" s="40" t="n">
        <f aca="false">H194*I194</f>
        <v>33626.25</v>
      </c>
    </row>
    <row r="195" customFormat="false" ht="15" hidden="false" customHeight="false" outlineLevel="0" collapsed="false">
      <c r="E195" s="27" t="s">
        <v>157</v>
      </c>
      <c r="F195" s="27" t="s">
        <v>58</v>
      </c>
      <c r="G195" s="27" t="s">
        <v>211</v>
      </c>
      <c r="H195" s="47" t="n">
        <v>45</v>
      </c>
      <c r="I195" s="48" t="n">
        <f aca="false">INDEX($C$5:$C$26,MATCH(G195,$A$5:$A$26,0))</f>
        <v>206.535</v>
      </c>
      <c r="J195" s="40" t="n">
        <f aca="false">H195*I195</f>
        <v>9294.075</v>
      </c>
    </row>
    <row r="196" customFormat="false" ht="15" hidden="false" customHeight="false" outlineLevel="0" collapsed="false">
      <c r="E196" s="27" t="s">
        <v>157</v>
      </c>
      <c r="F196" s="27" t="s">
        <v>59</v>
      </c>
      <c r="G196" s="27" t="s">
        <v>205</v>
      </c>
      <c r="H196" s="47" t="n">
        <v>40</v>
      </c>
      <c r="I196" s="48" t="n">
        <f aca="false">INDEX($C$5:$C$26,MATCH(G196,$A$5:$A$26,0))</f>
        <v>256.515</v>
      </c>
      <c r="J196" s="40" t="n">
        <f aca="false">H196*I196</f>
        <v>10260.6</v>
      </c>
    </row>
    <row r="197" customFormat="false" ht="15" hidden="false" customHeight="false" outlineLevel="0" collapsed="false">
      <c r="E197" s="27" t="s">
        <v>157</v>
      </c>
      <c r="F197" s="27" t="s">
        <v>59</v>
      </c>
      <c r="G197" s="27" t="s">
        <v>207</v>
      </c>
      <c r="H197" s="47" t="n">
        <v>85</v>
      </c>
      <c r="I197" s="48" t="n">
        <f aca="false">INDEX($C$5:$C$26,MATCH(G197,$A$5:$A$26,0))</f>
        <v>236.67</v>
      </c>
      <c r="J197" s="40" t="n">
        <f aca="false">H197*I197</f>
        <v>20116.95</v>
      </c>
    </row>
    <row r="198" customFormat="false" ht="15" hidden="false" customHeight="false" outlineLevel="0" collapsed="false">
      <c r="E198" s="27" t="s">
        <v>157</v>
      </c>
      <c r="F198" s="27" t="s">
        <v>59</v>
      </c>
      <c r="G198" s="27" t="s">
        <v>209</v>
      </c>
      <c r="H198" s="47" t="n">
        <v>95</v>
      </c>
      <c r="I198" s="48" t="n">
        <f aca="false">INDEX($C$5:$C$26,MATCH(G198,$A$5:$A$26,0))</f>
        <v>224.175</v>
      </c>
      <c r="J198" s="40" t="n">
        <f aca="false">H198*I198</f>
        <v>21296.625</v>
      </c>
    </row>
    <row r="199" customFormat="false" ht="15" hidden="false" customHeight="false" outlineLevel="0" collapsed="false">
      <c r="E199" s="27" t="s">
        <v>157</v>
      </c>
      <c r="F199" s="27" t="s">
        <v>59</v>
      </c>
      <c r="G199" s="27" t="s">
        <v>211</v>
      </c>
      <c r="H199" s="47" t="n">
        <v>45</v>
      </c>
      <c r="I199" s="48" t="n">
        <f aca="false">INDEX($C$5:$C$26,MATCH(G199,$A$5:$A$26,0))</f>
        <v>206.535</v>
      </c>
      <c r="J199" s="40" t="n">
        <f aca="false">H199*I199</f>
        <v>9294.075</v>
      </c>
    </row>
    <row r="200" customFormat="false" ht="15" hidden="false" customHeight="false" outlineLevel="0" collapsed="false">
      <c r="E200" s="27" t="s">
        <v>157</v>
      </c>
      <c r="F200" s="27" t="s">
        <v>60</v>
      </c>
      <c r="G200" s="27" t="s">
        <v>205</v>
      </c>
      <c r="H200" s="47" t="n">
        <v>45</v>
      </c>
      <c r="I200" s="48" t="n">
        <f aca="false">INDEX($C$5:$C$26,MATCH(G200,$A$5:$A$26,0))</f>
        <v>256.515</v>
      </c>
      <c r="J200" s="40" t="n">
        <f aca="false">H200*I200</f>
        <v>11543.175</v>
      </c>
    </row>
    <row r="201" customFormat="false" ht="15" hidden="false" customHeight="false" outlineLevel="0" collapsed="false">
      <c r="E201" s="27" t="s">
        <v>157</v>
      </c>
      <c r="F201" s="27" t="s">
        <v>60</v>
      </c>
      <c r="G201" s="27" t="s">
        <v>207</v>
      </c>
      <c r="H201" s="47" t="n">
        <v>105</v>
      </c>
      <c r="I201" s="48" t="n">
        <f aca="false">INDEX($C$5:$C$26,MATCH(G201,$A$5:$A$26,0))</f>
        <v>236.67</v>
      </c>
      <c r="J201" s="40" t="n">
        <f aca="false">H201*I201</f>
        <v>24850.35</v>
      </c>
    </row>
    <row r="202" customFormat="false" ht="15" hidden="false" customHeight="false" outlineLevel="0" collapsed="false">
      <c r="E202" s="27" t="s">
        <v>157</v>
      </c>
      <c r="F202" s="27" t="s">
        <v>60</v>
      </c>
      <c r="G202" s="27" t="s">
        <v>209</v>
      </c>
      <c r="H202" s="47" t="n">
        <v>105</v>
      </c>
      <c r="I202" s="48" t="n">
        <f aca="false">INDEX($C$5:$C$26,MATCH(G202,$A$5:$A$26,0))</f>
        <v>224.175</v>
      </c>
      <c r="J202" s="40" t="n">
        <f aca="false">H202*I202</f>
        <v>23538.375</v>
      </c>
    </row>
    <row r="203" customFormat="false" ht="15" hidden="false" customHeight="false" outlineLevel="0" collapsed="false">
      <c r="E203" s="27" t="s">
        <v>157</v>
      </c>
      <c r="F203" s="27" t="s">
        <v>60</v>
      </c>
      <c r="G203" s="27" t="s">
        <v>211</v>
      </c>
      <c r="H203" s="47" t="n">
        <v>45</v>
      </c>
      <c r="I203" s="48" t="n">
        <f aca="false">INDEX($C$5:$C$26,MATCH(G203,$A$5:$A$26,0))</f>
        <v>206.535</v>
      </c>
      <c r="J203" s="40" t="n">
        <f aca="false">H203*I203</f>
        <v>9294.075</v>
      </c>
    </row>
    <row r="204" customFormat="false" ht="15" hidden="false" customHeight="false" outlineLevel="0" collapsed="false">
      <c r="E204" s="27" t="s">
        <v>157</v>
      </c>
      <c r="F204" s="27" t="s">
        <v>61</v>
      </c>
      <c r="G204" s="27" t="s">
        <v>205</v>
      </c>
      <c r="H204" s="47" t="n">
        <v>45</v>
      </c>
      <c r="I204" s="48" t="n">
        <f aca="false">INDEX($C$5:$C$26,MATCH(G204,$A$5:$A$26,0))</f>
        <v>256.515</v>
      </c>
      <c r="J204" s="40" t="n">
        <f aca="false">H204*I204</f>
        <v>11543.175</v>
      </c>
    </row>
    <row r="205" customFormat="false" ht="15" hidden="false" customHeight="false" outlineLevel="0" collapsed="false">
      <c r="E205" s="27" t="s">
        <v>157</v>
      </c>
      <c r="F205" s="27" t="s">
        <v>61</v>
      </c>
      <c r="G205" s="27" t="s">
        <v>207</v>
      </c>
      <c r="H205" s="47" t="n">
        <v>85</v>
      </c>
      <c r="I205" s="48" t="n">
        <f aca="false">INDEX($C$5:$C$26,MATCH(G205,$A$5:$A$26,0))</f>
        <v>236.67</v>
      </c>
      <c r="J205" s="40" t="n">
        <f aca="false">H205*I205</f>
        <v>20116.95</v>
      </c>
    </row>
    <row r="206" customFormat="false" ht="15" hidden="false" customHeight="false" outlineLevel="0" collapsed="false">
      <c r="E206" s="27" t="s">
        <v>157</v>
      </c>
      <c r="F206" s="27" t="s">
        <v>61</v>
      </c>
      <c r="G206" s="27" t="s">
        <v>209</v>
      </c>
      <c r="H206" s="47" t="n">
        <v>75</v>
      </c>
      <c r="I206" s="48" t="n">
        <f aca="false">INDEX($C$5:$C$26,MATCH(G206,$A$5:$A$26,0))</f>
        <v>224.175</v>
      </c>
      <c r="J206" s="40" t="n">
        <f aca="false">H206*I206</f>
        <v>16813.125</v>
      </c>
    </row>
    <row r="207" customFormat="false" ht="15" hidden="false" customHeight="false" outlineLevel="0" collapsed="false">
      <c r="E207" s="27" t="s">
        <v>157</v>
      </c>
      <c r="F207" s="27" t="s">
        <v>61</v>
      </c>
      <c r="G207" s="27" t="s">
        <v>211</v>
      </c>
      <c r="H207" s="47" t="n">
        <v>40</v>
      </c>
      <c r="I207" s="48" t="n">
        <f aca="false">INDEX($C$5:$C$26,MATCH(G207,$A$5:$A$26,0))</f>
        <v>206.535</v>
      </c>
      <c r="J207" s="40" t="n">
        <f aca="false">H207*I207</f>
        <v>8261.4</v>
      </c>
    </row>
    <row r="208" customFormat="false" ht="15" hidden="false" customHeight="false" outlineLevel="0" collapsed="false">
      <c r="E208" s="27" t="s">
        <v>159</v>
      </c>
      <c r="F208" s="27" t="s">
        <v>60</v>
      </c>
      <c r="G208" s="27" t="s">
        <v>205</v>
      </c>
      <c r="H208" s="47" t="n">
        <v>45</v>
      </c>
      <c r="I208" s="48" t="n">
        <f aca="false">INDEX($C$5:$C$26,MATCH(G208,$A$5:$A$26,0))</f>
        <v>256.515</v>
      </c>
      <c r="J208" s="40" t="n">
        <f aca="false">H208*I208</f>
        <v>11543.175</v>
      </c>
    </row>
    <row r="209" customFormat="false" ht="15" hidden="false" customHeight="false" outlineLevel="0" collapsed="false">
      <c r="E209" s="27" t="s">
        <v>159</v>
      </c>
      <c r="F209" s="27" t="s">
        <v>60</v>
      </c>
      <c r="G209" s="27" t="s">
        <v>207</v>
      </c>
      <c r="H209" s="47" t="n">
        <v>105</v>
      </c>
      <c r="I209" s="48" t="n">
        <f aca="false">INDEX($C$5:$C$26,MATCH(G209,$A$5:$A$26,0))</f>
        <v>236.67</v>
      </c>
      <c r="J209" s="40" t="n">
        <f aca="false">H209*I209</f>
        <v>24850.35</v>
      </c>
    </row>
    <row r="210" customFormat="false" ht="15" hidden="false" customHeight="false" outlineLevel="0" collapsed="false">
      <c r="E210" s="27" t="s">
        <v>159</v>
      </c>
      <c r="F210" s="27" t="s">
        <v>60</v>
      </c>
      <c r="G210" s="27" t="s">
        <v>209</v>
      </c>
      <c r="H210" s="47" t="n">
        <v>140</v>
      </c>
      <c r="I210" s="48" t="n">
        <f aca="false">INDEX($C$5:$C$26,MATCH(G210,$A$5:$A$26,0))</f>
        <v>224.175</v>
      </c>
      <c r="J210" s="40" t="n">
        <f aca="false">H210*I210</f>
        <v>31384.5</v>
      </c>
    </row>
    <row r="211" customFormat="false" ht="15" hidden="false" customHeight="false" outlineLevel="0" collapsed="false">
      <c r="E211" s="27" t="s">
        <v>159</v>
      </c>
      <c r="F211" s="27" t="s">
        <v>60</v>
      </c>
      <c r="G211" s="27" t="s">
        <v>211</v>
      </c>
      <c r="H211" s="47" t="n">
        <v>65</v>
      </c>
      <c r="I211" s="48" t="n">
        <f aca="false">INDEX($C$5:$C$26,MATCH(G211,$A$5:$A$26,0))</f>
        <v>206.535</v>
      </c>
      <c r="J211" s="40" t="n">
        <f aca="false">H211*I211</f>
        <v>13424.775</v>
      </c>
    </row>
    <row r="212" customFormat="false" ht="15" hidden="false" customHeight="false" outlineLevel="0" collapsed="false">
      <c r="E212" s="27" t="s">
        <v>159</v>
      </c>
      <c r="F212" s="27" t="s">
        <v>61</v>
      </c>
      <c r="G212" s="27" t="s">
        <v>205</v>
      </c>
      <c r="H212" s="47" t="n">
        <v>55</v>
      </c>
      <c r="I212" s="48" t="n">
        <f aca="false">INDEX($C$5:$C$26,MATCH(G212,$A$5:$A$26,0))</f>
        <v>256.515</v>
      </c>
      <c r="J212" s="40" t="n">
        <f aca="false">H212*I212</f>
        <v>14108.325</v>
      </c>
    </row>
    <row r="213" customFormat="false" ht="15" hidden="false" customHeight="false" outlineLevel="0" collapsed="false">
      <c r="E213" s="27" t="s">
        <v>159</v>
      </c>
      <c r="F213" s="27" t="s">
        <v>61</v>
      </c>
      <c r="G213" s="27" t="s">
        <v>207</v>
      </c>
      <c r="H213" s="47" t="n">
        <v>155</v>
      </c>
      <c r="I213" s="48" t="n">
        <f aca="false">INDEX($C$5:$C$26,MATCH(G213,$A$5:$A$26,0))</f>
        <v>236.67</v>
      </c>
      <c r="J213" s="40" t="n">
        <f aca="false">H213*I213</f>
        <v>36683.85</v>
      </c>
    </row>
    <row r="214" customFormat="false" ht="15" hidden="false" customHeight="false" outlineLevel="0" collapsed="false">
      <c r="E214" s="27" t="s">
        <v>159</v>
      </c>
      <c r="F214" s="27" t="s">
        <v>61</v>
      </c>
      <c r="G214" s="27" t="s">
        <v>209</v>
      </c>
      <c r="H214" s="47" t="n">
        <v>190</v>
      </c>
      <c r="I214" s="48" t="n">
        <f aca="false">INDEX($C$5:$C$26,MATCH(G214,$A$5:$A$26,0))</f>
        <v>224.175</v>
      </c>
      <c r="J214" s="40" t="n">
        <f aca="false">H214*I214</f>
        <v>42593.25</v>
      </c>
    </row>
    <row r="215" customFormat="false" ht="15" hidden="false" customHeight="false" outlineLevel="0" collapsed="false">
      <c r="E215" s="27" t="s">
        <v>159</v>
      </c>
      <c r="F215" s="27" t="s">
        <v>61</v>
      </c>
      <c r="G215" s="27" t="s">
        <v>211</v>
      </c>
      <c r="H215" s="47" t="n">
        <v>75</v>
      </c>
      <c r="I215" s="48" t="n">
        <f aca="false">INDEX($C$5:$C$26,MATCH(G215,$A$5:$A$26,0))</f>
        <v>206.535</v>
      </c>
      <c r="J215" s="40" t="n">
        <f aca="false">H215*I215</f>
        <v>15490.125</v>
      </c>
    </row>
    <row r="216" customFormat="false" ht="15" hidden="false" customHeight="false" outlineLevel="0" collapsed="false">
      <c r="E216" s="27" t="s">
        <v>161</v>
      </c>
      <c r="F216" s="27" t="s">
        <v>58</v>
      </c>
      <c r="G216" s="27" t="s">
        <v>205</v>
      </c>
      <c r="H216" s="47" t="n">
        <v>80</v>
      </c>
      <c r="I216" s="48" t="n">
        <f aca="false">INDEX($C$5:$C$26,MATCH(G216,$A$5:$A$26,0))</f>
        <v>256.515</v>
      </c>
      <c r="J216" s="40" t="n">
        <f aca="false">H216*I216</f>
        <v>20521.2</v>
      </c>
    </row>
    <row r="217" customFormat="false" ht="15" hidden="false" customHeight="false" outlineLevel="0" collapsed="false">
      <c r="E217" s="27" t="s">
        <v>161</v>
      </c>
      <c r="F217" s="27" t="s">
        <v>58</v>
      </c>
      <c r="G217" s="27" t="s">
        <v>207</v>
      </c>
      <c r="H217" s="47" t="n">
        <v>230</v>
      </c>
      <c r="I217" s="48" t="n">
        <f aca="false">INDEX($C$5:$C$26,MATCH(G217,$A$5:$A$26,0))</f>
        <v>236.67</v>
      </c>
      <c r="J217" s="40" t="n">
        <f aca="false">H217*I217</f>
        <v>54434.1</v>
      </c>
    </row>
    <row r="218" customFormat="false" ht="15" hidden="false" customHeight="false" outlineLevel="0" collapsed="false">
      <c r="E218" s="27" t="s">
        <v>161</v>
      </c>
      <c r="F218" s="27" t="s">
        <v>58</v>
      </c>
      <c r="G218" s="27" t="s">
        <v>209</v>
      </c>
      <c r="H218" s="47" t="n">
        <v>190</v>
      </c>
      <c r="I218" s="48" t="n">
        <f aca="false">INDEX($C$5:$C$26,MATCH(G218,$A$5:$A$26,0))</f>
        <v>224.175</v>
      </c>
      <c r="J218" s="40" t="n">
        <f aca="false">H218*I218</f>
        <v>42593.25</v>
      </c>
    </row>
    <row r="219" customFormat="false" ht="15" hidden="false" customHeight="false" outlineLevel="0" collapsed="false">
      <c r="E219" s="27" t="s">
        <v>161</v>
      </c>
      <c r="F219" s="27" t="s">
        <v>58</v>
      </c>
      <c r="G219" s="27" t="s">
        <v>211</v>
      </c>
      <c r="H219" s="47" t="n">
        <v>65</v>
      </c>
      <c r="I219" s="48" t="n">
        <f aca="false">INDEX($C$5:$C$26,MATCH(G219,$A$5:$A$26,0))</f>
        <v>206.535</v>
      </c>
      <c r="J219" s="40" t="n">
        <f aca="false">H219*I219</f>
        <v>13424.775</v>
      </c>
    </row>
    <row r="220" customFormat="false" ht="15" hidden="false" customHeight="false" outlineLevel="0" collapsed="false">
      <c r="E220" s="27" t="s">
        <v>163</v>
      </c>
      <c r="F220" s="27" t="s">
        <v>59</v>
      </c>
      <c r="G220" s="27" t="s">
        <v>205</v>
      </c>
      <c r="H220" s="47" t="n">
        <v>45</v>
      </c>
      <c r="I220" s="48" t="n">
        <f aca="false">INDEX($C$5:$C$26,MATCH(G220,$A$5:$A$26,0))</f>
        <v>256.515</v>
      </c>
      <c r="J220" s="40" t="n">
        <f aca="false">H220*I220</f>
        <v>11543.175</v>
      </c>
    </row>
    <row r="221" customFormat="false" ht="15" hidden="false" customHeight="false" outlineLevel="0" collapsed="false">
      <c r="E221" s="27" t="s">
        <v>163</v>
      </c>
      <c r="F221" s="27" t="s">
        <v>59</v>
      </c>
      <c r="G221" s="27" t="s">
        <v>207</v>
      </c>
      <c r="H221" s="47" t="n">
        <v>180</v>
      </c>
      <c r="I221" s="48" t="n">
        <f aca="false">INDEX($C$5:$C$26,MATCH(G221,$A$5:$A$26,0))</f>
        <v>236.67</v>
      </c>
      <c r="J221" s="40" t="n">
        <f aca="false">H221*I221</f>
        <v>42600.6</v>
      </c>
    </row>
    <row r="222" customFormat="false" ht="15" hidden="false" customHeight="false" outlineLevel="0" collapsed="false">
      <c r="E222" s="27" t="s">
        <v>163</v>
      </c>
      <c r="F222" s="27" t="s">
        <v>59</v>
      </c>
      <c r="G222" s="27" t="s">
        <v>209</v>
      </c>
      <c r="H222" s="47" t="n">
        <v>165</v>
      </c>
      <c r="I222" s="48" t="n">
        <f aca="false">INDEX($C$5:$C$26,MATCH(G222,$A$5:$A$26,0))</f>
        <v>224.175</v>
      </c>
      <c r="J222" s="40" t="n">
        <f aca="false">H222*I222</f>
        <v>36988.875</v>
      </c>
    </row>
    <row r="223" customFormat="false" ht="15" hidden="false" customHeight="false" outlineLevel="0" collapsed="false">
      <c r="E223" s="27" t="s">
        <v>163</v>
      </c>
      <c r="F223" s="27" t="s">
        <v>59</v>
      </c>
      <c r="G223" s="27" t="s">
        <v>211</v>
      </c>
      <c r="H223" s="47" t="n">
        <v>60</v>
      </c>
      <c r="I223" s="48" t="n">
        <f aca="false">INDEX($C$5:$C$26,MATCH(G223,$A$5:$A$26,0))</f>
        <v>206.535</v>
      </c>
      <c r="J223" s="40" t="n">
        <f aca="false">H223*I223</f>
        <v>12392.1</v>
      </c>
    </row>
    <row r="224" customFormat="false" ht="15" hidden="false" customHeight="false" outlineLevel="0" collapsed="false">
      <c r="E224" s="27" t="s">
        <v>163</v>
      </c>
      <c r="F224" s="27" t="s">
        <v>60</v>
      </c>
      <c r="G224" s="27" t="s">
        <v>205</v>
      </c>
      <c r="H224" s="47" t="n">
        <v>40</v>
      </c>
      <c r="I224" s="48" t="n">
        <f aca="false">INDEX($C$5:$C$26,MATCH(G224,$A$5:$A$26,0))</f>
        <v>256.515</v>
      </c>
      <c r="J224" s="40" t="n">
        <f aca="false">H224*I224</f>
        <v>10260.6</v>
      </c>
    </row>
    <row r="225" customFormat="false" ht="15" hidden="false" customHeight="false" outlineLevel="0" collapsed="false">
      <c r="E225" s="27" t="s">
        <v>163</v>
      </c>
      <c r="F225" s="27" t="s">
        <v>60</v>
      </c>
      <c r="G225" s="27" t="s">
        <v>207</v>
      </c>
      <c r="H225" s="47" t="n">
        <v>105</v>
      </c>
      <c r="I225" s="48" t="n">
        <f aca="false">INDEX($C$5:$C$26,MATCH(G225,$A$5:$A$26,0))</f>
        <v>236.67</v>
      </c>
      <c r="J225" s="40" t="n">
        <f aca="false">H225*I225</f>
        <v>24850.35</v>
      </c>
    </row>
    <row r="226" customFormat="false" ht="15" hidden="false" customHeight="false" outlineLevel="0" collapsed="false">
      <c r="E226" s="27" t="s">
        <v>163</v>
      </c>
      <c r="F226" s="27" t="s">
        <v>60</v>
      </c>
      <c r="G226" s="27" t="s">
        <v>209</v>
      </c>
      <c r="H226" s="47" t="n">
        <v>130</v>
      </c>
      <c r="I226" s="48" t="n">
        <f aca="false">INDEX($C$5:$C$26,MATCH(G226,$A$5:$A$26,0))</f>
        <v>224.175</v>
      </c>
      <c r="J226" s="40" t="n">
        <f aca="false">H226*I226</f>
        <v>29142.75</v>
      </c>
    </row>
    <row r="227" customFormat="false" ht="15" hidden="false" customHeight="false" outlineLevel="0" collapsed="false">
      <c r="E227" s="27" t="s">
        <v>163</v>
      </c>
      <c r="F227" s="27" t="s">
        <v>60</v>
      </c>
      <c r="G227" s="27" t="s">
        <v>211</v>
      </c>
      <c r="H227" s="47" t="n">
        <v>65</v>
      </c>
      <c r="I227" s="48" t="n">
        <f aca="false">INDEX($C$5:$C$26,MATCH(G227,$A$5:$A$26,0))</f>
        <v>206.535</v>
      </c>
      <c r="J227" s="40" t="n">
        <f aca="false">H227*I227</f>
        <v>13424.775</v>
      </c>
    </row>
    <row r="228" customFormat="false" ht="15" hidden="false" customHeight="false" outlineLevel="0" collapsed="false">
      <c r="E228" s="27" t="s">
        <v>163</v>
      </c>
      <c r="F228" s="27" t="s">
        <v>61</v>
      </c>
      <c r="G228" s="27" t="s">
        <v>205</v>
      </c>
      <c r="H228" s="47" t="n">
        <v>30</v>
      </c>
      <c r="I228" s="48" t="n">
        <f aca="false">INDEX($C$5:$C$26,MATCH(G228,$A$5:$A$26,0))</f>
        <v>256.515</v>
      </c>
      <c r="J228" s="40" t="n">
        <f aca="false">H228*I228</f>
        <v>7695.45</v>
      </c>
    </row>
    <row r="229" customFormat="false" ht="15" hidden="false" customHeight="false" outlineLevel="0" collapsed="false">
      <c r="E229" s="27" t="s">
        <v>163</v>
      </c>
      <c r="F229" s="27" t="s">
        <v>61</v>
      </c>
      <c r="G229" s="27" t="s">
        <v>207</v>
      </c>
      <c r="H229" s="47" t="n">
        <v>70</v>
      </c>
      <c r="I229" s="48" t="n">
        <f aca="false">INDEX($C$5:$C$26,MATCH(G229,$A$5:$A$26,0))</f>
        <v>236.67</v>
      </c>
      <c r="J229" s="40" t="n">
        <f aca="false">H229*I229</f>
        <v>16566.9</v>
      </c>
    </row>
    <row r="230" customFormat="false" ht="15" hidden="false" customHeight="false" outlineLevel="0" collapsed="false">
      <c r="E230" s="27" t="s">
        <v>163</v>
      </c>
      <c r="F230" s="27" t="s">
        <v>61</v>
      </c>
      <c r="G230" s="27" t="s">
        <v>209</v>
      </c>
      <c r="H230" s="47" t="n">
        <v>70</v>
      </c>
      <c r="I230" s="48" t="n">
        <f aca="false">INDEX($C$5:$C$26,MATCH(G230,$A$5:$A$26,0))</f>
        <v>224.175</v>
      </c>
      <c r="J230" s="40" t="n">
        <f aca="false">H230*I230</f>
        <v>15692.25</v>
      </c>
    </row>
    <row r="231" customFormat="false" ht="15" hidden="false" customHeight="false" outlineLevel="0" collapsed="false">
      <c r="E231" s="27" t="s">
        <v>163</v>
      </c>
      <c r="F231" s="27" t="s">
        <v>61</v>
      </c>
      <c r="G231" s="27" t="s">
        <v>211</v>
      </c>
      <c r="H231" s="47" t="n">
        <v>55</v>
      </c>
      <c r="I231" s="48" t="n">
        <f aca="false">INDEX($C$5:$C$26,MATCH(G231,$A$5:$A$26,0))</f>
        <v>206.535</v>
      </c>
      <c r="J231" s="40" t="n">
        <f aca="false">H231*I231</f>
        <v>11359.425</v>
      </c>
    </row>
    <row r="232" customFormat="false" ht="15" hidden="false" customHeight="false" outlineLevel="0" collapsed="false">
      <c r="E232" s="27" t="s">
        <v>165</v>
      </c>
      <c r="F232" s="27" t="s">
        <v>28</v>
      </c>
      <c r="G232" s="27" t="s">
        <v>205</v>
      </c>
      <c r="H232" s="47" t="n">
        <v>45</v>
      </c>
      <c r="I232" s="48" t="n">
        <f aca="false">INDEX($C$5:$C$26,MATCH(G232,$A$5:$A$26,0))</f>
        <v>256.515</v>
      </c>
      <c r="J232" s="40" t="n">
        <f aca="false">H232*I232</f>
        <v>11543.175</v>
      </c>
    </row>
    <row r="233" customFormat="false" ht="15" hidden="false" customHeight="false" outlineLevel="0" collapsed="false">
      <c r="E233" s="27" t="s">
        <v>165</v>
      </c>
      <c r="F233" s="27" t="s">
        <v>28</v>
      </c>
      <c r="G233" s="27" t="s">
        <v>207</v>
      </c>
      <c r="H233" s="47" t="n">
        <v>95</v>
      </c>
      <c r="I233" s="48" t="n">
        <f aca="false">INDEX($C$5:$C$26,MATCH(G233,$A$5:$A$26,0))</f>
        <v>236.67</v>
      </c>
      <c r="J233" s="40" t="n">
        <f aca="false">H233*I233</f>
        <v>22483.65</v>
      </c>
    </row>
    <row r="234" customFormat="false" ht="15" hidden="false" customHeight="false" outlineLevel="0" collapsed="false">
      <c r="E234" s="27" t="s">
        <v>165</v>
      </c>
      <c r="F234" s="27" t="s">
        <v>28</v>
      </c>
      <c r="G234" s="27" t="s">
        <v>209</v>
      </c>
      <c r="H234" s="47" t="n">
        <v>140</v>
      </c>
      <c r="I234" s="48" t="n">
        <f aca="false">INDEX($C$5:$C$26,MATCH(G234,$A$5:$A$26,0))</f>
        <v>224.175</v>
      </c>
      <c r="J234" s="40" t="n">
        <f aca="false">H234*I234</f>
        <v>31384.5</v>
      </c>
    </row>
    <row r="235" customFormat="false" ht="15" hidden="false" customHeight="false" outlineLevel="0" collapsed="false">
      <c r="E235" s="27" t="s">
        <v>165</v>
      </c>
      <c r="F235" s="27" t="s">
        <v>28</v>
      </c>
      <c r="G235" s="27" t="s">
        <v>211</v>
      </c>
      <c r="H235" s="47" t="n">
        <v>65</v>
      </c>
      <c r="I235" s="48" t="n">
        <f aca="false">INDEX($C$5:$C$26,MATCH(G235,$A$5:$A$26,0))</f>
        <v>206.535</v>
      </c>
      <c r="J235" s="40" t="n">
        <f aca="false">H235*I235</f>
        <v>13424.775</v>
      </c>
    </row>
    <row r="236" customFormat="false" ht="15" hidden="false" customHeight="false" outlineLevel="0" collapsed="false">
      <c r="E236" s="27" t="s">
        <v>21</v>
      </c>
      <c r="F236" s="27" t="s">
        <v>28</v>
      </c>
      <c r="G236" s="27" t="s">
        <v>205</v>
      </c>
      <c r="H236" s="47" t="n">
        <v>55</v>
      </c>
      <c r="I236" s="48" t="n">
        <f aca="false">INDEX($C$5:$C$26,MATCH(G236,$A$5:$A$26,0))</f>
        <v>256.515</v>
      </c>
      <c r="J236" s="40" t="n">
        <f aca="false">H236*I236</f>
        <v>14108.325</v>
      </c>
    </row>
    <row r="237" customFormat="false" ht="15" hidden="false" customHeight="false" outlineLevel="0" collapsed="false">
      <c r="E237" s="27" t="s">
        <v>21</v>
      </c>
      <c r="F237" s="27" t="s">
        <v>28</v>
      </c>
      <c r="G237" s="27" t="s">
        <v>207</v>
      </c>
      <c r="H237" s="47" t="n">
        <v>95</v>
      </c>
      <c r="I237" s="48" t="n">
        <f aca="false">INDEX($C$5:$C$26,MATCH(G237,$A$5:$A$26,0))</f>
        <v>236.67</v>
      </c>
      <c r="J237" s="40" t="n">
        <f aca="false">H237*I237</f>
        <v>22483.65</v>
      </c>
    </row>
    <row r="238" customFormat="false" ht="15" hidden="false" customHeight="false" outlineLevel="0" collapsed="false">
      <c r="E238" s="27" t="s">
        <v>21</v>
      </c>
      <c r="F238" s="27" t="s">
        <v>28</v>
      </c>
      <c r="G238" s="27" t="s">
        <v>209</v>
      </c>
      <c r="H238" s="47" t="n">
        <v>85</v>
      </c>
      <c r="I238" s="48" t="n">
        <f aca="false">INDEX($C$5:$C$26,MATCH(G238,$A$5:$A$26,0))</f>
        <v>224.175</v>
      </c>
      <c r="J238" s="40" t="n">
        <f aca="false">H238*I238</f>
        <v>19054.875</v>
      </c>
    </row>
    <row r="239" customFormat="false" ht="15" hidden="false" customHeight="false" outlineLevel="0" collapsed="false">
      <c r="E239" s="27" t="s">
        <v>21</v>
      </c>
      <c r="F239" s="27" t="s">
        <v>28</v>
      </c>
      <c r="G239" s="27" t="s">
        <v>211</v>
      </c>
      <c r="H239" s="47" t="n">
        <v>35</v>
      </c>
      <c r="I239" s="48" t="n">
        <f aca="false">INDEX($C$5:$C$26,MATCH(G239,$A$5:$A$26,0))</f>
        <v>206.535</v>
      </c>
      <c r="J239" s="40" t="n">
        <f aca="false">H239*I239</f>
        <v>7228.725</v>
      </c>
    </row>
    <row r="240" customFormat="false" ht="15" hidden="false" customHeight="false" outlineLevel="0" collapsed="false">
      <c r="E240" s="27" t="s">
        <v>21</v>
      </c>
      <c r="F240" s="27" t="s">
        <v>21</v>
      </c>
      <c r="G240" s="27" t="s">
        <v>205</v>
      </c>
      <c r="H240" s="47" t="n">
        <v>65</v>
      </c>
      <c r="I240" s="48" t="n">
        <f aca="false">INDEX($C$5:$C$26,MATCH(G240,$A$5:$A$26,0))</f>
        <v>256.515</v>
      </c>
      <c r="J240" s="40" t="n">
        <f aca="false">H240*I240</f>
        <v>16673.475</v>
      </c>
    </row>
    <row r="241" customFormat="false" ht="15" hidden="false" customHeight="false" outlineLevel="0" collapsed="false">
      <c r="E241" s="27" t="s">
        <v>21</v>
      </c>
      <c r="F241" s="27" t="s">
        <v>21</v>
      </c>
      <c r="G241" s="27" t="s">
        <v>207</v>
      </c>
      <c r="H241" s="47" t="n">
        <v>140</v>
      </c>
      <c r="I241" s="48" t="n">
        <f aca="false">INDEX($C$5:$C$26,MATCH(G241,$A$5:$A$26,0))</f>
        <v>236.67</v>
      </c>
      <c r="J241" s="40" t="n">
        <f aca="false">H241*I241</f>
        <v>33133.8</v>
      </c>
    </row>
    <row r="242" customFormat="false" ht="15" hidden="false" customHeight="false" outlineLevel="0" collapsed="false">
      <c r="E242" s="27" t="s">
        <v>21</v>
      </c>
      <c r="F242" s="27" t="s">
        <v>21</v>
      </c>
      <c r="G242" s="27" t="s">
        <v>209</v>
      </c>
      <c r="H242" s="47" t="n">
        <v>130</v>
      </c>
      <c r="I242" s="48" t="n">
        <f aca="false">INDEX($C$5:$C$26,MATCH(G242,$A$5:$A$26,0))</f>
        <v>224.175</v>
      </c>
      <c r="J242" s="40" t="n">
        <f aca="false">H242*I242</f>
        <v>29142.75</v>
      </c>
    </row>
    <row r="243" customFormat="false" ht="15" hidden="false" customHeight="false" outlineLevel="0" collapsed="false">
      <c r="E243" s="27" t="s">
        <v>21</v>
      </c>
      <c r="F243" s="27" t="s">
        <v>21</v>
      </c>
      <c r="G243" s="27" t="s">
        <v>211</v>
      </c>
      <c r="H243" s="47" t="n">
        <v>45</v>
      </c>
      <c r="I243" s="48" t="n">
        <f aca="false">INDEX($C$5:$C$26,MATCH(G243,$A$5:$A$26,0))</f>
        <v>206.535</v>
      </c>
      <c r="J243" s="40" t="n">
        <f aca="false">H243*I243</f>
        <v>9294.075</v>
      </c>
    </row>
    <row r="244" customFormat="false" ht="15" hidden="false" customHeight="false" outlineLevel="0" collapsed="false">
      <c r="E244" s="27" t="s">
        <v>57</v>
      </c>
      <c r="F244" s="27" t="s">
        <v>28</v>
      </c>
      <c r="G244" s="27" t="s">
        <v>205</v>
      </c>
      <c r="H244" s="47" t="n">
        <v>35</v>
      </c>
      <c r="I244" s="48" t="n">
        <f aca="false">INDEX($C$5:$C$26,MATCH(G244,$A$5:$A$26,0))</f>
        <v>256.515</v>
      </c>
      <c r="J244" s="40" t="n">
        <f aca="false">H244*I244</f>
        <v>8978.025</v>
      </c>
    </row>
    <row r="245" customFormat="false" ht="15" hidden="false" customHeight="false" outlineLevel="0" collapsed="false">
      <c r="E245" s="27" t="s">
        <v>57</v>
      </c>
      <c r="F245" s="27" t="s">
        <v>28</v>
      </c>
      <c r="G245" s="27" t="s">
        <v>207</v>
      </c>
      <c r="H245" s="47" t="n">
        <v>70</v>
      </c>
      <c r="I245" s="48" t="n">
        <f aca="false">INDEX($C$5:$C$26,MATCH(G245,$A$5:$A$26,0))</f>
        <v>236.67</v>
      </c>
      <c r="J245" s="40" t="n">
        <f aca="false">H245*I245</f>
        <v>16566.9</v>
      </c>
    </row>
    <row r="246" customFormat="false" ht="15" hidden="false" customHeight="false" outlineLevel="0" collapsed="false">
      <c r="E246" s="27" t="s">
        <v>57</v>
      </c>
      <c r="F246" s="27" t="s">
        <v>28</v>
      </c>
      <c r="G246" s="27" t="s">
        <v>209</v>
      </c>
      <c r="H246" s="47" t="n">
        <v>60</v>
      </c>
      <c r="I246" s="48" t="n">
        <f aca="false">INDEX($C$5:$C$26,MATCH(G246,$A$5:$A$26,0))</f>
        <v>224.175</v>
      </c>
      <c r="J246" s="40" t="n">
        <f aca="false">H246*I246</f>
        <v>13450.5</v>
      </c>
    </row>
    <row r="247" customFormat="false" ht="15" hidden="false" customHeight="false" outlineLevel="0" collapsed="false">
      <c r="E247" s="27" t="s">
        <v>57</v>
      </c>
      <c r="F247" s="27" t="s">
        <v>28</v>
      </c>
      <c r="G247" s="27" t="s">
        <v>211</v>
      </c>
      <c r="H247" s="47" t="n">
        <v>30</v>
      </c>
      <c r="I247" s="48" t="n">
        <f aca="false">INDEX($C$5:$C$26,MATCH(G247,$A$5:$A$26,0))</f>
        <v>206.535</v>
      </c>
      <c r="J247" s="40" t="n">
        <f aca="false">H247*I247</f>
        <v>6196.05</v>
      </c>
    </row>
    <row r="248" customFormat="false" ht="15" hidden="false" customHeight="false" outlineLevel="0" collapsed="false">
      <c r="E248" s="27" t="s">
        <v>57</v>
      </c>
      <c r="F248" s="27" t="s">
        <v>21</v>
      </c>
      <c r="G248" s="27" t="s">
        <v>205</v>
      </c>
      <c r="H248" s="47" t="n">
        <v>45</v>
      </c>
      <c r="I248" s="48" t="n">
        <f aca="false">INDEX($C$5:$C$26,MATCH(G248,$A$5:$A$26,0))</f>
        <v>256.515</v>
      </c>
      <c r="J248" s="40" t="n">
        <f aca="false">H248*I248</f>
        <v>11543.175</v>
      </c>
    </row>
    <row r="249" customFormat="false" ht="15" hidden="false" customHeight="false" outlineLevel="0" collapsed="false">
      <c r="E249" s="27" t="s">
        <v>57</v>
      </c>
      <c r="F249" s="27" t="s">
        <v>21</v>
      </c>
      <c r="G249" s="27" t="s">
        <v>207</v>
      </c>
      <c r="H249" s="47" t="n">
        <v>120</v>
      </c>
      <c r="I249" s="48" t="n">
        <f aca="false">INDEX($C$5:$C$26,MATCH(G249,$A$5:$A$26,0))</f>
        <v>236.67</v>
      </c>
      <c r="J249" s="40" t="n">
        <f aca="false">H249*I249</f>
        <v>28400.4</v>
      </c>
    </row>
    <row r="250" customFormat="false" ht="15" hidden="false" customHeight="false" outlineLevel="0" collapsed="false">
      <c r="E250" s="27" t="s">
        <v>57</v>
      </c>
      <c r="F250" s="27" t="s">
        <v>21</v>
      </c>
      <c r="G250" s="27" t="s">
        <v>209</v>
      </c>
      <c r="H250" s="47" t="n">
        <v>100</v>
      </c>
      <c r="I250" s="48" t="n">
        <f aca="false">INDEX($C$5:$C$26,MATCH(G250,$A$5:$A$26,0))</f>
        <v>224.175</v>
      </c>
      <c r="J250" s="40" t="n">
        <f aca="false">H250*I250</f>
        <v>22417.5</v>
      </c>
    </row>
    <row r="251" customFormat="false" ht="15" hidden="false" customHeight="false" outlineLevel="0" collapsed="false">
      <c r="E251" s="27" t="s">
        <v>57</v>
      </c>
      <c r="F251" s="27" t="s">
        <v>21</v>
      </c>
      <c r="G251" s="27" t="s">
        <v>211</v>
      </c>
      <c r="H251" s="47" t="n">
        <v>40</v>
      </c>
      <c r="I251" s="48" t="n">
        <f aca="false">INDEX($C$5:$C$26,MATCH(G251,$A$5:$A$26,0))</f>
        <v>206.535</v>
      </c>
      <c r="J251" s="40" t="n">
        <f aca="false">H251*I251</f>
        <v>8261.4</v>
      </c>
    </row>
    <row r="252" customFormat="false" ht="15" hidden="false" customHeight="false" outlineLevel="0" collapsed="false">
      <c r="E252" s="27" t="s">
        <v>57</v>
      </c>
      <c r="F252" s="27" t="s">
        <v>57</v>
      </c>
      <c r="G252" s="27" t="s">
        <v>205</v>
      </c>
      <c r="H252" s="47" t="n">
        <v>75</v>
      </c>
      <c r="I252" s="48" t="n">
        <f aca="false">INDEX($C$5:$C$26,MATCH(G252,$A$5:$A$26,0))</f>
        <v>256.515</v>
      </c>
      <c r="J252" s="40" t="n">
        <f aca="false">H252*I252</f>
        <v>19238.625</v>
      </c>
    </row>
    <row r="253" customFormat="false" ht="15" hidden="false" customHeight="false" outlineLevel="0" collapsed="false">
      <c r="E253" s="27" t="s">
        <v>57</v>
      </c>
      <c r="F253" s="27" t="s">
        <v>57</v>
      </c>
      <c r="G253" s="27" t="s">
        <v>207</v>
      </c>
      <c r="H253" s="47" t="n">
        <v>190</v>
      </c>
      <c r="I253" s="48" t="n">
        <f aca="false">INDEX($C$5:$C$26,MATCH(G253,$A$5:$A$26,0))</f>
        <v>236.67</v>
      </c>
      <c r="J253" s="40" t="n">
        <f aca="false">H253*I253</f>
        <v>44967.3</v>
      </c>
    </row>
    <row r="254" customFormat="false" ht="15" hidden="false" customHeight="false" outlineLevel="0" collapsed="false">
      <c r="E254" s="27" t="s">
        <v>57</v>
      </c>
      <c r="F254" s="27" t="s">
        <v>57</v>
      </c>
      <c r="G254" s="27" t="s">
        <v>209</v>
      </c>
      <c r="H254" s="47" t="n">
        <v>200</v>
      </c>
      <c r="I254" s="48" t="n">
        <f aca="false">INDEX($C$5:$C$26,MATCH(G254,$A$5:$A$26,0))</f>
        <v>224.175</v>
      </c>
      <c r="J254" s="40" t="n">
        <f aca="false">H254*I254</f>
        <v>44835</v>
      </c>
    </row>
    <row r="255" customFormat="false" ht="15" hidden="false" customHeight="false" outlineLevel="0" collapsed="false">
      <c r="E255" s="27" t="s">
        <v>57</v>
      </c>
      <c r="F255" s="27" t="s">
        <v>57</v>
      </c>
      <c r="G255" s="27" t="s">
        <v>211</v>
      </c>
      <c r="H255" s="47" t="n">
        <v>75</v>
      </c>
      <c r="I255" s="48" t="n">
        <f aca="false">INDEX($C$5:$C$26,MATCH(G255,$A$5:$A$26,0))</f>
        <v>206.535</v>
      </c>
      <c r="J255" s="40" t="n">
        <f aca="false">H255*I255</f>
        <v>15490.125</v>
      </c>
    </row>
    <row r="256" customFormat="false" ht="15" hidden="false" customHeight="false" outlineLevel="0" collapsed="false">
      <c r="E256" s="27" t="s">
        <v>57</v>
      </c>
      <c r="F256" s="27" t="s">
        <v>58</v>
      </c>
      <c r="G256" s="27" t="s">
        <v>205</v>
      </c>
      <c r="H256" s="47" t="n">
        <v>85</v>
      </c>
      <c r="I256" s="48" t="n">
        <f aca="false">INDEX($C$5:$C$26,MATCH(G256,$A$5:$A$26,0))</f>
        <v>256.515</v>
      </c>
      <c r="J256" s="40" t="n">
        <f aca="false">H256*I256</f>
        <v>21803.775</v>
      </c>
    </row>
    <row r="257" customFormat="false" ht="15" hidden="false" customHeight="false" outlineLevel="0" collapsed="false">
      <c r="E257" s="27" t="s">
        <v>57</v>
      </c>
      <c r="F257" s="27" t="s">
        <v>58</v>
      </c>
      <c r="G257" s="27" t="s">
        <v>207</v>
      </c>
      <c r="H257" s="47" t="n">
        <v>235</v>
      </c>
      <c r="I257" s="48" t="n">
        <f aca="false">INDEX($C$5:$C$26,MATCH(G257,$A$5:$A$26,0))</f>
        <v>236.67</v>
      </c>
      <c r="J257" s="40" t="n">
        <f aca="false">H257*I257</f>
        <v>55617.45</v>
      </c>
    </row>
    <row r="258" customFormat="false" ht="15" hidden="false" customHeight="false" outlineLevel="0" collapsed="false">
      <c r="E258" s="27" t="s">
        <v>57</v>
      </c>
      <c r="F258" s="27" t="s">
        <v>58</v>
      </c>
      <c r="G258" s="27" t="s">
        <v>209</v>
      </c>
      <c r="H258" s="47" t="n">
        <v>225</v>
      </c>
      <c r="I258" s="48" t="n">
        <f aca="false">INDEX($C$5:$C$26,MATCH(G258,$A$5:$A$26,0))</f>
        <v>224.175</v>
      </c>
      <c r="J258" s="40" t="n">
        <f aca="false">H258*I258</f>
        <v>50439.375</v>
      </c>
    </row>
    <row r="259" customFormat="false" ht="15" hidden="false" customHeight="false" outlineLevel="0" collapsed="false">
      <c r="E259" s="27" t="s">
        <v>57</v>
      </c>
      <c r="F259" s="27" t="s">
        <v>58</v>
      </c>
      <c r="G259" s="27" t="s">
        <v>211</v>
      </c>
      <c r="H259" s="47" t="n">
        <v>85</v>
      </c>
      <c r="I259" s="48" t="n">
        <f aca="false">INDEX($C$5:$C$26,MATCH(G259,$A$5:$A$26,0))</f>
        <v>206.535</v>
      </c>
      <c r="J259" s="40" t="n">
        <f aca="false">H259*I259</f>
        <v>17555.475</v>
      </c>
    </row>
    <row r="260" customFormat="false" ht="15" hidden="false" customHeight="false" outlineLevel="0" collapsed="false">
      <c r="E260" s="27" t="s">
        <v>57</v>
      </c>
      <c r="F260" s="27" t="s">
        <v>59</v>
      </c>
      <c r="G260" s="27" t="s">
        <v>205</v>
      </c>
      <c r="H260" s="47" t="n">
        <v>45</v>
      </c>
      <c r="I260" s="48" t="n">
        <f aca="false">INDEX($C$5:$C$26,MATCH(G260,$A$5:$A$26,0))</f>
        <v>256.515</v>
      </c>
      <c r="J260" s="40" t="n">
        <f aca="false">H260*I260</f>
        <v>11543.175</v>
      </c>
    </row>
    <row r="261" customFormat="false" ht="15" hidden="false" customHeight="false" outlineLevel="0" collapsed="false">
      <c r="E261" s="27" t="s">
        <v>57</v>
      </c>
      <c r="F261" s="27" t="s">
        <v>59</v>
      </c>
      <c r="G261" s="27" t="s">
        <v>207</v>
      </c>
      <c r="H261" s="47" t="n">
        <v>85</v>
      </c>
      <c r="I261" s="48" t="n">
        <f aca="false">INDEX($C$5:$C$26,MATCH(G261,$A$5:$A$26,0))</f>
        <v>236.67</v>
      </c>
      <c r="J261" s="40" t="n">
        <f aca="false">H261*I261</f>
        <v>20116.95</v>
      </c>
    </row>
    <row r="262" customFormat="false" ht="15" hidden="false" customHeight="false" outlineLevel="0" collapsed="false">
      <c r="E262" s="27" t="s">
        <v>57</v>
      </c>
      <c r="F262" s="27" t="s">
        <v>59</v>
      </c>
      <c r="G262" s="27" t="s">
        <v>209</v>
      </c>
      <c r="H262" s="47" t="n">
        <v>90</v>
      </c>
      <c r="I262" s="48" t="n">
        <f aca="false">INDEX($C$5:$C$26,MATCH(G262,$A$5:$A$26,0))</f>
        <v>224.175</v>
      </c>
      <c r="J262" s="40" t="n">
        <f aca="false">H262*I262</f>
        <v>20175.75</v>
      </c>
    </row>
    <row r="263" customFormat="false" ht="15" hidden="false" customHeight="false" outlineLevel="0" collapsed="false">
      <c r="E263" s="27" t="s">
        <v>57</v>
      </c>
      <c r="F263" s="27" t="s">
        <v>59</v>
      </c>
      <c r="G263" s="27" t="s">
        <v>211</v>
      </c>
      <c r="H263" s="47" t="n">
        <v>55</v>
      </c>
      <c r="I263" s="48" t="n">
        <f aca="false">INDEX($C$5:$C$26,MATCH(G263,$A$5:$A$26,0))</f>
        <v>206.535</v>
      </c>
      <c r="J263" s="40" t="n">
        <f aca="false">H263*I263</f>
        <v>11359.425</v>
      </c>
    </row>
    <row r="264" customFormat="false" ht="15" hidden="false" customHeight="false" outlineLevel="0" collapsed="false">
      <c r="E264" s="27" t="s">
        <v>57</v>
      </c>
      <c r="F264" s="27" t="s">
        <v>60</v>
      </c>
      <c r="G264" s="27" t="s">
        <v>205</v>
      </c>
      <c r="H264" s="47" t="n">
        <v>45</v>
      </c>
      <c r="I264" s="48" t="n">
        <f aca="false">INDEX($C$5:$C$26,MATCH(G264,$A$5:$A$26,0))</f>
        <v>256.515</v>
      </c>
      <c r="J264" s="40" t="n">
        <f aca="false">H264*I264</f>
        <v>11543.175</v>
      </c>
    </row>
    <row r="265" customFormat="false" ht="15" hidden="false" customHeight="false" outlineLevel="0" collapsed="false">
      <c r="E265" s="27" t="s">
        <v>57</v>
      </c>
      <c r="F265" s="27" t="s">
        <v>60</v>
      </c>
      <c r="G265" s="27" t="s">
        <v>207</v>
      </c>
      <c r="H265" s="47" t="n">
        <v>90</v>
      </c>
      <c r="I265" s="48" t="n">
        <f aca="false">INDEX($C$5:$C$26,MATCH(G265,$A$5:$A$26,0))</f>
        <v>236.67</v>
      </c>
      <c r="J265" s="40" t="n">
        <f aca="false">H265*I265</f>
        <v>21300.3</v>
      </c>
    </row>
    <row r="266" customFormat="false" ht="15" hidden="false" customHeight="false" outlineLevel="0" collapsed="false">
      <c r="E266" s="27" t="s">
        <v>57</v>
      </c>
      <c r="F266" s="27" t="s">
        <v>60</v>
      </c>
      <c r="G266" s="27" t="s">
        <v>209</v>
      </c>
      <c r="H266" s="47" t="n">
        <v>90</v>
      </c>
      <c r="I266" s="48" t="n">
        <f aca="false">INDEX($C$5:$C$26,MATCH(G266,$A$5:$A$26,0))</f>
        <v>224.175</v>
      </c>
      <c r="J266" s="40" t="n">
        <f aca="false">H266*I266</f>
        <v>20175.75</v>
      </c>
    </row>
    <row r="267" customFormat="false" ht="15" hidden="false" customHeight="false" outlineLevel="0" collapsed="false">
      <c r="E267" s="27" t="s">
        <v>57</v>
      </c>
      <c r="F267" s="27" t="s">
        <v>60</v>
      </c>
      <c r="G267" s="27" t="s">
        <v>211</v>
      </c>
      <c r="H267" s="47" t="n">
        <v>60</v>
      </c>
      <c r="I267" s="48" t="n">
        <f aca="false">INDEX($C$5:$C$26,MATCH(G267,$A$5:$A$26,0))</f>
        <v>206.535</v>
      </c>
      <c r="J267" s="40" t="n">
        <f aca="false">H267*I267</f>
        <v>12392.1</v>
      </c>
    </row>
    <row r="268" customFormat="false" ht="15" hidden="false" customHeight="false" outlineLevel="0" collapsed="false">
      <c r="E268" s="27" t="s">
        <v>169</v>
      </c>
      <c r="F268" s="27" t="s">
        <v>58</v>
      </c>
      <c r="G268" s="27" t="s">
        <v>205</v>
      </c>
      <c r="H268" s="47" t="n">
        <v>7</v>
      </c>
      <c r="I268" s="48" t="n">
        <f aca="false">INDEX($C$5:$C$26,MATCH(G268,$A$5:$A$26,0))</f>
        <v>256.515</v>
      </c>
      <c r="J268" s="40" t="n">
        <f aca="false">H268*I268</f>
        <v>1795.605</v>
      </c>
    </row>
    <row r="269" customFormat="false" ht="15" hidden="false" customHeight="false" outlineLevel="0" collapsed="false">
      <c r="E269" s="27" t="s">
        <v>169</v>
      </c>
      <c r="F269" s="27" t="s">
        <v>58</v>
      </c>
      <c r="G269" s="27" t="s">
        <v>207</v>
      </c>
      <c r="H269" s="47" t="n">
        <v>235</v>
      </c>
      <c r="I269" s="48" t="n">
        <f aca="false">INDEX($C$5:$C$26,MATCH(G269,$A$5:$A$26,0))</f>
        <v>236.67</v>
      </c>
      <c r="J269" s="40" t="n">
        <f aca="false">H269*I269</f>
        <v>55617.45</v>
      </c>
    </row>
    <row r="270" customFormat="false" ht="15" hidden="false" customHeight="false" outlineLevel="0" collapsed="false">
      <c r="E270" s="27" t="s">
        <v>169</v>
      </c>
      <c r="F270" s="27" t="s">
        <v>58</v>
      </c>
      <c r="G270" s="27" t="s">
        <v>209</v>
      </c>
      <c r="H270" s="47" t="n">
        <v>280</v>
      </c>
      <c r="I270" s="48" t="n">
        <f aca="false">INDEX($C$5:$C$26,MATCH(G270,$A$5:$A$26,0))</f>
        <v>224.175</v>
      </c>
      <c r="J270" s="40" t="n">
        <f aca="false">H270*I270</f>
        <v>62769</v>
      </c>
    </row>
    <row r="271" customFormat="false" ht="15" hidden="false" customHeight="false" outlineLevel="0" collapsed="false">
      <c r="E271" s="27" t="s">
        <v>169</v>
      </c>
      <c r="F271" s="27" t="s">
        <v>58</v>
      </c>
      <c r="G271" s="27" t="s">
        <v>211</v>
      </c>
      <c r="H271" s="47" t="n">
        <v>75</v>
      </c>
      <c r="I271" s="48" t="n">
        <f aca="false">INDEX($C$5:$C$26,MATCH(G271,$A$5:$A$26,0))</f>
        <v>206.535</v>
      </c>
      <c r="J271" s="40" t="n">
        <f aca="false">H271*I271</f>
        <v>15490.125</v>
      </c>
    </row>
    <row r="272" customFormat="false" ht="15" hidden="false" customHeight="false" outlineLevel="0" collapsed="false">
      <c r="E272" s="27" t="s">
        <v>171</v>
      </c>
      <c r="F272" s="27" t="s">
        <v>57</v>
      </c>
      <c r="G272" s="27" t="s">
        <v>205</v>
      </c>
      <c r="H272" s="47" t="n">
        <v>40</v>
      </c>
      <c r="I272" s="48" t="n">
        <f aca="false">INDEX($C$5:$C$26,MATCH(G272,$A$5:$A$26,0))</f>
        <v>256.515</v>
      </c>
      <c r="J272" s="40" t="n">
        <f aca="false">H272*I272</f>
        <v>10260.6</v>
      </c>
    </row>
    <row r="273" customFormat="false" ht="15" hidden="false" customHeight="false" outlineLevel="0" collapsed="false">
      <c r="E273" s="27" t="s">
        <v>171</v>
      </c>
      <c r="F273" s="27" t="s">
        <v>57</v>
      </c>
      <c r="G273" s="27" t="s">
        <v>207</v>
      </c>
      <c r="H273" s="47" t="n">
        <v>85</v>
      </c>
      <c r="I273" s="48" t="n">
        <f aca="false">INDEX($C$5:$C$26,MATCH(G273,$A$5:$A$26,0))</f>
        <v>236.67</v>
      </c>
      <c r="J273" s="40" t="n">
        <f aca="false">H273*I273</f>
        <v>20116.95</v>
      </c>
    </row>
    <row r="274" customFormat="false" ht="15" hidden="false" customHeight="false" outlineLevel="0" collapsed="false">
      <c r="E274" s="27" t="s">
        <v>171</v>
      </c>
      <c r="F274" s="27" t="s">
        <v>57</v>
      </c>
      <c r="G274" s="27" t="s">
        <v>209</v>
      </c>
      <c r="H274" s="47" t="n">
        <v>105</v>
      </c>
      <c r="I274" s="48" t="n">
        <f aca="false">INDEX($C$5:$C$26,MATCH(G274,$A$5:$A$26,0))</f>
        <v>224.175</v>
      </c>
      <c r="J274" s="40" t="n">
        <f aca="false">H274*I274</f>
        <v>23538.375</v>
      </c>
    </row>
    <row r="275" customFormat="false" ht="15" hidden="false" customHeight="false" outlineLevel="0" collapsed="false">
      <c r="E275" s="27" t="s">
        <v>171</v>
      </c>
      <c r="F275" s="27" t="s">
        <v>57</v>
      </c>
      <c r="G275" s="27" t="s">
        <v>211</v>
      </c>
      <c r="H275" s="47" t="n">
        <v>55</v>
      </c>
      <c r="I275" s="48" t="n">
        <f aca="false">INDEX($C$5:$C$26,MATCH(G275,$A$5:$A$26,0))</f>
        <v>206.535</v>
      </c>
      <c r="J275" s="40" t="n">
        <f aca="false">H275*I275</f>
        <v>11359.425</v>
      </c>
    </row>
    <row r="276" customFormat="false" ht="15" hidden="false" customHeight="false" outlineLevel="0" collapsed="false">
      <c r="E276" s="27" t="s">
        <v>171</v>
      </c>
      <c r="F276" s="27" t="s">
        <v>58</v>
      </c>
      <c r="G276" s="27" t="s">
        <v>205</v>
      </c>
      <c r="H276" s="47" t="n">
        <v>85</v>
      </c>
      <c r="I276" s="48" t="n">
        <f aca="false">INDEX($C$5:$C$26,MATCH(G276,$A$5:$A$26,0))</f>
        <v>256.515</v>
      </c>
      <c r="J276" s="40" t="n">
        <f aca="false">H276*I276</f>
        <v>21803.775</v>
      </c>
    </row>
    <row r="277" customFormat="false" ht="15" hidden="false" customHeight="false" outlineLevel="0" collapsed="false">
      <c r="E277" s="27" t="s">
        <v>171</v>
      </c>
      <c r="F277" s="27" t="s">
        <v>58</v>
      </c>
      <c r="G277" s="27" t="s">
        <v>207</v>
      </c>
      <c r="H277" s="47" t="n">
        <v>225</v>
      </c>
      <c r="I277" s="48" t="n">
        <f aca="false">INDEX($C$5:$C$26,MATCH(G277,$A$5:$A$26,0))</f>
        <v>236.67</v>
      </c>
      <c r="J277" s="40" t="n">
        <f aca="false">H277*I277</f>
        <v>53250.75</v>
      </c>
    </row>
    <row r="278" customFormat="false" ht="15" hidden="false" customHeight="false" outlineLevel="0" collapsed="false">
      <c r="E278" s="27" t="s">
        <v>171</v>
      </c>
      <c r="F278" s="27" t="s">
        <v>58</v>
      </c>
      <c r="G278" s="27" t="s">
        <v>209</v>
      </c>
      <c r="H278" s="47" t="n">
        <v>265</v>
      </c>
      <c r="I278" s="48" t="n">
        <f aca="false">INDEX($C$5:$C$26,MATCH(G278,$A$5:$A$26,0))</f>
        <v>224.175</v>
      </c>
      <c r="J278" s="40" t="n">
        <f aca="false">H278*I278</f>
        <v>59406.375</v>
      </c>
    </row>
    <row r="279" customFormat="false" ht="15" hidden="false" customHeight="false" outlineLevel="0" collapsed="false">
      <c r="E279" s="27" t="s">
        <v>171</v>
      </c>
      <c r="F279" s="27" t="s">
        <v>58</v>
      </c>
      <c r="G279" s="27" t="s">
        <v>211</v>
      </c>
      <c r="H279" s="47" t="n">
        <v>85</v>
      </c>
      <c r="I279" s="48" t="n">
        <f aca="false">INDEX($C$5:$C$26,MATCH(G279,$A$5:$A$26,0))</f>
        <v>206.535</v>
      </c>
      <c r="J279" s="40" t="n">
        <f aca="false">H279*I279</f>
        <v>17555.475</v>
      </c>
    </row>
    <row r="280" customFormat="false" ht="15" hidden="false" customHeight="false" outlineLevel="0" collapsed="false">
      <c r="E280" s="27" t="s">
        <v>171</v>
      </c>
      <c r="F280" s="27" t="s">
        <v>59</v>
      </c>
      <c r="G280" s="27" t="s">
        <v>205</v>
      </c>
      <c r="H280" s="47" t="n">
        <v>40</v>
      </c>
      <c r="I280" s="48" t="n">
        <f aca="false">INDEX($C$5:$C$26,MATCH(G280,$A$5:$A$26,0))</f>
        <v>256.515</v>
      </c>
      <c r="J280" s="40" t="n">
        <f aca="false">H280*I280</f>
        <v>10260.6</v>
      </c>
    </row>
    <row r="281" customFormat="false" ht="15" hidden="false" customHeight="false" outlineLevel="0" collapsed="false">
      <c r="E281" s="27" t="s">
        <v>171</v>
      </c>
      <c r="F281" s="27" t="s">
        <v>59</v>
      </c>
      <c r="G281" s="27" t="s">
        <v>207</v>
      </c>
      <c r="H281" s="47" t="n">
        <v>90</v>
      </c>
      <c r="I281" s="48" t="n">
        <f aca="false">INDEX($C$5:$C$26,MATCH(G281,$A$5:$A$26,0))</f>
        <v>236.67</v>
      </c>
      <c r="J281" s="40" t="n">
        <f aca="false">H281*I281</f>
        <v>21300.3</v>
      </c>
    </row>
    <row r="282" customFormat="false" ht="15" hidden="false" customHeight="false" outlineLevel="0" collapsed="false">
      <c r="E282" s="27" t="s">
        <v>171</v>
      </c>
      <c r="F282" s="27" t="s">
        <v>59</v>
      </c>
      <c r="G282" s="27" t="s">
        <v>209</v>
      </c>
      <c r="H282" s="47" t="n">
        <v>100</v>
      </c>
      <c r="I282" s="48" t="n">
        <f aca="false">INDEX($C$5:$C$26,MATCH(G282,$A$5:$A$26,0))</f>
        <v>224.175</v>
      </c>
      <c r="J282" s="40" t="n">
        <f aca="false">H282*I282</f>
        <v>22417.5</v>
      </c>
    </row>
    <row r="283" customFormat="false" ht="15" hidden="false" customHeight="false" outlineLevel="0" collapsed="false">
      <c r="E283" s="27" t="s">
        <v>171</v>
      </c>
      <c r="F283" s="27" t="s">
        <v>59</v>
      </c>
      <c r="G283" s="27" t="s">
        <v>211</v>
      </c>
      <c r="H283" s="47" t="n">
        <v>55</v>
      </c>
      <c r="I283" s="48" t="n">
        <f aca="false">INDEX($C$5:$C$26,MATCH(G283,$A$5:$A$26,0))</f>
        <v>206.535</v>
      </c>
      <c r="J283" s="40" t="n">
        <f aca="false">H283*I283</f>
        <v>11359.425</v>
      </c>
    </row>
    <row r="284" customFormat="false" ht="15" hidden="false" customHeight="false" outlineLevel="0" collapsed="false">
      <c r="E284" s="27" t="s">
        <v>171</v>
      </c>
      <c r="F284" s="27" t="s">
        <v>60</v>
      </c>
      <c r="G284" s="27" t="s">
        <v>205</v>
      </c>
      <c r="H284" s="47" t="n">
        <v>45</v>
      </c>
      <c r="I284" s="48" t="n">
        <f aca="false">INDEX($C$5:$C$26,MATCH(G284,$A$5:$A$26,0))</f>
        <v>256.515</v>
      </c>
      <c r="J284" s="40" t="n">
        <f aca="false">H284*I284</f>
        <v>11543.175</v>
      </c>
    </row>
    <row r="285" customFormat="false" ht="15" hidden="false" customHeight="false" outlineLevel="0" collapsed="false">
      <c r="E285" s="27" t="s">
        <v>171</v>
      </c>
      <c r="F285" s="27" t="s">
        <v>60</v>
      </c>
      <c r="G285" s="27" t="s">
        <v>207</v>
      </c>
      <c r="H285" s="47" t="n">
        <v>120</v>
      </c>
      <c r="I285" s="48" t="n">
        <f aca="false">INDEX($C$5:$C$26,MATCH(G285,$A$5:$A$26,0))</f>
        <v>236.67</v>
      </c>
      <c r="J285" s="40" t="n">
        <f aca="false">H285*I285</f>
        <v>28400.4</v>
      </c>
    </row>
    <row r="286" customFormat="false" ht="15" hidden="false" customHeight="false" outlineLevel="0" collapsed="false">
      <c r="E286" s="27" t="s">
        <v>171</v>
      </c>
      <c r="F286" s="27" t="s">
        <v>60</v>
      </c>
      <c r="G286" s="27" t="s">
        <v>209</v>
      </c>
      <c r="H286" s="47" t="n">
        <v>130</v>
      </c>
      <c r="I286" s="48" t="n">
        <f aca="false">INDEX($C$5:$C$26,MATCH(G286,$A$5:$A$26,0))</f>
        <v>224.175</v>
      </c>
      <c r="J286" s="40" t="n">
        <f aca="false">H286*I286</f>
        <v>29142.75</v>
      </c>
    </row>
    <row r="287" customFormat="false" ht="15" hidden="false" customHeight="false" outlineLevel="0" collapsed="false">
      <c r="E287" s="27" t="s">
        <v>171</v>
      </c>
      <c r="F287" s="27" t="s">
        <v>60</v>
      </c>
      <c r="G287" s="27" t="s">
        <v>211</v>
      </c>
      <c r="H287" s="47" t="n">
        <v>60</v>
      </c>
      <c r="I287" s="48" t="n">
        <f aca="false">INDEX($C$5:$C$26,MATCH(G287,$A$5:$A$26,0))</f>
        <v>206.535</v>
      </c>
      <c r="J287" s="40" t="n">
        <f aca="false">H287*I287</f>
        <v>12392.1</v>
      </c>
    </row>
    <row r="288" customFormat="false" ht="15" hidden="false" customHeight="false" outlineLevel="0" collapsed="false">
      <c r="E288" s="27" t="s">
        <v>171</v>
      </c>
      <c r="F288" s="27" t="s">
        <v>61</v>
      </c>
      <c r="G288" s="27" t="s">
        <v>205</v>
      </c>
      <c r="H288" s="47" t="n">
        <v>40</v>
      </c>
      <c r="I288" s="48" t="n">
        <f aca="false">INDEX($C$5:$C$26,MATCH(G288,$A$5:$A$26,0))</f>
        <v>256.515</v>
      </c>
      <c r="J288" s="40" t="n">
        <f aca="false">H288*I288</f>
        <v>10260.6</v>
      </c>
    </row>
    <row r="289" customFormat="false" ht="15" hidden="false" customHeight="false" outlineLevel="0" collapsed="false">
      <c r="E289" s="27" t="s">
        <v>171</v>
      </c>
      <c r="F289" s="27" t="s">
        <v>61</v>
      </c>
      <c r="G289" s="27" t="s">
        <v>207</v>
      </c>
      <c r="H289" s="47" t="n">
        <v>75</v>
      </c>
      <c r="I289" s="48" t="n">
        <f aca="false">INDEX($C$5:$C$26,MATCH(G289,$A$5:$A$26,0))</f>
        <v>236.67</v>
      </c>
      <c r="J289" s="40" t="n">
        <f aca="false">H289*I289</f>
        <v>17750.25</v>
      </c>
    </row>
    <row r="290" customFormat="false" ht="15" hidden="false" customHeight="false" outlineLevel="0" collapsed="false">
      <c r="E290" s="27" t="s">
        <v>171</v>
      </c>
      <c r="F290" s="27" t="s">
        <v>61</v>
      </c>
      <c r="G290" s="27" t="s">
        <v>209</v>
      </c>
      <c r="H290" s="47" t="n">
        <v>90</v>
      </c>
      <c r="I290" s="48" t="n">
        <f aca="false">INDEX($C$5:$C$26,MATCH(G290,$A$5:$A$26,0))</f>
        <v>224.175</v>
      </c>
      <c r="J290" s="40" t="n">
        <f aca="false">H290*I290</f>
        <v>20175.75</v>
      </c>
    </row>
    <row r="291" customFormat="false" ht="15" hidden="false" customHeight="false" outlineLevel="0" collapsed="false">
      <c r="E291" s="27" t="s">
        <v>171</v>
      </c>
      <c r="F291" s="27" t="s">
        <v>61</v>
      </c>
      <c r="G291" s="27" t="s">
        <v>211</v>
      </c>
      <c r="H291" s="47" t="n">
        <v>40</v>
      </c>
      <c r="I291" s="48" t="n">
        <f aca="false">INDEX($C$5:$C$26,MATCH(G291,$A$5:$A$26,0))</f>
        <v>206.535</v>
      </c>
      <c r="J291" s="40" t="n">
        <f aca="false">H291*I291</f>
        <v>8261.4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2026-09-24T13:32:31Z</dcterms:created>
  <dc:creator>Teresa Ancochea Nodal</dc:creator>
  <dc:description/>
  <dc:language>en-US</dc:language>
  <cp:lastModifiedBy>Teresa Ancochea Nodal</cp:lastModifiedBy>
  <dcterms:modified xsi:type="dcterms:W3CDTF">2026-09-24T14:03:21Z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0x010100CF2FD4E27FC8FA4BB0E879FB9F3FC2AB</vt:lpwstr>
  </property>
</Properties>
</file>